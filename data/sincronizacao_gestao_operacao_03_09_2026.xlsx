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Matheus\Downloads\"/>
    </mc:Choice>
  </mc:AlternateContent>
  <xr:revisionPtr revIDLastSave="0" documentId="8_{B857954D-6AE8-4D8E-A457-642F279C8211}" xr6:coauthVersionLast="47" xr6:coauthVersionMax="47" xr10:uidLastSave="{00000000-0000-0000-0000-000000000000}"/>
  <bookViews>
    <workbookView xWindow="-108" yWindow="-108" windowWidth="23256" windowHeight="12456" tabRatio="601" xr2:uid="{AA653E41-E158-4308-8631-FE4213A9F3DE}"/>
  </bookViews>
  <sheets>
    <sheet name="GESTAO OPERACAO" sheetId="5" r:id="rId1"/>
    <sheet name="DASHBOARD COMERCIAL" sheetId="7" r:id="rId2"/>
    <sheet name="DASHBOARD PRODUCAO" sheetId="8" r:id="rId3"/>
    <sheet name="LISTAS" sheetId="3" r:id="rId4"/>
  </sheets>
  <definedNames>
    <definedName name="_xlnm._FilterDatabase" localSheetId="0" hidden="1">'GESTAO OPERACAO'!$A$1:$BB$626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5" i="5" l="1"/>
  <c r="P628" i="5"/>
  <c r="AP414" i="5"/>
  <c r="AR414" i="5" s="1"/>
  <c r="AS414" i="5"/>
  <c r="AS297" i="5"/>
  <c r="AQ297" i="5"/>
  <c r="AP297" i="5"/>
  <c r="AR297" i="5" s="1"/>
  <c r="AT297" i="5" l="1"/>
  <c r="J405" i="5"/>
  <c r="AG385" i="5"/>
  <c r="J382" i="5" l="1"/>
  <c r="AG333" i="5"/>
  <c r="AG326" i="5"/>
  <c r="AP267" i="5" l="1"/>
  <c r="AP279" i="5"/>
  <c r="AR279" i="5" s="1"/>
  <c r="AP291" i="5"/>
  <c r="AP300" i="5"/>
  <c r="AP310" i="5"/>
  <c r="AQ267" i="5"/>
  <c r="AQ279" i="5"/>
  <c r="AQ291" i="5"/>
  <c r="AQ300" i="5"/>
  <c r="AQ310" i="5"/>
  <c r="AS279" i="5"/>
  <c r="AS258" i="5"/>
  <c r="AQ258" i="5"/>
  <c r="AP258" i="5"/>
  <c r="AR258" i="5" s="1"/>
  <c r="AP308" i="5"/>
  <c r="AR308" i="5" s="1"/>
  <c r="AQ308" i="5"/>
  <c r="AS308" i="5"/>
  <c r="AS293" i="5"/>
  <c r="AQ293" i="5"/>
  <c r="AP293" i="5"/>
  <c r="AR293" i="5" s="1"/>
  <c r="AS292" i="5"/>
  <c r="AQ292" i="5"/>
  <c r="AP292" i="5"/>
  <c r="AR292" i="5" s="1"/>
  <c r="AS285" i="5"/>
  <c r="AP285" i="5"/>
  <c r="AR285" i="5" s="1"/>
  <c r="AS278" i="5"/>
  <c r="AP278" i="5"/>
  <c r="AR278" i="5" s="1"/>
  <c r="AS277" i="5"/>
  <c r="AP277" i="5"/>
  <c r="AR277" i="5" s="1"/>
  <c r="AQ325" i="5"/>
  <c r="AS305" i="5"/>
  <c r="AP305" i="5"/>
  <c r="AR305" i="5" s="1"/>
  <c r="AW288" i="5"/>
  <c r="AW284" i="5"/>
  <c r="AW283" i="5"/>
  <c r="AW280" i="5"/>
  <c r="AW276" i="5"/>
  <c r="AW275" i="5"/>
  <c r="AW268" i="5"/>
  <c r="AW262" i="5"/>
  <c r="AW257" i="5"/>
  <c r="AS288" i="5"/>
  <c r="AQ288" i="5"/>
  <c r="AP288" i="5"/>
  <c r="AR288" i="5" s="1"/>
  <c r="AS276" i="5"/>
  <c r="AP276" i="5"/>
  <c r="AR276" i="5" s="1"/>
  <c r="AS268" i="5"/>
  <c r="AQ268" i="5"/>
  <c r="AP268" i="5"/>
  <c r="AR268" i="5" s="1"/>
  <c r="AS257" i="5"/>
  <c r="AP257" i="5"/>
  <c r="AR257" i="5" s="1"/>
  <c r="AT288" i="5" l="1"/>
  <c r="AT292" i="5"/>
  <c r="AT277" i="5"/>
  <c r="AT279" i="5"/>
  <c r="AT285" i="5"/>
  <c r="AT308" i="5"/>
  <c r="AT293" i="5"/>
  <c r="AT258" i="5"/>
  <c r="AT278" i="5"/>
  <c r="AT305" i="5"/>
  <c r="AT257" i="5"/>
  <c r="AT268" i="5"/>
  <c r="AT276" i="5"/>
  <c r="AN276" i="5"/>
  <c r="E97" i="7" l="1" a="1"/>
  <c r="E96" i="7" a="1"/>
  <c r="E95" i="7" a="1"/>
  <c r="E94" i="7" a="1"/>
  <c r="E93" i="7" a="1"/>
  <c r="E91" i="7" a="1"/>
  <c r="E90" i="7" a="1"/>
  <c r="E89" i="7" a="1"/>
  <c r="E88" i="7" a="1"/>
  <c r="E87" i="7" a="1"/>
  <c r="E85" i="7" a="1"/>
  <c r="E84" i="7" a="1"/>
  <c r="E83" i="7" a="1"/>
  <c r="E82" i="7" a="1"/>
  <c r="E81" i="7" a="1"/>
  <c r="E79" i="7" a="1"/>
  <c r="E78" i="7" a="1"/>
  <c r="E77" i="7" a="1"/>
  <c r="E76" i="7" a="1"/>
  <c r="E75" i="7" a="1"/>
  <c r="E73" i="7" a="1"/>
  <c r="E72" i="7" a="1"/>
  <c r="E71" i="7" a="1"/>
  <c r="E70" i="7" a="1"/>
  <c r="E69" i="7" a="1"/>
  <c r="E67" i="7" a="1"/>
  <c r="E66" i="7" a="1"/>
  <c r="E65" i="7" a="1"/>
  <c r="E64" i="7" a="1"/>
  <c r="E63" i="7" a="1"/>
  <c r="E61" i="7" a="1"/>
  <c r="E60" i="7" a="1"/>
  <c r="E59" i="7" a="1"/>
  <c r="E58" i="7" a="1"/>
  <c r="E57" i="7" a="1"/>
  <c r="E55" i="7" a="1"/>
  <c r="E54" i="7" a="1"/>
  <c r="E53" i="7" a="1"/>
  <c r="E52" i="7" a="1"/>
  <c r="E51" i="7" a="1"/>
  <c r="E49" i="7" a="1"/>
  <c r="E48" i="7" a="1"/>
  <c r="E47" i="7" a="1"/>
  <c r="E46" i="7" a="1"/>
  <c r="E45" i="7" a="1"/>
  <c r="E43" i="7" a="1"/>
  <c r="E42" i="7" a="1"/>
  <c r="E41" i="7" a="1"/>
  <c r="E40" i="7" a="1"/>
  <c r="E39" i="7" a="1"/>
  <c r="E37" i="7" a="1"/>
  <c r="E36" i="7" a="1"/>
  <c r="E35" i="7" a="1"/>
  <c r="E34" i="7" a="1"/>
  <c r="E33" i="7" a="1"/>
  <c r="E31" i="7" a="1"/>
  <c r="E30" i="7" a="1"/>
  <c r="E29" i="7" a="1"/>
  <c r="E28" i="7" a="1"/>
  <c r="E27" i="7" a="1"/>
  <c r="D93" i="7"/>
  <c r="D94" i="7"/>
  <c r="D95" i="7"/>
  <c r="D96" i="7"/>
  <c r="D97" i="7"/>
  <c r="D87" i="7"/>
  <c r="D88" i="7"/>
  <c r="D89" i="7"/>
  <c r="D90" i="7"/>
  <c r="D91" i="7"/>
  <c r="D81" i="7"/>
  <c r="D82" i="7"/>
  <c r="D83" i="7"/>
  <c r="D84" i="7"/>
  <c r="D85" i="7"/>
  <c r="D75" i="7"/>
  <c r="D76" i="7"/>
  <c r="D77" i="7"/>
  <c r="D78" i="7"/>
  <c r="D79" i="7"/>
  <c r="D69" i="7"/>
  <c r="D70" i="7"/>
  <c r="D71" i="7"/>
  <c r="D72" i="7"/>
  <c r="D73" i="7"/>
  <c r="D63" i="7"/>
  <c r="D64" i="7"/>
  <c r="D65" i="7"/>
  <c r="D66" i="7"/>
  <c r="D67" i="7"/>
  <c r="D57" i="7"/>
  <c r="D58" i="7"/>
  <c r="D59" i="7"/>
  <c r="D60" i="7"/>
  <c r="D61" i="7"/>
  <c r="D51" i="7"/>
  <c r="D52" i="7"/>
  <c r="D53" i="7"/>
  <c r="D54" i="7"/>
  <c r="D55" i="7"/>
  <c r="D45" i="7"/>
  <c r="D46" i="7"/>
  <c r="D47" i="7"/>
  <c r="D48" i="7"/>
  <c r="D49" i="7"/>
  <c r="D39" i="7"/>
  <c r="D40" i="7"/>
  <c r="D41" i="7"/>
  <c r="D42" i="7"/>
  <c r="D43" i="7"/>
  <c r="D33" i="7"/>
  <c r="D34" i="7"/>
  <c r="D35" i="7"/>
  <c r="D36" i="7"/>
  <c r="D37" i="7"/>
  <c r="D27" i="7"/>
  <c r="D28" i="7"/>
  <c r="D29" i="7"/>
  <c r="D30" i="7"/>
  <c r="D31" i="7"/>
  <c r="J353" i="5"/>
  <c r="AN305" i="5" l="1"/>
  <c r="J345" i="5" l="1"/>
  <c r="R345" i="5"/>
  <c r="X345" i="5" s="1"/>
  <c r="V345" i="5"/>
  <c r="AG345" i="5"/>
  <c r="AI345" i="5"/>
  <c r="AK345" i="5"/>
  <c r="AN345" i="5"/>
  <c r="AP345" i="5"/>
  <c r="AR345" i="5" s="1"/>
  <c r="AQ345" i="5"/>
  <c r="AS345" i="5"/>
  <c r="AW345" i="5"/>
  <c r="AX345" i="5"/>
  <c r="AZ345" i="5"/>
  <c r="J344" i="5"/>
  <c r="J342" i="5"/>
  <c r="J341" i="5"/>
  <c r="J340" i="5"/>
  <c r="F97" i="7" l="1" a="1"/>
  <c r="F96" i="7" a="1"/>
  <c r="F95" i="7" a="1"/>
  <c r="F94" i="7" a="1"/>
  <c r="F93" i="7" a="1"/>
  <c r="F91" i="7" a="1"/>
  <c r="F90" i="7" a="1"/>
  <c r="F89" i="7" a="1"/>
  <c r="F88" i="7" a="1"/>
  <c r="F87" i="7" a="1"/>
  <c r="F85" i="7" a="1"/>
  <c r="F84" i="7" a="1"/>
  <c r="F83" i="7" a="1"/>
  <c r="F82" i="7" a="1"/>
  <c r="F81" i="7" a="1"/>
  <c r="F79" i="7" a="1"/>
  <c r="F78" i="7" a="1"/>
  <c r="F77" i="7" a="1"/>
  <c r="F76" i="7" a="1"/>
  <c r="F75" i="7" a="1"/>
  <c r="F73" i="7" a="1"/>
  <c r="F72" i="7" a="1"/>
  <c r="F71" i="7" a="1"/>
  <c r="F70" i="7" a="1"/>
  <c r="F69" i="7" a="1"/>
  <c r="F67" i="7" a="1"/>
  <c r="F66" i="7" a="1"/>
  <c r="F65" i="7" a="1"/>
  <c r="F64" i="7" a="1"/>
  <c r="F63" i="7" a="1"/>
  <c r="F61" i="7" a="1"/>
  <c r="F60" i="7" a="1"/>
  <c r="F59" i="7" a="1"/>
  <c r="F58" i="7" a="1"/>
  <c r="F57" i="7" a="1"/>
  <c r="F55" i="7" a="1"/>
  <c r="F54" i="7" a="1"/>
  <c r="F53" i="7" a="1"/>
  <c r="F52" i="7" a="1"/>
  <c r="F51" i="7" a="1"/>
  <c r="F49" i="7" a="1"/>
  <c r="F48" i="7" a="1"/>
  <c r="F47" i="7" a="1"/>
  <c r="F46" i="7" a="1"/>
  <c r="F45" i="7" a="1"/>
  <c r="F43" i="7" a="1"/>
  <c r="F42" i="7" a="1"/>
  <c r="F41" i="7" a="1"/>
  <c r="F40" i="7" a="1"/>
  <c r="F39" i="7" a="1"/>
  <c r="F37" i="7" a="1"/>
  <c r="F36" i="7" a="1"/>
  <c r="F35" i="7" a="1"/>
  <c r="F34" i="7" a="1"/>
  <c r="F33" i="7" a="1"/>
  <c r="F31" i="7" a="1"/>
  <c r="F30" i="7" a="1"/>
  <c r="F29" i="7" a="1"/>
  <c r="F28" i="7" a="1"/>
  <c r="F27" i="7" a="1"/>
  <c r="W345" i="5"/>
  <c r="Y345" i="5" s="1"/>
  <c r="AT345" i="5"/>
  <c r="AG277" i="5" l="1"/>
  <c r="AG288" i="5"/>
  <c r="AG278" i="5"/>
  <c r="AG268" i="5"/>
  <c r="AG258" i="5"/>
  <c r="AG318" i="5" l="1"/>
  <c r="J318" i="5"/>
  <c r="V318" i="5"/>
  <c r="AP318" i="5"/>
  <c r="R318" i="5"/>
  <c r="AS318" i="5"/>
  <c r="V277" i="5"/>
  <c r="AG311" i="5"/>
  <c r="AP311" i="5"/>
  <c r="AR311" i="5" s="1"/>
  <c r="J311" i="5"/>
  <c r="AS311" i="5"/>
  <c r="R311" i="5"/>
  <c r="V286" i="5"/>
  <c r="J286" i="5"/>
  <c r="AP286" i="5"/>
  <c r="V311" i="5"/>
  <c r="V308" i="5"/>
  <c r="V305" i="5"/>
  <c r="V297" i="5"/>
  <c r="R308" i="5"/>
  <c r="X308" i="5" s="1"/>
  <c r="R305" i="5"/>
  <c r="X305" i="5" s="1"/>
  <c r="J308" i="5"/>
  <c r="W318" i="5" l="1"/>
  <c r="AR318" i="5"/>
  <c r="AT318" i="5" s="1"/>
  <c r="X318" i="5"/>
  <c r="AT311" i="5"/>
  <c r="W305" i="5"/>
  <c r="Y305" i="5" s="1"/>
  <c r="W308" i="5"/>
  <c r="Y308" i="5" s="1"/>
  <c r="W311" i="5"/>
  <c r="X311" i="5"/>
  <c r="J305" i="5"/>
  <c r="J295" i="5"/>
  <c r="R295" i="5"/>
  <c r="X295" i="5" s="1"/>
  <c r="V295" i="5"/>
  <c r="AG295" i="5"/>
  <c r="AI295" i="5"/>
  <c r="AK295" i="5"/>
  <c r="AN295" i="5"/>
  <c r="AP295" i="5"/>
  <c r="AR295" i="5" s="1"/>
  <c r="AQ295" i="5"/>
  <c r="AS295" i="5"/>
  <c r="AW295" i="5"/>
  <c r="AX295" i="5"/>
  <c r="AZ295" i="5"/>
  <c r="R304" i="5"/>
  <c r="J277" i="5"/>
  <c r="R277" i="5"/>
  <c r="X277" i="5" s="1"/>
  <c r="R297" i="5"/>
  <c r="X297" i="5" s="1"/>
  <c r="J297" i="5"/>
  <c r="J304" i="5"/>
  <c r="Y318" i="5" l="1"/>
  <c r="Y311" i="5"/>
  <c r="W277" i="5"/>
  <c r="Y277" i="5" s="1"/>
  <c r="W297" i="5"/>
  <c r="Y297" i="5" s="1"/>
  <c r="W295" i="5"/>
  <c r="Y295" i="5" s="1"/>
  <c r="AT295" i="5"/>
  <c r="V200" i="5"/>
  <c r="V220" i="5"/>
  <c r="AW232" i="5"/>
  <c r="AW212" i="5"/>
  <c r="AP212" i="5"/>
  <c r="AR212" i="5" s="1"/>
  <c r="AQ212" i="5"/>
  <c r="AS212" i="5"/>
  <c r="AN212" i="5"/>
  <c r="AP232" i="5"/>
  <c r="AR232" i="5" s="1"/>
  <c r="AQ232" i="5"/>
  <c r="AS232" i="5"/>
  <c r="V230" i="5"/>
  <c r="AS221" i="5"/>
  <c r="AT232" i="5" l="1"/>
  <c r="AT212" i="5"/>
  <c r="AP221" i="5" l="1"/>
  <c r="AR221" i="5" s="1"/>
  <c r="AT221" i="5" s="1"/>
  <c r="AQ242" i="5"/>
  <c r="V287" i="5" l="1"/>
  <c r="V288" i="5"/>
  <c r="V289" i="5"/>
  <c r="V290" i="5"/>
  <c r="V291" i="5"/>
  <c r="V292" i="5"/>
  <c r="V293" i="5"/>
  <c r="V294" i="5"/>
  <c r="R292" i="5"/>
  <c r="X292" i="5" s="1"/>
  <c r="R293" i="5"/>
  <c r="X293" i="5" s="1"/>
  <c r="R288" i="5"/>
  <c r="X288" i="5" s="1"/>
  <c r="E245" i="7" l="1" a="1"/>
  <c r="C238" i="7" a="1"/>
  <c r="D237" i="7" a="1"/>
  <c r="H237" i="7" a="1"/>
  <c r="G237" i="7" a="1"/>
  <c r="O237" i="7" a="1"/>
  <c r="P237" i="7" a="1"/>
  <c r="L237" i="7" a="1"/>
  <c r="M238" i="7" a="1"/>
  <c r="G238" i="7" a="1"/>
  <c r="C237" i="7" a="1"/>
  <c r="N238" i="7" a="1"/>
  <c r="E239" i="7" a="1"/>
  <c r="L239" i="7" a="1"/>
  <c r="C240" i="7" a="1"/>
  <c r="J240" i="7" a="1"/>
  <c r="I237" i="7" a="1"/>
  <c r="H238" i="7" a="1"/>
  <c r="D240" i="7" a="1"/>
  <c r="P240" i="7" a="1"/>
  <c r="N241" i="7" a="1"/>
  <c r="L242" i="7" a="1"/>
  <c r="J243" i="7" a="1"/>
  <c r="H244" i="7" a="1"/>
  <c r="F245" i="7" a="1"/>
  <c r="J237" i="7" a="1"/>
  <c r="F239" i="7" a="1"/>
  <c r="K237" i="7" a="1"/>
  <c r="I238" i="7" a="1"/>
  <c r="G239" i="7" a="1"/>
  <c r="E240" i="7" a="1"/>
  <c r="C241" i="7" a="1"/>
  <c r="O241" i="7" a="1"/>
  <c r="M242" i="7" a="1"/>
  <c r="K243" i="7" a="1"/>
  <c r="I244" i="7" a="1"/>
  <c r="G245" i="7" a="1"/>
  <c r="J238" i="7" a="1"/>
  <c r="H239" i="7" a="1"/>
  <c r="F240" i="7" a="1"/>
  <c r="D241" i="7" a="1"/>
  <c r="P241" i="7" a="1"/>
  <c r="N242" i="7" a="1"/>
  <c r="L243" i="7" a="1"/>
  <c r="J244" i="7" a="1"/>
  <c r="H245" i="7" a="1"/>
  <c r="M237" i="7" a="1"/>
  <c r="K238" i="7" a="1"/>
  <c r="I239" i="7" a="1"/>
  <c r="G240" i="7" a="1"/>
  <c r="E241" i="7" a="1"/>
  <c r="C242" i="7" a="1"/>
  <c r="O242" i="7" a="1"/>
  <c r="M243" i="7" a="1"/>
  <c r="K244" i="7" a="1"/>
  <c r="I245" i="7" a="1"/>
  <c r="N237" i="7" a="1"/>
  <c r="L238" i="7" a="1"/>
  <c r="J239" i="7" a="1"/>
  <c r="H240" i="7" a="1"/>
  <c r="F241" i="7" a="1"/>
  <c r="D242" i="7" a="1"/>
  <c r="P242" i="7" a="1"/>
  <c r="N243" i="7" a="1"/>
  <c r="L244" i="7" a="1"/>
  <c r="J245" i="7" a="1"/>
  <c r="K239" i="7" a="1"/>
  <c r="I240" i="7" a="1"/>
  <c r="G241" i="7" a="1"/>
  <c r="E242" i="7" a="1"/>
  <c r="C243" i="7" a="1"/>
  <c r="O243" i="7" a="1"/>
  <c r="M244" i="7" a="1"/>
  <c r="K245" i="7" a="1"/>
  <c r="H241" i="7" a="1"/>
  <c r="F242" i="7" a="1"/>
  <c r="D243" i="7" a="1"/>
  <c r="P243" i="7" a="1"/>
  <c r="N244" i="7" a="1"/>
  <c r="L245" i="7" a="1"/>
  <c r="O238" i="7" a="1"/>
  <c r="M239" i="7" a="1"/>
  <c r="K240" i="7" a="1"/>
  <c r="I241" i="7" a="1"/>
  <c r="G242" i="7" a="1"/>
  <c r="E243" i="7" a="1"/>
  <c r="C244" i="7" a="1"/>
  <c r="O244" i="7" a="1"/>
  <c r="M245" i="7" a="1"/>
  <c r="F237" i="7" a="1"/>
  <c r="D238" i="7" a="1"/>
  <c r="P238" i="7" a="1"/>
  <c r="N239" i="7" a="1"/>
  <c r="L240" i="7" a="1"/>
  <c r="J241" i="7" a="1"/>
  <c r="H242" i="7" a="1"/>
  <c r="F243" i="7" a="1"/>
  <c r="D244" i="7" a="1"/>
  <c r="P244" i="7" a="1"/>
  <c r="N245" i="7" a="1"/>
  <c r="E238" i="7" a="1"/>
  <c r="C239" i="7" a="1"/>
  <c r="O239" i="7" a="1"/>
  <c r="M240" i="7" a="1"/>
  <c r="K241" i="7" a="1"/>
  <c r="I242" i="7" a="1"/>
  <c r="G243" i="7" a="1"/>
  <c r="E244" i="7" a="1"/>
  <c r="C245" i="7" a="1"/>
  <c r="O245" i="7" a="1"/>
  <c r="F238" i="7" a="1"/>
  <c r="D239" i="7" a="1"/>
  <c r="P239" i="7" a="1"/>
  <c r="N240" i="7" a="1"/>
  <c r="L241" i="7" a="1"/>
  <c r="J242" i="7" a="1"/>
  <c r="H243" i="7" a="1"/>
  <c r="F244" i="7" a="1"/>
  <c r="D245" i="7" a="1"/>
  <c r="P245" i="7" a="1"/>
  <c r="O240" i="7" a="1"/>
  <c r="M241" i="7" a="1"/>
  <c r="K242" i="7" a="1"/>
  <c r="I243" i="7" a="1"/>
  <c r="G244" i="7" a="1"/>
  <c r="W288" i="5"/>
  <c r="Y288" i="5" s="1"/>
  <c r="W292" i="5"/>
  <c r="Y292" i="5" s="1"/>
  <c r="W293" i="5"/>
  <c r="Y293" i="5" s="1"/>
  <c r="J288" i="5" l="1"/>
  <c r="J293" i="5"/>
  <c r="J292" i="5"/>
  <c r="J256" i="5"/>
  <c r="AZ261" i="5"/>
  <c r="AX261" i="5"/>
  <c r="AW261" i="5"/>
  <c r="AS261" i="5"/>
  <c r="AQ261" i="5"/>
  <c r="AP261" i="5"/>
  <c r="AR261" i="5" s="1"/>
  <c r="V261" i="5"/>
  <c r="R261" i="5"/>
  <c r="X261" i="5" s="1"/>
  <c r="J261" i="5"/>
  <c r="W261" i="5" l="1"/>
  <c r="Y261" i="5" s="1"/>
  <c r="AT261" i="5"/>
  <c r="AS238" i="5" l="1"/>
  <c r="AS226" i="5"/>
  <c r="AS227" i="5"/>
  <c r="AS222" i="5"/>
  <c r="AS223" i="5"/>
  <c r="AS218" i="5"/>
  <c r="AS215" i="5"/>
  <c r="V285" i="5"/>
  <c r="R285" i="5"/>
  <c r="J285" i="5"/>
  <c r="F175" i="8" a="1"/>
  <c r="V278" i="5"/>
  <c r="V279" i="5"/>
  <c r="V276" i="5"/>
  <c r="R278" i="5"/>
  <c r="R279" i="5"/>
  <c r="R276" i="5"/>
  <c r="J279" i="5"/>
  <c r="J278" i="5"/>
  <c r="J276" i="5"/>
  <c r="X268" i="5"/>
  <c r="V268" i="5"/>
  <c r="W268" i="5" s="1"/>
  <c r="AS224" i="5"/>
  <c r="AS220" i="5"/>
  <c r="AS219" i="5"/>
  <c r="AS217" i="5"/>
  <c r="AS214" i="5"/>
  <c r="AS211" i="5"/>
  <c r="J268" i="5"/>
  <c r="V257" i="5"/>
  <c r="V258" i="5"/>
  <c r="R257" i="5"/>
  <c r="X257" i="5" s="1"/>
  <c r="R258" i="5"/>
  <c r="X258" i="5" s="1"/>
  <c r="J257" i="5"/>
  <c r="J258" i="5"/>
  <c r="E8" i="8" a="1"/>
  <c r="C8" i="8" a="1"/>
  <c r="C188" i="8" a="1"/>
  <c r="C187" i="8" a="1"/>
  <c r="J7" i="8" a="1"/>
  <c r="AS206" i="5"/>
  <c r="AQ206" i="5"/>
  <c r="AP206" i="5"/>
  <c r="AR206" i="5" s="1"/>
  <c r="J4" i="8"/>
  <c r="J3" i="8"/>
  <c r="G82" i="8" a="1"/>
  <c r="G81" i="8" a="1"/>
  <c r="G80" i="8" a="1"/>
  <c r="G79" i="8" a="1"/>
  <c r="G78" i="8" a="1"/>
  <c r="G76" i="8" a="1"/>
  <c r="G75" i="8" a="1"/>
  <c r="G74" i="8" a="1"/>
  <c r="G73" i="8" a="1"/>
  <c r="G72" i="8" a="1"/>
  <c r="G70" i="8" a="1"/>
  <c r="G69" i="8" a="1"/>
  <c r="G68" i="8" a="1"/>
  <c r="G67" i="8" a="1"/>
  <c r="G66" i="8" a="1"/>
  <c r="G64" i="8" a="1"/>
  <c r="G63" i="8" a="1"/>
  <c r="G62" i="8" a="1"/>
  <c r="G61" i="8" a="1"/>
  <c r="G60" i="8" a="1"/>
  <c r="G58" i="8" a="1"/>
  <c r="G57" i="8" a="1"/>
  <c r="G56" i="8" a="1"/>
  <c r="G55" i="8" a="1"/>
  <c r="G54" i="8" a="1"/>
  <c r="G52" i="8" a="1"/>
  <c r="G51" i="8" a="1"/>
  <c r="G50" i="8" a="1"/>
  <c r="G49" i="8" a="1"/>
  <c r="G48" i="8" a="1"/>
  <c r="G46" i="8" a="1"/>
  <c r="G45" i="8" a="1"/>
  <c r="G44" i="8" a="1"/>
  <c r="G43" i="8" a="1"/>
  <c r="G42" i="8" a="1"/>
  <c r="G40" i="8" a="1"/>
  <c r="G39" i="8" a="1"/>
  <c r="G38" i="8" a="1"/>
  <c r="G37" i="8" a="1"/>
  <c r="G36" i="8" a="1"/>
  <c r="G34" i="8" a="1"/>
  <c r="G33" i="8" a="1"/>
  <c r="G32" i="8" a="1"/>
  <c r="G31" i="8" a="1"/>
  <c r="G30" i="8" a="1"/>
  <c r="G28" i="8" a="1"/>
  <c r="G27" i="8" a="1"/>
  <c r="G26" i="8" a="1"/>
  <c r="G25" i="8" a="1"/>
  <c r="G24" i="8" a="1"/>
  <c r="G22" i="8" a="1"/>
  <c r="G21" i="8" a="1"/>
  <c r="G20" i="8" a="1"/>
  <c r="G19" i="8" a="1"/>
  <c r="G18" i="8" a="1"/>
  <c r="G16" i="8" a="1"/>
  <c r="G15" i="8" a="1"/>
  <c r="G14" i="8" a="1"/>
  <c r="G13" i="8" a="1"/>
  <c r="G12" i="8" a="1"/>
  <c r="D82" i="8"/>
  <c r="D81" i="8"/>
  <c r="D80" i="8"/>
  <c r="D79" i="8"/>
  <c r="D78" i="8"/>
  <c r="D76" i="8"/>
  <c r="D75" i="8"/>
  <c r="D74" i="8"/>
  <c r="D73" i="8"/>
  <c r="D72" i="8"/>
  <c r="D70" i="8"/>
  <c r="D69" i="8"/>
  <c r="D68" i="8"/>
  <c r="D67" i="8"/>
  <c r="D66" i="8"/>
  <c r="D64" i="8"/>
  <c r="D63" i="8"/>
  <c r="D62" i="8"/>
  <c r="D61" i="8"/>
  <c r="D60" i="8"/>
  <c r="D58" i="8"/>
  <c r="D57" i="8"/>
  <c r="D56" i="8"/>
  <c r="D55" i="8"/>
  <c r="D54" i="8"/>
  <c r="D52" i="8"/>
  <c r="D51" i="8"/>
  <c r="D50" i="8"/>
  <c r="D49" i="8"/>
  <c r="D48" i="8"/>
  <c r="D46" i="8"/>
  <c r="D45" i="8"/>
  <c r="D44" i="8"/>
  <c r="D43" i="8"/>
  <c r="D42" i="8"/>
  <c r="D40" i="8"/>
  <c r="D39" i="8"/>
  <c r="D38" i="8"/>
  <c r="D37" i="8"/>
  <c r="D36" i="8"/>
  <c r="D34" i="8"/>
  <c r="D33" i="8"/>
  <c r="D32" i="8"/>
  <c r="D31" i="8"/>
  <c r="D30" i="8"/>
  <c r="D28" i="8"/>
  <c r="D27" i="8"/>
  <c r="D26" i="8"/>
  <c r="D25" i="8"/>
  <c r="D24" i="8"/>
  <c r="D22" i="8"/>
  <c r="D21" i="8"/>
  <c r="D20" i="8"/>
  <c r="D19" i="8"/>
  <c r="D18" i="8"/>
  <c r="D16" i="8"/>
  <c r="D15" i="8"/>
  <c r="D14" i="8"/>
  <c r="D13" i="8"/>
  <c r="D12" i="8"/>
  <c r="C219" i="7" a="1"/>
  <c r="B222" i="7" a="1"/>
  <c r="D181" i="8"/>
  <c r="D180" i="8"/>
  <c r="D179" i="8"/>
  <c r="D178" i="8"/>
  <c r="D177" i="8"/>
  <c r="D175" i="8"/>
  <c r="D174" i="8"/>
  <c r="D173" i="8"/>
  <c r="D172" i="8"/>
  <c r="D171" i="8"/>
  <c r="D169" i="8"/>
  <c r="D168" i="8"/>
  <c r="D167" i="8"/>
  <c r="D166" i="8"/>
  <c r="D165" i="8"/>
  <c r="D163" i="8"/>
  <c r="D162" i="8"/>
  <c r="D161" i="8"/>
  <c r="D160" i="8"/>
  <c r="D159" i="8"/>
  <c r="D157" i="8"/>
  <c r="D156" i="8"/>
  <c r="D155" i="8"/>
  <c r="D154" i="8"/>
  <c r="D153" i="8"/>
  <c r="D151" i="8"/>
  <c r="D150" i="8"/>
  <c r="D149" i="8"/>
  <c r="D148" i="8"/>
  <c r="D147" i="8"/>
  <c r="D145" i="8"/>
  <c r="D144" i="8"/>
  <c r="D143" i="8"/>
  <c r="D142" i="8"/>
  <c r="D141" i="8"/>
  <c r="D139" i="8"/>
  <c r="D138" i="8"/>
  <c r="D137" i="8"/>
  <c r="D136" i="8"/>
  <c r="D135" i="8"/>
  <c r="D133" i="8"/>
  <c r="D132" i="8"/>
  <c r="D131" i="8"/>
  <c r="D130" i="8"/>
  <c r="D129" i="8"/>
  <c r="D127" i="8"/>
  <c r="D126" i="8"/>
  <c r="D125" i="8"/>
  <c r="D124" i="8"/>
  <c r="D123" i="8"/>
  <c r="D121" i="8"/>
  <c r="D120" i="8"/>
  <c r="D119" i="8"/>
  <c r="D118" i="8"/>
  <c r="D117" i="8"/>
  <c r="D115" i="8"/>
  <c r="D114" i="8"/>
  <c r="D113" i="8"/>
  <c r="D112" i="8"/>
  <c r="D111" i="8"/>
  <c r="E181" i="8" a="1"/>
  <c r="E180" i="8" a="1"/>
  <c r="E179" i="8" a="1"/>
  <c r="E178" i="8" a="1"/>
  <c r="E177" i="8" a="1"/>
  <c r="C106" i="8" a="1"/>
  <c r="E175" i="8" a="1"/>
  <c r="E174" i="8" a="1"/>
  <c r="E173" i="8" a="1"/>
  <c r="E172" i="8" a="1"/>
  <c r="E171" i="8" a="1"/>
  <c r="C105" i="8" a="1"/>
  <c r="E169" i="8" a="1"/>
  <c r="E168" i="8" a="1"/>
  <c r="E167" i="8" a="1"/>
  <c r="E166" i="8" a="1"/>
  <c r="E165" i="8" a="1"/>
  <c r="C104" i="8" a="1"/>
  <c r="E163" i="8" a="1"/>
  <c r="E162" i="8" a="1"/>
  <c r="E161" i="8" a="1"/>
  <c r="E160" i="8" a="1"/>
  <c r="E159" i="8" a="1"/>
  <c r="C103" i="8" a="1"/>
  <c r="E157" i="8" a="1"/>
  <c r="E156" i="8" a="1"/>
  <c r="E155" i="8" a="1"/>
  <c r="E154" i="8" a="1"/>
  <c r="E153" i="8" a="1"/>
  <c r="C102" i="8" a="1"/>
  <c r="E151" i="8" a="1"/>
  <c r="E150" i="8" a="1"/>
  <c r="E149" i="8" a="1"/>
  <c r="E148" i="8" a="1"/>
  <c r="E147" i="8" a="1"/>
  <c r="C101" i="8" a="1"/>
  <c r="E145" i="8" a="1"/>
  <c r="E144" i="8" a="1"/>
  <c r="E143" i="8" a="1"/>
  <c r="E142" i="8" a="1"/>
  <c r="E141" i="8" a="1"/>
  <c r="C100" i="8" a="1"/>
  <c r="E139" i="8" a="1"/>
  <c r="E138" i="8" a="1"/>
  <c r="E137" i="8" a="1"/>
  <c r="E136" i="8" a="1"/>
  <c r="E135" i="8" a="1"/>
  <c r="C99" i="8" a="1"/>
  <c r="E133" i="8" a="1"/>
  <c r="E132" i="8" a="1"/>
  <c r="E131" i="8" a="1"/>
  <c r="E130" i="8" a="1"/>
  <c r="E129" i="8" a="1"/>
  <c r="C98" i="8" a="1"/>
  <c r="E127" i="8" a="1"/>
  <c r="E126" i="8" a="1"/>
  <c r="E125" i="8" a="1"/>
  <c r="E124" i="8" a="1"/>
  <c r="E123" i="8" a="1"/>
  <c r="C97" i="8" a="1"/>
  <c r="E121" i="8" a="1"/>
  <c r="E120" i="8" a="1"/>
  <c r="E119" i="8" a="1"/>
  <c r="E118" i="8" a="1"/>
  <c r="E117" i="8" a="1"/>
  <c r="C96" i="8" a="1"/>
  <c r="E115" i="8" a="1"/>
  <c r="E114" i="8" a="1"/>
  <c r="E113" i="8" a="1"/>
  <c r="E112" i="8" a="1"/>
  <c r="E111" i="8" a="1"/>
  <c r="C95" i="8" a="1"/>
  <c r="C146" i="7" a="1"/>
  <c r="B139" i="7" a="1"/>
  <c r="Y268" i="5" l="1"/>
  <c r="W285" i="5"/>
  <c r="X285" i="5"/>
  <c r="W278" i="5"/>
  <c r="X278" i="5"/>
  <c r="W279" i="5"/>
  <c r="X279" i="5"/>
  <c r="W276" i="5"/>
  <c r="X276" i="5"/>
  <c r="W258" i="5"/>
  <c r="Y258" i="5" s="1"/>
  <c r="W257" i="5"/>
  <c r="Y257" i="5" s="1"/>
  <c r="D146" i="7" a="1"/>
  <c r="AT206" i="5"/>
  <c r="F111" i="8" a="1"/>
  <c r="F118" i="8" a="1"/>
  <c r="F126" i="8" a="1"/>
  <c r="D99" i="8" a="1"/>
  <c r="F145" i="8" a="1"/>
  <c r="F149" i="8" a="1"/>
  <c r="F153" i="8" a="1"/>
  <c r="F115" i="8" a="1"/>
  <c r="F138" i="8" a="1"/>
  <c r="F157" i="8" a="1"/>
  <c r="F161" i="8" a="1"/>
  <c r="F172" i="8" a="1"/>
  <c r="F179" i="8" a="1"/>
  <c r="F119" i="8" a="1"/>
  <c r="F123" i="8" a="1"/>
  <c r="F127" i="8" a="1"/>
  <c r="F131" i="8" a="1"/>
  <c r="F135" i="8" a="1"/>
  <c r="F142" i="8" a="1"/>
  <c r="F150" i="8" a="1"/>
  <c r="F154" i="8" a="1"/>
  <c r="F165" i="8" a="1"/>
  <c r="D106" i="8" a="1"/>
  <c r="F139" i="8" a="1"/>
  <c r="F147" i="8" a="1"/>
  <c r="D103" i="8" a="1"/>
  <c r="F162" i="8" a="1"/>
  <c r="F169" i="8" a="1"/>
  <c r="F173" i="8" a="1"/>
  <c r="F180" i="8" a="1"/>
  <c r="D101" i="8" a="1"/>
  <c r="F112" i="8" a="1"/>
  <c r="F113" i="8" a="1"/>
  <c r="D98" i="8" a="1"/>
  <c r="F143" i="8" a="1"/>
  <c r="F155" i="8" a="1"/>
  <c r="F136" i="8" a="1"/>
  <c r="D105" i="8" a="1"/>
  <c r="F181" i="8" a="1"/>
  <c r="F121" i="8" a="1"/>
  <c r="F129" i="8" a="1"/>
  <c r="D96" i="8" a="1"/>
  <c r="F151" i="8" a="1"/>
  <c r="F166" i="8" a="1"/>
  <c r="F117" i="8" a="1"/>
  <c r="F174" i="8" a="1"/>
  <c r="D102" i="8" a="1"/>
  <c r="F156" i="8" a="1"/>
  <c r="F163" i="8" a="1"/>
  <c r="F167" i="8" a="1"/>
  <c r="F137" i="8" a="1"/>
  <c r="F141" i="8" a="1"/>
  <c r="F160" i="8" a="1"/>
  <c r="F171" i="8" a="1"/>
  <c r="F178" i="8" a="1"/>
  <c r="F120" i="8" a="1"/>
  <c r="F124" i="8" a="1"/>
  <c r="F132" i="8" a="1"/>
  <c r="F177" i="8" a="1"/>
  <c r="D100" i="8" a="1"/>
  <c r="F159" i="8" a="1"/>
  <c r="D95" i="8" a="1"/>
  <c r="F114" i="8" a="1"/>
  <c r="F125" i="8" a="1"/>
  <c r="F133" i="8" a="1"/>
  <c r="F144" i="8" a="1"/>
  <c r="F148" i="8" a="1"/>
  <c r="D97" i="8" a="1"/>
  <c r="F130" i="8" a="1"/>
  <c r="D104" i="8" a="1"/>
  <c r="F168" i="8" a="1"/>
  <c r="Y278" i="5" l="1"/>
  <c r="Y276" i="5"/>
  <c r="Y279" i="5"/>
  <c r="Y285" i="5"/>
  <c r="J247" i="5"/>
  <c r="J241" i="5" l="1"/>
  <c r="AQ187" i="5" l="1"/>
  <c r="AN187" i="5"/>
  <c r="AZ196" i="5" l="1"/>
  <c r="AX196" i="5"/>
  <c r="AW196" i="5"/>
  <c r="AS196" i="5"/>
  <c r="AQ196" i="5"/>
  <c r="AP196" i="5"/>
  <c r="AR196" i="5" s="1"/>
  <c r="AN196" i="5"/>
  <c r="AK196" i="5"/>
  <c r="AI196" i="5"/>
  <c r="AG196" i="5"/>
  <c r="V196" i="5"/>
  <c r="R196" i="5"/>
  <c r="X196" i="5" s="1"/>
  <c r="J196" i="5"/>
  <c r="BA196" i="5" l="1"/>
  <c r="AT196" i="5"/>
  <c r="W196" i="5"/>
  <c r="Y196" i="5" s="1"/>
  <c r="V232" i="5"/>
  <c r="AW198" i="5" l="1"/>
  <c r="AW194" i="5"/>
  <c r="AQ198" i="5"/>
  <c r="AQ194" i="5"/>
  <c r="R232" i="5" l="1"/>
  <c r="J232" i="5"/>
  <c r="X232" i="5" l="1"/>
  <c r="W232" i="5"/>
  <c r="AP226" i="5"/>
  <c r="AR226" i="5" s="1"/>
  <c r="AT226" i="5" s="1"/>
  <c r="AP228" i="5"/>
  <c r="AR228" i="5" s="1"/>
  <c r="AS228" i="5"/>
  <c r="AP229" i="5"/>
  <c r="AR229" i="5" s="1"/>
  <c r="AS229" i="5"/>
  <c r="AP230" i="5"/>
  <c r="AR230" i="5" s="1"/>
  <c r="AS230" i="5"/>
  <c r="AP231" i="5"/>
  <c r="AR231" i="5" s="1"/>
  <c r="AS231" i="5"/>
  <c r="AP254" i="5"/>
  <c r="AR254" i="5" s="1"/>
  <c r="AS254" i="5"/>
  <c r="AP233" i="5"/>
  <c r="AR233" i="5" s="1"/>
  <c r="AS233" i="5"/>
  <c r="AP234" i="5"/>
  <c r="AR234" i="5" s="1"/>
  <c r="AS234" i="5"/>
  <c r="AP235" i="5"/>
  <c r="AR235" i="5" s="1"/>
  <c r="AS235" i="5"/>
  <c r="AP236" i="5"/>
  <c r="AR236" i="5" s="1"/>
  <c r="AS236" i="5"/>
  <c r="AP237" i="5"/>
  <c r="AR237" i="5" s="1"/>
  <c r="AS237" i="5"/>
  <c r="AP238" i="5"/>
  <c r="AR238" i="5" s="1"/>
  <c r="AP239" i="5"/>
  <c r="AR239" i="5" s="1"/>
  <c r="AS239" i="5"/>
  <c r="AP242" i="5"/>
  <c r="AR242" i="5" s="1"/>
  <c r="AS242" i="5"/>
  <c r="AP243" i="5"/>
  <c r="AR243" i="5" s="1"/>
  <c r="AS243" i="5"/>
  <c r="AP227" i="5"/>
  <c r="AR227" i="5" s="1"/>
  <c r="AT227" i="5" s="1"/>
  <c r="AP240" i="5"/>
  <c r="AR240" i="5" s="1"/>
  <c r="AS240" i="5"/>
  <c r="AP241" i="5"/>
  <c r="AR241" i="5" s="1"/>
  <c r="AS241" i="5"/>
  <c r="AP244" i="5"/>
  <c r="AR244" i="5" s="1"/>
  <c r="AS244" i="5"/>
  <c r="AP247" i="5"/>
  <c r="AR247" i="5" s="1"/>
  <c r="AS247" i="5"/>
  <c r="AP250" i="5"/>
  <c r="AR250" i="5" s="1"/>
  <c r="AS250" i="5"/>
  <c r="AP251" i="5"/>
  <c r="AR251" i="5" s="1"/>
  <c r="AS251" i="5"/>
  <c r="AP252" i="5"/>
  <c r="AR252" i="5" s="1"/>
  <c r="AS252" i="5"/>
  <c r="AP249" i="5"/>
  <c r="AR249" i="5" s="1"/>
  <c r="AS249" i="5"/>
  <c r="AP253" i="5"/>
  <c r="AR253" i="5" s="1"/>
  <c r="AS253" i="5"/>
  <c r="AP246" i="5"/>
  <c r="AR246" i="5" s="1"/>
  <c r="AS246" i="5"/>
  <c r="AP245" i="5"/>
  <c r="AR245" i="5" s="1"/>
  <c r="AS245" i="5"/>
  <c r="AP255" i="5"/>
  <c r="AR255" i="5" s="1"/>
  <c r="AS255" i="5"/>
  <c r="AP259" i="5"/>
  <c r="AR259" i="5" s="1"/>
  <c r="AS259" i="5"/>
  <c r="AP260" i="5"/>
  <c r="AR260" i="5" s="1"/>
  <c r="AS260" i="5"/>
  <c r="AP263" i="5"/>
  <c r="AR263" i="5" s="1"/>
  <c r="AS263" i="5"/>
  <c r="AP262" i="5"/>
  <c r="AR262" i="5" s="1"/>
  <c r="AS262" i="5"/>
  <c r="AP264" i="5"/>
  <c r="AR264" i="5" s="1"/>
  <c r="AS264" i="5"/>
  <c r="AP265" i="5"/>
  <c r="AR265" i="5" s="1"/>
  <c r="AS265" i="5"/>
  <c r="AP266" i="5"/>
  <c r="AR266" i="5" s="1"/>
  <c r="AS266" i="5"/>
  <c r="AR267" i="5"/>
  <c r="AS267" i="5"/>
  <c r="AP269" i="5"/>
  <c r="AR269" i="5" s="1"/>
  <c r="AS269" i="5"/>
  <c r="AP248" i="5"/>
  <c r="AR248" i="5" s="1"/>
  <c r="AS248" i="5"/>
  <c r="AP270" i="5"/>
  <c r="AR270" i="5" s="1"/>
  <c r="AS270" i="5"/>
  <c r="AP271" i="5"/>
  <c r="AR271" i="5" s="1"/>
  <c r="AS271" i="5"/>
  <c r="AP272" i="5"/>
  <c r="AR272" i="5" s="1"/>
  <c r="AS272" i="5"/>
  <c r="AP273" i="5"/>
  <c r="AR273" i="5" s="1"/>
  <c r="AS273" i="5"/>
  <c r="AP274" i="5"/>
  <c r="AR274" i="5" s="1"/>
  <c r="AS274" i="5"/>
  <c r="AP281" i="5"/>
  <c r="AR281" i="5" s="1"/>
  <c r="AS281" i="5"/>
  <c r="AP282" i="5"/>
  <c r="AR282" i="5" s="1"/>
  <c r="AS282" i="5"/>
  <c r="AP280" i="5"/>
  <c r="AR280" i="5" s="1"/>
  <c r="AS280" i="5"/>
  <c r="AP283" i="5"/>
  <c r="AR283" i="5" s="1"/>
  <c r="AS283" i="5"/>
  <c r="AP284" i="5"/>
  <c r="AR284" i="5" s="1"/>
  <c r="AS284" i="5"/>
  <c r="AR286" i="5"/>
  <c r="AS286" i="5"/>
  <c r="AP287" i="5"/>
  <c r="AR287" i="5" s="1"/>
  <c r="AS287" i="5"/>
  <c r="AP289" i="5"/>
  <c r="AR289" i="5" s="1"/>
  <c r="AS289" i="5"/>
  <c r="AP290" i="5"/>
  <c r="AR290" i="5" s="1"/>
  <c r="AS290" i="5"/>
  <c r="AR291" i="5"/>
  <c r="AS291" i="5"/>
  <c r="AP294" i="5"/>
  <c r="AR294" i="5" s="1"/>
  <c r="AS294" i="5"/>
  <c r="AP256" i="5"/>
  <c r="AR256" i="5" s="1"/>
  <c r="AS256" i="5"/>
  <c r="AP296" i="5"/>
  <c r="AR296" i="5" s="1"/>
  <c r="AS296" i="5"/>
  <c r="AP298" i="5"/>
  <c r="AR298" i="5" s="1"/>
  <c r="AS298" i="5"/>
  <c r="AP299" i="5"/>
  <c r="AR299" i="5" s="1"/>
  <c r="AS299" i="5"/>
  <c r="AR300" i="5"/>
  <c r="AS300" i="5"/>
  <c r="AP301" i="5"/>
  <c r="AR301" i="5" s="1"/>
  <c r="AS301" i="5"/>
  <c r="AP302" i="5"/>
  <c r="AR302" i="5" s="1"/>
  <c r="AS302" i="5"/>
  <c r="AP303" i="5"/>
  <c r="AR303" i="5" s="1"/>
  <c r="AS303" i="5"/>
  <c r="AP306" i="5"/>
  <c r="AR306" i="5" s="1"/>
  <c r="AS306" i="5"/>
  <c r="AP304" i="5"/>
  <c r="AR304" i="5" s="1"/>
  <c r="AS304" i="5"/>
  <c r="AP307" i="5"/>
  <c r="AR307" i="5" s="1"/>
  <c r="AS307" i="5"/>
  <c r="AP309" i="5"/>
  <c r="AR309" i="5" s="1"/>
  <c r="AS309" i="5"/>
  <c r="AR310" i="5"/>
  <c r="AS310" i="5"/>
  <c r="AP312" i="5"/>
  <c r="AR312" i="5" s="1"/>
  <c r="AS312" i="5"/>
  <c r="AP275" i="5"/>
  <c r="AR275" i="5" s="1"/>
  <c r="AS275" i="5"/>
  <c r="AP313" i="5"/>
  <c r="AR313" i="5" s="1"/>
  <c r="AS313" i="5"/>
  <c r="AP314" i="5"/>
  <c r="AR314" i="5" s="1"/>
  <c r="AS314" i="5"/>
  <c r="AP315" i="5"/>
  <c r="AR315" i="5" s="1"/>
  <c r="AS315" i="5"/>
  <c r="AP316" i="5"/>
  <c r="AR316" i="5" s="1"/>
  <c r="AS316" i="5"/>
  <c r="AP317" i="5"/>
  <c r="AR317" i="5" s="1"/>
  <c r="AS317" i="5"/>
  <c r="AP320" i="5"/>
  <c r="AR320" i="5" s="1"/>
  <c r="AS320" i="5"/>
  <c r="AP319" i="5"/>
  <c r="AR319" i="5" s="1"/>
  <c r="AS319" i="5"/>
  <c r="AP321" i="5"/>
  <c r="AR321" i="5" s="1"/>
  <c r="AS321" i="5"/>
  <c r="AP322" i="5"/>
  <c r="AR322" i="5" s="1"/>
  <c r="AS322" i="5"/>
  <c r="AP323" i="5"/>
  <c r="AR323" i="5" s="1"/>
  <c r="AS323" i="5"/>
  <c r="AP324" i="5"/>
  <c r="AR324" i="5" s="1"/>
  <c r="AS324" i="5"/>
  <c r="AP326" i="5"/>
  <c r="AR326" i="5" s="1"/>
  <c r="AS326" i="5"/>
  <c r="AP327" i="5"/>
  <c r="AR327" i="5" s="1"/>
  <c r="AS327" i="5"/>
  <c r="AP328" i="5"/>
  <c r="AR328" i="5" s="1"/>
  <c r="AS328" i="5"/>
  <c r="AP329" i="5"/>
  <c r="AR329" i="5" s="1"/>
  <c r="AS329" i="5"/>
  <c r="AP325" i="5"/>
  <c r="AR325" i="5" s="1"/>
  <c r="AS325" i="5"/>
  <c r="AP331" i="5"/>
  <c r="AR331" i="5" s="1"/>
  <c r="AS331" i="5"/>
  <c r="AP330" i="5"/>
  <c r="AR330" i="5" s="1"/>
  <c r="AS330" i="5"/>
  <c r="AP332" i="5"/>
  <c r="AR332" i="5" s="1"/>
  <c r="AS332" i="5"/>
  <c r="AP333" i="5"/>
  <c r="AR333" i="5" s="1"/>
  <c r="AS333" i="5"/>
  <c r="AP334" i="5"/>
  <c r="AR334" i="5" s="1"/>
  <c r="AS334" i="5"/>
  <c r="AP335" i="5"/>
  <c r="AR335" i="5" s="1"/>
  <c r="AS335" i="5"/>
  <c r="AP337" i="5"/>
  <c r="AR337" i="5" s="1"/>
  <c r="AS337" i="5"/>
  <c r="AP336" i="5"/>
  <c r="AR336" i="5" s="1"/>
  <c r="AS336" i="5"/>
  <c r="AP338" i="5"/>
  <c r="AR338" i="5" s="1"/>
  <c r="AS338" i="5"/>
  <c r="AP339" i="5"/>
  <c r="AR339" i="5" s="1"/>
  <c r="AS339" i="5"/>
  <c r="AP340" i="5"/>
  <c r="AR340" i="5" s="1"/>
  <c r="AS340" i="5"/>
  <c r="AP341" i="5"/>
  <c r="AR341" i="5" s="1"/>
  <c r="AS341" i="5"/>
  <c r="AP342" i="5"/>
  <c r="AR342" i="5" s="1"/>
  <c r="AS342" i="5"/>
  <c r="AP343" i="5"/>
  <c r="AR343" i="5" s="1"/>
  <c r="AS343" i="5"/>
  <c r="AP344" i="5"/>
  <c r="AR344" i="5" s="1"/>
  <c r="AS344" i="5"/>
  <c r="AP346" i="5"/>
  <c r="AR346" i="5" s="1"/>
  <c r="AS346" i="5"/>
  <c r="AP347" i="5"/>
  <c r="AR347" i="5" s="1"/>
  <c r="AS347" i="5"/>
  <c r="AP348" i="5"/>
  <c r="AR348" i="5" s="1"/>
  <c r="AS348" i="5"/>
  <c r="AP349" i="5"/>
  <c r="AR349" i="5" s="1"/>
  <c r="AS349" i="5"/>
  <c r="AP350" i="5"/>
  <c r="AR350" i="5" s="1"/>
  <c r="AS350" i="5"/>
  <c r="AP351" i="5"/>
  <c r="AR351" i="5" s="1"/>
  <c r="AS351" i="5"/>
  <c r="AP352" i="5"/>
  <c r="AR352" i="5" s="1"/>
  <c r="AS352" i="5"/>
  <c r="AP353" i="5"/>
  <c r="AR353" i="5" s="1"/>
  <c r="AS353" i="5"/>
  <c r="AP354" i="5"/>
  <c r="AR354" i="5" s="1"/>
  <c r="AS354" i="5"/>
  <c r="AP355" i="5"/>
  <c r="AR355" i="5" s="1"/>
  <c r="AS355" i="5"/>
  <c r="AP356" i="5"/>
  <c r="AR356" i="5" s="1"/>
  <c r="AS356" i="5"/>
  <c r="AP357" i="5"/>
  <c r="AR357" i="5" s="1"/>
  <c r="AS357" i="5"/>
  <c r="AP358" i="5"/>
  <c r="AR358" i="5" s="1"/>
  <c r="AS358" i="5"/>
  <c r="AP359" i="5"/>
  <c r="AR359" i="5" s="1"/>
  <c r="AS359" i="5"/>
  <c r="AP360" i="5"/>
  <c r="AR360" i="5" s="1"/>
  <c r="AS360" i="5"/>
  <c r="AP361" i="5"/>
  <c r="AR361" i="5" s="1"/>
  <c r="AS361" i="5"/>
  <c r="AP362" i="5"/>
  <c r="AR362" i="5" s="1"/>
  <c r="AS362" i="5"/>
  <c r="AP363" i="5"/>
  <c r="AR363" i="5" s="1"/>
  <c r="AS363" i="5"/>
  <c r="AP364" i="5"/>
  <c r="AR364" i="5" s="1"/>
  <c r="AS364" i="5"/>
  <c r="AP365" i="5"/>
  <c r="AR365" i="5" s="1"/>
  <c r="AS365" i="5"/>
  <c r="AP366" i="5"/>
  <c r="AR366" i="5" s="1"/>
  <c r="AS366" i="5"/>
  <c r="AP367" i="5"/>
  <c r="AR367" i="5" s="1"/>
  <c r="AS367" i="5"/>
  <c r="AP368" i="5"/>
  <c r="AR368" i="5" s="1"/>
  <c r="AS368" i="5"/>
  <c r="AP369" i="5"/>
  <c r="AR369" i="5" s="1"/>
  <c r="AS369" i="5"/>
  <c r="AP370" i="5"/>
  <c r="AR370" i="5" s="1"/>
  <c r="AS370" i="5"/>
  <c r="AP371" i="5"/>
  <c r="AR371" i="5" s="1"/>
  <c r="AS371" i="5"/>
  <c r="AP372" i="5"/>
  <c r="AR372" i="5" s="1"/>
  <c r="AS372" i="5"/>
  <c r="AP373" i="5"/>
  <c r="AR373" i="5" s="1"/>
  <c r="AS373" i="5"/>
  <c r="AP374" i="5"/>
  <c r="AR374" i="5" s="1"/>
  <c r="AS374" i="5"/>
  <c r="AP375" i="5"/>
  <c r="AR375" i="5" s="1"/>
  <c r="AS375" i="5"/>
  <c r="AP376" i="5"/>
  <c r="AR376" i="5" s="1"/>
  <c r="AS376" i="5"/>
  <c r="AP377" i="5"/>
  <c r="AR377" i="5" s="1"/>
  <c r="AS377" i="5"/>
  <c r="AP378" i="5"/>
  <c r="AR378" i="5" s="1"/>
  <c r="AS378" i="5"/>
  <c r="AP379" i="5"/>
  <c r="AR379" i="5" s="1"/>
  <c r="AS379" i="5"/>
  <c r="AP380" i="5"/>
  <c r="AR380" i="5" s="1"/>
  <c r="AS380" i="5"/>
  <c r="AP381" i="5"/>
  <c r="AR381" i="5" s="1"/>
  <c r="AS381" i="5"/>
  <c r="AP382" i="5"/>
  <c r="AR382" i="5" s="1"/>
  <c r="AS382" i="5"/>
  <c r="AP383" i="5"/>
  <c r="AR383" i="5" s="1"/>
  <c r="AS383" i="5"/>
  <c r="AP384" i="5"/>
  <c r="AR384" i="5" s="1"/>
  <c r="AS384" i="5"/>
  <c r="AP385" i="5"/>
  <c r="AR385" i="5" s="1"/>
  <c r="AS385" i="5"/>
  <c r="AP386" i="5"/>
  <c r="AR386" i="5" s="1"/>
  <c r="AS386" i="5"/>
  <c r="AP387" i="5"/>
  <c r="AR387" i="5" s="1"/>
  <c r="AS387" i="5"/>
  <c r="AP388" i="5"/>
  <c r="AR388" i="5" s="1"/>
  <c r="AS388" i="5"/>
  <c r="AP389" i="5"/>
  <c r="AR389" i="5" s="1"/>
  <c r="AS389" i="5"/>
  <c r="AP390" i="5"/>
  <c r="AR390" i="5" s="1"/>
  <c r="AS390" i="5"/>
  <c r="AP391" i="5"/>
  <c r="AR391" i="5" s="1"/>
  <c r="AS391" i="5"/>
  <c r="AP392" i="5"/>
  <c r="AR392" i="5" s="1"/>
  <c r="AS392" i="5"/>
  <c r="AP393" i="5"/>
  <c r="AR393" i="5" s="1"/>
  <c r="AS393" i="5"/>
  <c r="AP394" i="5"/>
  <c r="AR394" i="5" s="1"/>
  <c r="AS394" i="5"/>
  <c r="AP395" i="5"/>
  <c r="AR395" i="5" s="1"/>
  <c r="AS395" i="5"/>
  <c r="AP396" i="5"/>
  <c r="AR396" i="5" s="1"/>
  <c r="AS396" i="5"/>
  <c r="AP397" i="5"/>
  <c r="AR397" i="5" s="1"/>
  <c r="AS397" i="5"/>
  <c r="AP398" i="5"/>
  <c r="AR398" i="5" s="1"/>
  <c r="AS398" i="5"/>
  <c r="AP399" i="5"/>
  <c r="AR399" i="5" s="1"/>
  <c r="AS399" i="5"/>
  <c r="AP400" i="5"/>
  <c r="AR400" i="5" s="1"/>
  <c r="AS400" i="5"/>
  <c r="AP401" i="5"/>
  <c r="AR401" i="5" s="1"/>
  <c r="AS401" i="5"/>
  <c r="AP402" i="5"/>
  <c r="AR402" i="5" s="1"/>
  <c r="AS402" i="5"/>
  <c r="AP403" i="5"/>
  <c r="AR403" i="5" s="1"/>
  <c r="AS403" i="5"/>
  <c r="AP404" i="5"/>
  <c r="AR404" i="5" s="1"/>
  <c r="AS404" i="5"/>
  <c r="AP405" i="5"/>
  <c r="AR405" i="5" s="1"/>
  <c r="AS405" i="5"/>
  <c r="AP406" i="5"/>
  <c r="AR406" i="5" s="1"/>
  <c r="AS406" i="5"/>
  <c r="AP407" i="5"/>
  <c r="AR407" i="5" s="1"/>
  <c r="AS407" i="5"/>
  <c r="AP408" i="5"/>
  <c r="AR408" i="5" s="1"/>
  <c r="AS408" i="5"/>
  <c r="AP409" i="5"/>
  <c r="AR409" i="5" s="1"/>
  <c r="AS409" i="5"/>
  <c r="AP410" i="5"/>
  <c r="AR410" i="5" s="1"/>
  <c r="AS410" i="5"/>
  <c r="AP411" i="5"/>
  <c r="AR411" i="5" s="1"/>
  <c r="AS411" i="5"/>
  <c r="AP412" i="5"/>
  <c r="AR412" i="5" s="1"/>
  <c r="AS412" i="5"/>
  <c r="AP413" i="5"/>
  <c r="AR413" i="5" s="1"/>
  <c r="AS413" i="5"/>
  <c r="AS225" i="5"/>
  <c r="AP225" i="5"/>
  <c r="AR225" i="5" s="1"/>
  <c r="AP219" i="5"/>
  <c r="AR219" i="5" s="1"/>
  <c r="AP220" i="5"/>
  <c r="AR220" i="5" s="1"/>
  <c r="AP222" i="5"/>
  <c r="AR222" i="5" s="1"/>
  <c r="AT222" i="5" s="1"/>
  <c r="AP223" i="5"/>
  <c r="AR223" i="5" s="1"/>
  <c r="AT223" i="5" s="1"/>
  <c r="AP224" i="5"/>
  <c r="AR224" i="5" s="1"/>
  <c r="AS183" i="5"/>
  <c r="AS216" i="5"/>
  <c r="F212" i="7" a="1"/>
  <c r="E212" i="7" a="1"/>
  <c r="D212" i="7" a="1"/>
  <c r="C212" i="7" a="1"/>
  <c r="F211" i="7" a="1"/>
  <c r="E211" i="7" a="1"/>
  <c r="D211" i="7" a="1"/>
  <c r="C211" i="7" a="1"/>
  <c r="F210" i="7" a="1"/>
  <c r="E210" i="7" a="1"/>
  <c r="D210" i="7" a="1"/>
  <c r="C210" i="7" a="1"/>
  <c r="F209" i="7" a="1"/>
  <c r="E209" i="7" a="1"/>
  <c r="D209" i="7" a="1"/>
  <c r="C209" i="7" a="1"/>
  <c r="F208" i="7" a="1"/>
  <c r="E208" i="7" a="1"/>
  <c r="D208" i="7" a="1"/>
  <c r="C208" i="7" a="1"/>
  <c r="F204" i="7" a="1"/>
  <c r="E204" i="7" a="1"/>
  <c r="D204" i="7" a="1"/>
  <c r="C204" i="7" a="1"/>
  <c r="F203" i="7" a="1"/>
  <c r="E203" i="7" a="1"/>
  <c r="D203" i="7" a="1"/>
  <c r="C203" i="7" a="1"/>
  <c r="F202" i="7" a="1"/>
  <c r="E202" i="7" a="1"/>
  <c r="D202" i="7" a="1"/>
  <c r="C202" i="7" a="1"/>
  <c r="F201" i="7" a="1"/>
  <c r="E201" i="7" a="1"/>
  <c r="D201" i="7" a="1"/>
  <c r="C201" i="7" a="1"/>
  <c r="F200" i="7" a="1"/>
  <c r="E200" i="7" a="1"/>
  <c r="D200" i="7" a="1"/>
  <c r="C200" i="7" a="1"/>
  <c r="F196" i="7" a="1"/>
  <c r="E196" i="7" a="1"/>
  <c r="D196" i="7" a="1"/>
  <c r="C196" i="7" a="1"/>
  <c r="F195" i="7" a="1"/>
  <c r="E195" i="7" a="1"/>
  <c r="D195" i="7" a="1"/>
  <c r="C195" i="7" a="1"/>
  <c r="F194" i="7" a="1"/>
  <c r="E194" i="7" a="1"/>
  <c r="D194" i="7" a="1"/>
  <c r="C194" i="7" a="1"/>
  <c r="F193" i="7" a="1"/>
  <c r="E193" i="7" a="1"/>
  <c r="D193" i="7" a="1"/>
  <c r="C193" i="7" a="1"/>
  <c r="F192" i="7" a="1"/>
  <c r="E192" i="7" a="1"/>
  <c r="D192" i="7" a="1"/>
  <c r="C192" i="7" a="1"/>
  <c r="F188" i="7" a="1"/>
  <c r="E188" i="7" a="1"/>
  <c r="D188" i="7" a="1"/>
  <c r="C188" i="7" a="1"/>
  <c r="F187" i="7" a="1"/>
  <c r="E187" i="7" a="1"/>
  <c r="D187" i="7" a="1"/>
  <c r="C187" i="7" a="1"/>
  <c r="F186" i="7" a="1"/>
  <c r="E186" i="7" a="1"/>
  <c r="D186" i="7" a="1"/>
  <c r="C186" i="7" a="1"/>
  <c r="F185" i="7" a="1"/>
  <c r="E185" i="7" a="1"/>
  <c r="D185" i="7" a="1"/>
  <c r="C185" i="7" a="1"/>
  <c r="F184" i="7" a="1"/>
  <c r="E184" i="7" a="1"/>
  <c r="D184" i="7" a="1"/>
  <c r="C184" i="7" a="1"/>
  <c r="F180" i="7" a="1"/>
  <c r="E180" i="7" a="1"/>
  <c r="D180" i="7" a="1"/>
  <c r="C180" i="7" a="1"/>
  <c r="F179" i="7" a="1"/>
  <c r="E179" i="7" a="1"/>
  <c r="D179" i="7" a="1"/>
  <c r="C179" i="7" a="1"/>
  <c r="F178" i="7" a="1"/>
  <c r="E178" i="7" a="1"/>
  <c r="D178" i="7" a="1"/>
  <c r="C178" i="7" a="1"/>
  <c r="F177" i="7" a="1"/>
  <c r="E177" i="7" a="1"/>
  <c r="D177" i="7" a="1"/>
  <c r="C177" i="7" a="1"/>
  <c r="F176" i="7" a="1"/>
  <c r="E176" i="7" a="1"/>
  <c r="D176" i="7" a="1"/>
  <c r="C176" i="7" a="1"/>
  <c r="F172" i="7" a="1"/>
  <c r="E172" i="7" a="1"/>
  <c r="D172" i="7" a="1"/>
  <c r="C172" i="7" a="1"/>
  <c r="F171" i="7" a="1"/>
  <c r="E171" i="7" a="1"/>
  <c r="D171" i="7" a="1"/>
  <c r="C171" i="7" a="1"/>
  <c r="F170" i="7" a="1"/>
  <c r="E170" i="7" a="1"/>
  <c r="D170" i="7" a="1"/>
  <c r="C170" i="7" a="1"/>
  <c r="F169" i="7" a="1"/>
  <c r="E169" i="7" a="1"/>
  <c r="D169" i="7" a="1"/>
  <c r="C169" i="7" a="1"/>
  <c r="F168" i="7" a="1"/>
  <c r="E168" i="7" a="1"/>
  <c r="D168" i="7" a="1"/>
  <c r="C168" i="7" a="1"/>
  <c r="F164" i="7" a="1"/>
  <c r="E164" i="7" a="1"/>
  <c r="D164" i="7" a="1"/>
  <c r="C164" i="7" a="1"/>
  <c r="F163" i="7" a="1"/>
  <c r="E163" i="7" a="1"/>
  <c r="D163" i="7" a="1"/>
  <c r="C163" i="7" a="1"/>
  <c r="F162" i="7" a="1"/>
  <c r="E162" i="7" a="1"/>
  <c r="D162" i="7" a="1"/>
  <c r="C162" i="7" a="1"/>
  <c r="F161" i="7" a="1"/>
  <c r="E161" i="7" a="1"/>
  <c r="D161" i="7" a="1"/>
  <c r="C161" i="7" a="1"/>
  <c r="F160" i="7" a="1"/>
  <c r="E160" i="7" a="1"/>
  <c r="D160" i="7" a="1"/>
  <c r="C160" i="7" a="1"/>
  <c r="F156" i="7" a="1"/>
  <c r="E156" i="7" a="1"/>
  <c r="D156" i="7" a="1"/>
  <c r="C156" i="7" a="1"/>
  <c r="F155" i="7" a="1"/>
  <c r="E155" i="7" a="1"/>
  <c r="D155" i="7" a="1"/>
  <c r="C155" i="7" a="1"/>
  <c r="F154" i="7" a="1"/>
  <c r="E154" i="7" a="1"/>
  <c r="D154" i="7" a="1"/>
  <c r="C154" i="7" a="1"/>
  <c r="F153" i="7" a="1"/>
  <c r="E153" i="7" a="1"/>
  <c r="D153" i="7" a="1"/>
  <c r="C153" i="7" a="1"/>
  <c r="F152" i="7" a="1"/>
  <c r="E152" i="7" a="1"/>
  <c r="D152" i="7" a="1"/>
  <c r="C152" i="7" a="1"/>
  <c r="AP183" i="5"/>
  <c r="AR183" i="5" s="1"/>
  <c r="J183" i="5"/>
  <c r="AG216" i="5"/>
  <c r="I92" i="8" a="1"/>
  <c r="I91" i="8" a="1"/>
  <c r="C90" i="8" a="1"/>
  <c r="C89" i="8" a="1"/>
  <c r="C88" i="8" a="1"/>
  <c r="B116" i="7" a="1"/>
  <c r="C134" i="7" s="1" a="1"/>
  <c r="B103" i="7" a="1"/>
  <c r="C7" i="7" a="1"/>
  <c r="C22" i="7" a="1"/>
  <c r="C21" i="7" a="1"/>
  <c r="C20" i="7" a="1"/>
  <c r="C19" i="7" a="1"/>
  <c r="C18" i="7" a="1"/>
  <c r="C17" i="7" a="1"/>
  <c r="C16" i="7" a="1"/>
  <c r="C15" i="7" a="1"/>
  <c r="C14" i="7" a="1"/>
  <c r="C13" i="7" a="1"/>
  <c r="C12" i="7" a="1"/>
  <c r="C11" i="7" a="1"/>
  <c r="R222" i="5"/>
  <c r="R212" i="5"/>
  <c r="X212" i="5" s="1"/>
  <c r="V212" i="5"/>
  <c r="V206" i="5"/>
  <c r="R206" i="5"/>
  <c r="X206" i="5" s="1"/>
  <c r="AG198" i="5"/>
  <c r="J198" i="5"/>
  <c r="V198" i="5"/>
  <c r="AP198" i="5"/>
  <c r="AR198" i="5" s="1"/>
  <c r="R198" i="5"/>
  <c r="X198" i="5" s="1"/>
  <c r="AS198" i="5"/>
  <c r="V187" i="5"/>
  <c r="AG187" i="5"/>
  <c r="J187" i="5"/>
  <c r="AP187" i="5"/>
  <c r="AR187" i="5" s="1"/>
  <c r="R187" i="5"/>
  <c r="X187" i="5" s="1"/>
  <c r="AS187" i="5"/>
  <c r="R216" i="5"/>
  <c r="R207" i="5"/>
  <c r="AK148" i="5"/>
  <c r="D134" i="7" l="1" a="1"/>
  <c r="AT254" i="5"/>
  <c r="Y232" i="5"/>
  <c r="C111" i="7" a="1"/>
  <c r="D111" i="7" a="1"/>
  <c r="AT183" i="5"/>
  <c r="W206" i="5"/>
  <c r="Y206" i="5" s="1"/>
  <c r="W212" i="5"/>
  <c r="Y212" i="5" s="1"/>
  <c r="D90" i="8" a="1"/>
  <c r="D22" i="7" a="1"/>
  <c r="D16" i="7" a="1"/>
  <c r="D15" i="7" a="1"/>
  <c r="D14" i="7" a="1"/>
  <c r="D19" i="7" a="1"/>
  <c r="D18" i="7" a="1"/>
  <c r="E7" i="7" a="1"/>
  <c r="D89" i="8" a="1"/>
  <c r="D21" i="7" a="1"/>
  <c r="D17" i="7" a="1"/>
  <c r="D20" i="7" a="1"/>
  <c r="D13" i="7" a="1"/>
  <c r="D88" i="8" a="1"/>
  <c r="D11" i="7" a="1"/>
  <c r="D12" i="7" a="1"/>
  <c r="C125" i="7" a="1"/>
  <c r="D119" i="7" a="1"/>
  <c r="D117" i="7" a="1"/>
  <c r="C132" i="7" a="1"/>
  <c r="C126" i="7" a="1"/>
  <c r="D125" i="7" a="1"/>
  <c r="D105" i="7" a="1"/>
  <c r="D107" i="7" a="1"/>
  <c r="C107" i="7" a="1"/>
  <c r="W187" i="5"/>
  <c r="Y187" i="5" s="1"/>
  <c r="C108" i="7" a="1"/>
  <c r="C120" i="7" a="1"/>
  <c r="C128" i="7" a="1"/>
  <c r="D108" i="7" a="1"/>
  <c r="D122" i="7" a="1"/>
  <c r="D128" i="7" a="1"/>
  <c r="C129" i="7" a="1"/>
  <c r="D104" i="7" a="1"/>
  <c r="D110" i="7" a="1"/>
  <c r="C123" i="7" a="1"/>
  <c r="C131" i="7" a="1"/>
  <c r="C105" i="7" a="1"/>
  <c r="C117" i="7" a="1"/>
  <c r="D131" i="7" a="1"/>
  <c r="C104" i="7" a="1"/>
  <c r="C110" i="7" a="1"/>
  <c r="C119" i="7" a="1"/>
  <c r="C122" i="7" a="1"/>
  <c r="D124" i="7" a="1"/>
  <c r="D127" i="7" a="1"/>
  <c r="C106" i="7" a="1"/>
  <c r="C109" i="7" a="1"/>
  <c r="D120" i="7" a="1"/>
  <c r="D123" i="7" a="1"/>
  <c r="D126" i="7" a="1"/>
  <c r="D129" i="7" a="1"/>
  <c r="D132" i="7" a="1"/>
  <c r="D109" i="7" a="1"/>
  <c r="C118" i="7" a="1"/>
  <c r="C121" i="7" a="1"/>
  <c r="C130" i="7" a="1"/>
  <c r="C133" i="7" a="1"/>
  <c r="D106" i="7" a="1"/>
  <c r="D118" i="7" a="1"/>
  <c r="D121" i="7" a="1"/>
  <c r="C124" i="7" a="1"/>
  <c r="C127" i="7" a="1"/>
  <c r="D130" i="7" a="1"/>
  <c r="D133" i="7" a="1"/>
  <c r="W198" i="5"/>
  <c r="Y198" i="5" s="1"/>
  <c r="AT198" i="5"/>
  <c r="AT187" i="5"/>
  <c r="J212" i="5"/>
  <c r="R211" i="5"/>
  <c r="AQ135" i="5"/>
  <c r="AK151" i="5"/>
  <c r="AK138" i="5"/>
  <c r="J206" i="5" l="1"/>
  <c r="AW155" i="5"/>
  <c r="AK155" i="5"/>
  <c r="AZ190" i="5"/>
  <c r="AX190" i="5"/>
  <c r="AW190" i="5"/>
  <c r="AN190" i="5"/>
  <c r="AK190" i="5"/>
  <c r="AI190" i="5"/>
  <c r="V190" i="5"/>
  <c r="AG190" i="5"/>
  <c r="AP190" i="5"/>
  <c r="AR190" i="5" s="1"/>
  <c r="J190" i="5"/>
  <c r="AS190" i="5"/>
  <c r="R190" i="5"/>
  <c r="X190" i="5" s="1"/>
  <c r="J182" i="5"/>
  <c r="AG133" i="5"/>
  <c r="W190" i="5" l="1"/>
  <c r="Y190" i="5" s="1"/>
  <c r="BA190" i="5"/>
  <c r="AT190" i="5"/>
  <c r="J140" i="5"/>
  <c r="J143" i="5"/>
  <c r="AK19" i="5" l="1"/>
  <c r="AK13" i="5"/>
  <c r="AK14" i="5"/>
  <c r="AK15" i="5"/>
  <c r="AK18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2" i="5"/>
  <c r="AK40" i="5"/>
  <c r="AK41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16" i="5"/>
  <c r="AK17" i="5"/>
  <c r="AK8" i="5"/>
  <c r="AK7" i="5"/>
  <c r="AK55" i="5"/>
  <c r="AK56" i="5"/>
  <c r="AK57" i="5"/>
  <c r="AK58" i="5"/>
  <c r="AK59" i="5"/>
  <c r="AK60" i="5"/>
  <c r="AK61" i="5"/>
  <c r="AK62" i="5"/>
  <c r="AK63" i="5"/>
  <c r="AK64" i="5"/>
  <c r="AK65" i="5"/>
  <c r="AK4" i="5"/>
  <c r="AK66" i="5"/>
  <c r="AK67" i="5"/>
  <c r="AK68" i="5"/>
  <c r="AK69" i="5"/>
  <c r="AK2" i="5"/>
  <c r="AK3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1" i="5"/>
  <c r="AK92" i="5"/>
  <c r="AK93" i="5"/>
  <c r="AK94" i="5"/>
  <c r="AK96" i="5"/>
  <c r="AK97" i="5"/>
  <c r="AK98" i="5"/>
  <c r="AK99" i="5"/>
  <c r="AK90" i="5"/>
  <c r="AK100" i="5"/>
  <c r="AK101" i="5"/>
  <c r="AK103" i="5"/>
  <c r="AK102" i="5"/>
  <c r="AK104" i="5"/>
  <c r="AK106" i="5"/>
  <c r="AK107" i="5"/>
  <c r="AK105" i="5"/>
  <c r="AK108" i="5"/>
  <c r="AK110" i="5"/>
  <c r="AK111" i="5"/>
  <c r="AK112" i="5"/>
  <c r="AK113" i="5"/>
  <c r="AK114" i="5"/>
  <c r="AK95" i="5"/>
  <c r="AK115" i="5"/>
  <c r="AK116" i="5"/>
  <c r="AK117" i="5"/>
  <c r="AK118" i="5"/>
  <c r="AK119" i="5"/>
  <c r="AK120" i="5"/>
  <c r="AK121" i="5"/>
  <c r="AK122" i="5"/>
  <c r="AK123" i="5"/>
  <c r="AK124" i="5"/>
  <c r="AK125" i="5"/>
  <c r="AK127" i="5"/>
  <c r="AK126" i="5"/>
  <c r="AK128" i="5"/>
  <c r="AK129" i="5"/>
  <c r="AK130" i="5"/>
  <c r="AK131" i="5"/>
  <c r="AK132" i="5"/>
  <c r="AK133" i="5"/>
  <c r="AK134" i="5"/>
  <c r="AK135" i="5"/>
  <c r="AK136" i="5"/>
  <c r="AK137" i="5"/>
  <c r="AK139" i="5"/>
  <c r="AK141" i="5"/>
  <c r="AK144" i="5"/>
  <c r="AK145" i="5"/>
  <c r="AK146" i="5"/>
  <c r="AK147" i="5"/>
  <c r="AK149" i="5"/>
  <c r="AK142" i="5"/>
  <c r="AK143" i="5"/>
  <c r="AK150" i="5"/>
  <c r="AK152" i="5"/>
  <c r="AK153" i="5"/>
  <c r="AK109" i="5"/>
  <c r="AK154" i="5"/>
  <c r="AK156" i="5"/>
  <c r="AK157" i="5"/>
  <c r="AK158" i="5"/>
  <c r="AK159" i="5"/>
  <c r="AK160" i="5"/>
  <c r="AK14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4" i="5"/>
  <c r="AK185" i="5"/>
  <c r="AK186" i="5"/>
  <c r="AK188" i="5"/>
  <c r="AK189" i="5"/>
  <c r="AK191" i="5"/>
  <c r="AK192" i="5"/>
  <c r="AK193" i="5"/>
  <c r="AK194" i="5"/>
  <c r="AK195" i="5"/>
  <c r="AK197" i="5"/>
  <c r="AK199" i="5"/>
  <c r="AK200" i="5"/>
  <c r="AK201" i="5"/>
  <c r="AK202" i="5"/>
  <c r="AK203" i="5"/>
  <c r="AK204" i="5"/>
  <c r="AK205" i="5"/>
  <c r="AK207" i="5"/>
  <c r="AK208" i="5"/>
  <c r="AK209" i="5"/>
  <c r="AK210" i="5"/>
  <c r="AK211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183" i="5"/>
  <c r="AK225" i="5"/>
  <c r="AK226" i="5"/>
  <c r="AK228" i="5"/>
  <c r="AK229" i="5"/>
  <c r="AK230" i="5"/>
  <c r="AK231" i="5"/>
  <c r="AK254" i="5"/>
  <c r="AK233" i="5"/>
  <c r="AK234" i="5"/>
  <c r="AK235" i="5"/>
  <c r="AK236" i="5"/>
  <c r="AK237" i="5"/>
  <c r="AK238" i="5"/>
  <c r="AK239" i="5"/>
  <c r="AK242" i="5"/>
  <c r="AK243" i="5"/>
  <c r="AK227" i="5"/>
  <c r="AK240" i="5"/>
  <c r="AK241" i="5"/>
  <c r="AK244" i="5"/>
  <c r="AK247" i="5"/>
  <c r="AK250" i="5"/>
  <c r="AK251" i="5"/>
  <c r="AK252" i="5"/>
  <c r="AK249" i="5"/>
  <c r="AK253" i="5"/>
  <c r="AK246" i="5"/>
  <c r="AK245" i="5"/>
  <c r="AK255" i="5"/>
  <c r="AK259" i="5"/>
  <c r="AK260" i="5"/>
  <c r="AK263" i="5"/>
  <c r="AK262" i="5"/>
  <c r="AK264" i="5"/>
  <c r="AK265" i="5"/>
  <c r="AK266" i="5"/>
  <c r="AK267" i="5"/>
  <c r="AK269" i="5"/>
  <c r="AK248" i="5"/>
  <c r="AK270" i="5"/>
  <c r="AK271" i="5"/>
  <c r="AK272" i="5"/>
  <c r="AK273" i="5"/>
  <c r="AK274" i="5"/>
  <c r="AK281" i="5"/>
  <c r="AK282" i="5"/>
  <c r="AK280" i="5"/>
  <c r="AK283" i="5"/>
  <c r="AK284" i="5"/>
  <c r="AK286" i="5"/>
  <c r="AK287" i="5"/>
  <c r="AK289" i="5"/>
  <c r="AK290" i="5"/>
  <c r="AK291" i="5"/>
  <c r="AK294" i="5"/>
  <c r="AK256" i="5"/>
  <c r="AK296" i="5"/>
  <c r="AK298" i="5"/>
  <c r="AK299" i="5"/>
  <c r="AK300" i="5"/>
  <c r="AK301" i="5"/>
  <c r="AK302" i="5"/>
  <c r="AK303" i="5"/>
  <c r="AK306" i="5"/>
  <c r="AK304" i="5"/>
  <c r="AK307" i="5"/>
  <c r="AK309" i="5"/>
  <c r="AK310" i="5"/>
  <c r="AK312" i="5"/>
  <c r="AK275" i="5"/>
  <c r="AK313" i="5"/>
  <c r="AK314" i="5"/>
  <c r="AK315" i="5"/>
  <c r="AK316" i="5"/>
  <c r="AK317" i="5"/>
  <c r="AK320" i="5"/>
  <c r="AK319" i="5"/>
  <c r="AK321" i="5"/>
  <c r="AK322" i="5"/>
  <c r="AK323" i="5"/>
  <c r="AK324" i="5"/>
  <c r="AK326" i="5"/>
  <c r="AK327" i="5"/>
  <c r="AK328" i="5"/>
  <c r="AK329" i="5"/>
  <c r="AK325" i="5"/>
  <c r="AK331" i="5"/>
  <c r="AK330" i="5"/>
  <c r="AK332" i="5"/>
  <c r="AK333" i="5"/>
  <c r="AK334" i="5"/>
  <c r="AK335" i="5"/>
  <c r="AK337" i="5"/>
  <c r="AK336" i="5"/>
  <c r="AK338" i="5"/>
  <c r="AK339" i="5"/>
  <c r="AK340" i="5"/>
  <c r="AK341" i="5"/>
  <c r="AK342" i="5"/>
  <c r="AK343" i="5"/>
  <c r="AK344" i="5"/>
  <c r="AK346" i="5"/>
  <c r="AK347" i="5"/>
  <c r="AK348" i="5"/>
  <c r="AK349" i="5"/>
  <c r="AK350" i="5"/>
  <c r="AK351" i="5"/>
  <c r="AK352" i="5"/>
  <c r="AK353" i="5"/>
  <c r="AK354" i="5"/>
  <c r="AK355" i="5"/>
  <c r="AK356" i="5"/>
  <c r="AK357" i="5"/>
  <c r="AK358" i="5"/>
  <c r="AK359" i="5"/>
  <c r="AK360" i="5"/>
  <c r="AK361" i="5"/>
  <c r="AK362" i="5"/>
  <c r="AK363" i="5"/>
  <c r="AK364" i="5"/>
  <c r="AK365" i="5"/>
  <c r="AK366" i="5"/>
  <c r="AK367" i="5"/>
  <c r="AK368" i="5"/>
  <c r="AK369" i="5"/>
  <c r="AK370" i="5"/>
  <c r="AK371" i="5"/>
  <c r="AK372" i="5"/>
  <c r="AK373" i="5"/>
  <c r="AK374" i="5"/>
  <c r="AK375" i="5"/>
  <c r="AK376" i="5"/>
  <c r="AK377" i="5"/>
  <c r="AK378" i="5"/>
  <c r="AK379" i="5"/>
  <c r="AK380" i="5"/>
  <c r="AK381" i="5"/>
  <c r="AK382" i="5"/>
  <c r="AK383" i="5"/>
  <c r="AK384" i="5"/>
  <c r="AK385" i="5"/>
  <c r="AK386" i="5"/>
  <c r="AK387" i="5"/>
  <c r="AK388" i="5"/>
  <c r="AK389" i="5"/>
  <c r="AK390" i="5"/>
  <c r="AK391" i="5"/>
  <c r="AK392" i="5"/>
  <c r="AK393" i="5"/>
  <c r="AK394" i="5"/>
  <c r="AK395" i="5"/>
  <c r="AK396" i="5"/>
  <c r="AK397" i="5"/>
  <c r="AK398" i="5"/>
  <c r="AK399" i="5"/>
  <c r="AK400" i="5"/>
  <c r="AK401" i="5"/>
  <c r="AK402" i="5"/>
  <c r="AK403" i="5"/>
  <c r="AK404" i="5"/>
  <c r="AK405" i="5"/>
  <c r="AK406" i="5"/>
  <c r="AK407" i="5"/>
  <c r="AK408" i="5"/>
  <c r="AK409" i="5"/>
  <c r="AK410" i="5"/>
  <c r="AK411" i="5"/>
  <c r="AK412" i="5"/>
  <c r="AK413" i="5"/>
  <c r="AK414" i="5"/>
  <c r="AK415" i="5"/>
  <c r="AK416" i="5"/>
  <c r="AK417" i="5"/>
  <c r="AK418" i="5"/>
  <c r="AK419" i="5"/>
  <c r="AK420" i="5"/>
  <c r="AK421" i="5"/>
  <c r="AK422" i="5"/>
  <c r="AK423" i="5"/>
  <c r="AK424" i="5"/>
  <c r="AK425" i="5"/>
  <c r="AK426" i="5"/>
  <c r="AK427" i="5"/>
  <c r="AK428" i="5"/>
  <c r="AK429" i="5"/>
  <c r="AK430" i="5"/>
  <c r="AK431" i="5"/>
  <c r="AK432" i="5"/>
  <c r="AK433" i="5"/>
  <c r="AK434" i="5"/>
  <c r="AK435" i="5"/>
  <c r="AK436" i="5"/>
  <c r="AK437" i="5"/>
  <c r="AK438" i="5"/>
  <c r="AK439" i="5"/>
  <c r="AK440" i="5"/>
  <c r="AK441" i="5"/>
  <c r="AK442" i="5"/>
  <c r="AK443" i="5"/>
  <c r="AK444" i="5"/>
  <c r="AK445" i="5"/>
  <c r="AK446" i="5"/>
  <c r="AK447" i="5"/>
  <c r="AK448" i="5"/>
  <c r="AK449" i="5"/>
  <c r="AK450" i="5"/>
  <c r="AK451" i="5"/>
  <c r="AK452" i="5"/>
  <c r="AK453" i="5"/>
  <c r="AK454" i="5"/>
  <c r="AK455" i="5"/>
  <c r="AK456" i="5"/>
  <c r="AK457" i="5"/>
  <c r="AK458" i="5"/>
  <c r="AK459" i="5"/>
  <c r="AK460" i="5"/>
  <c r="AK461" i="5"/>
  <c r="AK462" i="5"/>
  <c r="AK463" i="5"/>
  <c r="AK464" i="5"/>
  <c r="AK465" i="5"/>
  <c r="AK466" i="5"/>
  <c r="AK467" i="5"/>
  <c r="AK468" i="5"/>
  <c r="AK469" i="5"/>
  <c r="AK470" i="5"/>
  <c r="AK471" i="5"/>
  <c r="AK472" i="5"/>
  <c r="AK473" i="5"/>
  <c r="AK474" i="5"/>
  <c r="AK475" i="5"/>
  <c r="AK476" i="5"/>
  <c r="AK477" i="5"/>
  <c r="AK478" i="5"/>
  <c r="AK479" i="5"/>
  <c r="AK480" i="5"/>
  <c r="AK481" i="5"/>
  <c r="AK482" i="5"/>
  <c r="AK483" i="5"/>
  <c r="AK484" i="5"/>
  <c r="AK485" i="5"/>
  <c r="AK486" i="5"/>
  <c r="AK487" i="5"/>
  <c r="AK488" i="5"/>
  <c r="AK489" i="5"/>
  <c r="AK490" i="5"/>
  <c r="AK6" i="5"/>
  <c r="AK9" i="5"/>
  <c r="AK10" i="5"/>
  <c r="AK11" i="5"/>
  <c r="AK12" i="5"/>
  <c r="J6" i="5"/>
  <c r="J9" i="5"/>
  <c r="J10" i="5"/>
  <c r="J11" i="5"/>
  <c r="J12" i="5"/>
  <c r="J13" i="5"/>
  <c r="J14" i="5"/>
  <c r="J15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2" i="5"/>
  <c r="J40" i="5"/>
  <c r="J41" i="5"/>
  <c r="J43" i="5"/>
  <c r="J44" i="5"/>
  <c r="J45" i="5"/>
  <c r="J46" i="5"/>
  <c r="J47" i="5"/>
  <c r="J48" i="5"/>
  <c r="J49" i="5"/>
  <c r="J50" i="5"/>
  <c r="J51" i="5"/>
  <c r="J52" i="5"/>
  <c r="J53" i="5"/>
  <c r="J54" i="5"/>
  <c r="J16" i="5"/>
  <c r="J17" i="5"/>
  <c r="J8" i="5"/>
  <c r="J7" i="5"/>
  <c r="J55" i="5"/>
  <c r="J56" i="5"/>
  <c r="J57" i="5"/>
  <c r="J58" i="5"/>
  <c r="J59" i="5"/>
  <c r="J60" i="5"/>
  <c r="J61" i="5"/>
  <c r="J62" i="5"/>
  <c r="J63" i="5"/>
  <c r="J64" i="5"/>
  <c r="J65" i="5"/>
  <c r="J4" i="5"/>
  <c r="J66" i="5"/>
  <c r="J67" i="5"/>
  <c r="J68" i="5"/>
  <c r="J69" i="5"/>
  <c r="J2" i="5"/>
  <c r="J3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1" i="5"/>
  <c r="J92" i="5"/>
  <c r="J93" i="5"/>
  <c r="J94" i="5"/>
  <c r="J96" i="5"/>
  <c r="J97" i="5"/>
  <c r="J98" i="5"/>
  <c r="J99" i="5"/>
  <c r="J90" i="5"/>
  <c r="J100" i="5"/>
  <c r="J101" i="5"/>
  <c r="J103" i="5"/>
  <c r="J102" i="5"/>
  <c r="J104" i="5"/>
  <c r="J106" i="5"/>
  <c r="J107" i="5"/>
  <c r="J105" i="5"/>
  <c r="J108" i="5"/>
  <c r="J110" i="5"/>
  <c r="J111" i="5"/>
  <c r="J112" i="5"/>
  <c r="J113" i="5"/>
  <c r="J114" i="5"/>
  <c r="J95" i="5"/>
  <c r="J115" i="5"/>
  <c r="J116" i="5"/>
  <c r="J117" i="5"/>
  <c r="J118" i="5"/>
  <c r="J119" i="5"/>
  <c r="J120" i="5"/>
  <c r="J121" i="5"/>
  <c r="J122" i="5"/>
  <c r="J123" i="5"/>
  <c r="J124" i="5"/>
  <c r="J125" i="5"/>
  <c r="J127" i="5"/>
  <c r="J126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1" i="5"/>
  <c r="J144" i="5"/>
  <c r="J145" i="5"/>
  <c r="J146" i="5"/>
  <c r="J147" i="5"/>
  <c r="J149" i="5"/>
  <c r="J148" i="5"/>
  <c r="J142" i="5"/>
  <c r="J150" i="5"/>
  <c r="J151" i="5"/>
  <c r="J152" i="5"/>
  <c r="J153" i="5"/>
  <c r="J109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4" i="5"/>
  <c r="J185" i="5"/>
  <c r="J186" i="5"/>
  <c r="J188" i="5"/>
  <c r="J189" i="5"/>
  <c r="J191" i="5"/>
  <c r="J192" i="5"/>
  <c r="J193" i="5"/>
  <c r="J194" i="5"/>
  <c r="J195" i="5"/>
  <c r="J197" i="5"/>
  <c r="J199" i="5"/>
  <c r="J200" i="5"/>
  <c r="J201" i="5"/>
  <c r="J202" i="5"/>
  <c r="J203" i="5"/>
  <c r="J204" i="5"/>
  <c r="J205" i="5"/>
  <c r="J207" i="5"/>
  <c r="J208" i="5"/>
  <c r="J209" i="5"/>
  <c r="J210" i="5"/>
  <c r="J211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8" i="5"/>
  <c r="J229" i="5"/>
  <c r="J230" i="5"/>
  <c r="J231" i="5"/>
  <c r="J254" i="5"/>
  <c r="J233" i="5"/>
  <c r="J234" i="5"/>
  <c r="J235" i="5"/>
  <c r="J237" i="5"/>
  <c r="J238" i="5"/>
  <c r="J239" i="5"/>
  <c r="J242" i="5"/>
  <c r="J243" i="5"/>
  <c r="J227" i="5"/>
  <c r="J240" i="5"/>
  <c r="J244" i="5"/>
  <c r="J250" i="5"/>
  <c r="J251" i="5"/>
  <c r="J252" i="5"/>
  <c r="J249" i="5"/>
  <c r="J253" i="5"/>
  <c r="J246" i="5"/>
  <c r="J245" i="5"/>
  <c r="J255" i="5"/>
  <c r="J259" i="5"/>
  <c r="J260" i="5"/>
  <c r="J263" i="5"/>
  <c r="J262" i="5"/>
  <c r="J264" i="5"/>
  <c r="J265" i="5"/>
  <c r="J266" i="5"/>
  <c r="J267" i="5"/>
  <c r="J269" i="5"/>
  <c r="J248" i="5"/>
  <c r="J270" i="5"/>
  <c r="J271" i="5"/>
  <c r="J272" i="5"/>
  <c r="J273" i="5"/>
  <c r="J274" i="5"/>
  <c r="J281" i="5"/>
  <c r="J282" i="5"/>
  <c r="J280" i="5"/>
  <c r="J283" i="5"/>
  <c r="J284" i="5"/>
  <c r="J287" i="5"/>
  <c r="J289" i="5"/>
  <c r="J290" i="5"/>
  <c r="J291" i="5"/>
  <c r="J294" i="5"/>
  <c r="J296" i="5"/>
  <c r="J298" i="5"/>
  <c r="J299" i="5"/>
  <c r="J300" i="5"/>
  <c r="J301" i="5"/>
  <c r="J302" i="5"/>
  <c r="J303" i="5"/>
  <c r="J306" i="5"/>
  <c r="J307" i="5"/>
  <c r="J309" i="5"/>
  <c r="J310" i="5"/>
  <c r="J312" i="5"/>
  <c r="J275" i="5"/>
  <c r="J313" i="5"/>
  <c r="J314" i="5"/>
  <c r="J315" i="5"/>
  <c r="J316" i="5"/>
  <c r="J317" i="5"/>
  <c r="J320" i="5"/>
  <c r="J319" i="5"/>
  <c r="J321" i="5"/>
  <c r="J322" i="5"/>
  <c r="J323" i="5"/>
  <c r="J324" i="5"/>
  <c r="J326" i="5"/>
  <c r="J327" i="5"/>
  <c r="J328" i="5"/>
  <c r="J329" i="5"/>
  <c r="J325" i="5"/>
  <c r="J331" i="5"/>
  <c r="J330" i="5"/>
  <c r="J332" i="5"/>
  <c r="J333" i="5"/>
  <c r="J334" i="5"/>
  <c r="J335" i="5"/>
  <c r="J337" i="5"/>
  <c r="J336" i="5"/>
  <c r="J338" i="5"/>
  <c r="J339" i="5"/>
  <c r="J343" i="5"/>
  <c r="J346" i="5"/>
  <c r="J347" i="5"/>
  <c r="J348" i="5"/>
  <c r="J349" i="5"/>
  <c r="J350" i="5"/>
  <c r="J351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AS6" i="5"/>
  <c r="AS9" i="5"/>
  <c r="AS10" i="5"/>
  <c r="AS11" i="5"/>
  <c r="AS12" i="5"/>
  <c r="AS13" i="5"/>
  <c r="AS14" i="5"/>
  <c r="AS15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4" i="5"/>
  <c r="AS35" i="5"/>
  <c r="AS36" i="5"/>
  <c r="AS37" i="5"/>
  <c r="AS38" i="5"/>
  <c r="AS39" i="5"/>
  <c r="AS42" i="5"/>
  <c r="AS40" i="5"/>
  <c r="AS41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16" i="5"/>
  <c r="AS17" i="5"/>
  <c r="AS8" i="5"/>
  <c r="AS7" i="5"/>
  <c r="AS55" i="5"/>
  <c r="AS56" i="5"/>
  <c r="AS57" i="5"/>
  <c r="AS58" i="5"/>
  <c r="AS59" i="5"/>
  <c r="AS60" i="5"/>
  <c r="AS61" i="5"/>
  <c r="AS62" i="5"/>
  <c r="AS63" i="5"/>
  <c r="AS64" i="5"/>
  <c r="AS65" i="5"/>
  <c r="AS4" i="5"/>
  <c r="AS66" i="5"/>
  <c r="AS67" i="5"/>
  <c r="AS68" i="5"/>
  <c r="AS69" i="5"/>
  <c r="AS2" i="5"/>
  <c r="AS3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1" i="5"/>
  <c r="AS92" i="5"/>
  <c r="AS93" i="5"/>
  <c r="AS94" i="5"/>
  <c r="AS96" i="5"/>
  <c r="AS97" i="5"/>
  <c r="AS98" i="5"/>
  <c r="AS99" i="5"/>
  <c r="AS90" i="5"/>
  <c r="AS100" i="5"/>
  <c r="AS101" i="5"/>
  <c r="AS103" i="5"/>
  <c r="AS102" i="5"/>
  <c r="AS104" i="5"/>
  <c r="AS106" i="5"/>
  <c r="AS107" i="5"/>
  <c r="AS105" i="5"/>
  <c r="AS108" i="5"/>
  <c r="AS110" i="5"/>
  <c r="AS111" i="5"/>
  <c r="AS112" i="5"/>
  <c r="AS113" i="5"/>
  <c r="AS114" i="5"/>
  <c r="AS95" i="5"/>
  <c r="AS115" i="5"/>
  <c r="AS116" i="5"/>
  <c r="AS117" i="5"/>
  <c r="AS118" i="5"/>
  <c r="AS119" i="5"/>
  <c r="AS120" i="5"/>
  <c r="AS121" i="5"/>
  <c r="AS122" i="5"/>
  <c r="AS123" i="5"/>
  <c r="AS124" i="5"/>
  <c r="AS125" i="5"/>
  <c r="AS127" i="5"/>
  <c r="AS126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1" i="5"/>
  <c r="AS144" i="5"/>
  <c r="AS145" i="5"/>
  <c r="AS146" i="5"/>
  <c r="AS147" i="5"/>
  <c r="AS149" i="5"/>
  <c r="AS148" i="5"/>
  <c r="AS142" i="5"/>
  <c r="AS143" i="5"/>
  <c r="AS150" i="5"/>
  <c r="AS151" i="5"/>
  <c r="AS152" i="5"/>
  <c r="AS153" i="5"/>
  <c r="AS109" i="5"/>
  <c r="AS154" i="5"/>
  <c r="AS155" i="5"/>
  <c r="AS156" i="5"/>
  <c r="AS157" i="5"/>
  <c r="AS158" i="5"/>
  <c r="AS159" i="5"/>
  <c r="AS160" i="5"/>
  <c r="AS14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4" i="5"/>
  <c r="AS185" i="5"/>
  <c r="AS186" i="5"/>
  <c r="AS188" i="5"/>
  <c r="AS189" i="5"/>
  <c r="AS191" i="5"/>
  <c r="AS192" i="5"/>
  <c r="AS193" i="5"/>
  <c r="AS194" i="5"/>
  <c r="AS195" i="5"/>
  <c r="AS197" i="5"/>
  <c r="AS199" i="5"/>
  <c r="AS200" i="5"/>
  <c r="AS201" i="5"/>
  <c r="AS202" i="5"/>
  <c r="AS203" i="5"/>
  <c r="AS204" i="5"/>
  <c r="AS205" i="5"/>
  <c r="AS207" i="5"/>
  <c r="AS208" i="5"/>
  <c r="AS209" i="5"/>
  <c r="AS210" i="5"/>
  <c r="AS213" i="5"/>
  <c r="AN6" i="5"/>
  <c r="AN9" i="5"/>
  <c r="AN10" i="5"/>
  <c r="AN11" i="5"/>
  <c r="AN12" i="5"/>
  <c r="AN13" i="5"/>
  <c r="AN14" i="5"/>
  <c r="AN15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4" i="5"/>
  <c r="AN35" i="5"/>
  <c r="AN36" i="5"/>
  <c r="AN37" i="5"/>
  <c r="AN38" i="5"/>
  <c r="AN39" i="5"/>
  <c r="AN42" i="5"/>
  <c r="AN40" i="5"/>
  <c r="AN41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16" i="5"/>
  <c r="AN17" i="5"/>
  <c r="AN8" i="5"/>
  <c r="AN7" i="5"/>
  <c r="AN55" i="5"/>
  <c r="AN56" i="5"/>
  <c r="AN57" i="5"/>
  <c r="AN58" i="5"/>
  <c r="AN59" i="5"/>
  <c r="AN60" i="5"/>
  <c r="AN61" i="5"/>
  <c r="AN62" i="5"/>
  <c r="AN63" i="5"/>
  <c r="AN64" i="5"/>
  <c r="AN65" i="5"/>
  <c r="AN4" i="5"/>
  <c r="AN66" i="5"/>
  <c r="AN67" i="5"/>
  <c r="AN68" i="5"/>
  <c r="AN69" i="5"/>
  <c r="AN2" i="5"/>
  <c r="AN3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1" i="5"/>
  <c r="AN92" i="5"/>
  <c r="AN93" i="5"/>
  <c r="AN94" i="5"/>
  <c r="AN96" i="5"/>
  <c r="AN97" i="5"/>
  <c r="AN98" i="5"/>
  <c r="AN99" i="5"/>
  <c r="AN90" i="5"/>
  <c r="AN100" i="5"/>
  <c r="AN101" i="5"/>
  <c r="AN103" i="5"/>
  <c r="AN102" i="5"/>
  <c r="AN104" i="5"/>
  <c r="AN106" i="5"/>
  <c r="AN107" i="5"/>
  <c r="AN105" i="5"/>
  <c r="AN108" i="5"/>
  <c r="AN110" i="5"/>
  <c r="AN111" i="5"/>
  <c r="AN112" i="5"/>
  <c r="AN113" i="5"/>
  <c r="AN114" i="5"/>
  <c r="AN95" i="5"/>
  <c r="AN115" i="5"/>
  <c r="AN116" i="5"/>
  <c r="AN117" i="5"/>
  <c r="AN118" i="5"/>
  <c r="AN119" i="5"/>
  <c r="AN120" i="5"/>
  <c r="AN121" i="5"/>
  <c r="AN122" i="5"/>
  <c r="AN123" i="5"/>
  <c r="AN124" i="5"/>
  <c r="AN125" i="5"/>
  <c r="AN127" i="5"/>
  <c r="AN126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1" i="5"/>
  <c r="AN144" i="5"/>
  <c r="AN145" i="5"/>
  <c r="AN146" i="5"/>
  <c r="AN147" i="5"/>
  <c r="AN149" i="5"/>
  <c r="AN148" i="5"/>
  <c r="AN142" i="5"/>
  <c r="AN143" i="5"/>
  <c r="AN150" i="5"/>
  <c r="AN151" i="5"/>
  <c r="AN152" i="5"/>
  <c r="AN153" i="5"/>
  <c r="AN109" i="5"/>
  <c r="AN154" i="5"/>
  <c r="AN155" i="5"/>
  <c r="AN156" i="5"/>
  <c r="AN157" i="5"/>
  <c r="AN158" i="5"/>
  <c r="AN159" i="5"/>
  <c r="AN160" i="5"/>
  <c r="AN14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4" i="5"/>
  <c r="AN185" i="5"/>
  <c r="AN186" i="5"/>
  <c r="AN188" i="5"/>
  <c r="AN189" i="5"/>
  <c r="AN191" i="5"/>
  <c r="AN192" i="5"/>
  <c r="AN193" i="5"/>
  <c r="AN194" i="5"/>
  <c r="AN195" i="5"/>
  <c r="AN197" i="5"/>
  <c r="AN199" i="5"/>
  <c r="AN200" i="5"/>
  <c r="AN201" i="5"/>
  <c r="AN202" i="5"/>
  <c r="AN203" i="5"/>
  <c r="AN204" i="5"/>
  <c r="AN205" i="5"/>
  <c r="AN207" i="5"/>
  <c r="AN208" i="5"/>
  <c r="AN209" i="5"/>
  <c r="AN210" i="5"/>
  <c r="AN211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183" i="5"/>
  <c r="AN225" i="5"/>
  <c r="AN226" i="5"/>
  <c r="AN228" i="5"/>
  <c r="AN229" i="5"/>
  <c r="AN230" i="5"/>
  <c r="AN231" i="5"/>
  <c r="AN254" i="5"/>
  <c r="AN233" i="5"/>
  <c r="AN234" i="5"/>
  <c r="AN235" i="5"/>
  <c r="AN236" i="5"/>
  <c r="AN237" i="5"/>
  <c r="AN238" i="5"/>
  <c r="AN239" i="5"/>
  <c r="AN242" i="5"/>
  <c r="AN243" i="5"/>
  <c r="AN227" i="5"/>
  <c r="AN240" i="5"/>
  <c r="AN241" i="5"/>
  <c r="AN244" i="5"/>
  <c r="AN247" i="5"/>
  <c r="AN250" i="5"/>
  <c r="AN251" i="5"/>
  <c r="AN252" i="5"/>
  <c r="AN249" i="5"/>
  <c r="AN253" i="5"/>
  <c r="AN246" i="5"/>
  <c r="AN245" i="5"/>
  <c r="AN255" i="5"/>
  <c r="AN259" i="5"/>
  <c r="AN260" i="5"/>
  <c r="AN263" i="5"/>
  <c r="AN262" i="5"/>
  <c r="AN264" i="5"/>
  <c r="AN265" i="5"/>
  <c r="AN266" i="5"/>
  <c r="AN267" i="5"/>
  <c r="AN269" i="5"/>
  <c r="AN248" i="5"/>
  <c r="AN270" i="5"/>
  <c r="AN271" i="5"/>
  <c r="AN272" i="5"/>
  <c r="AN273" i="5"/>
  <c r="AN274" i="5"/>
  <c r="AN281" i="5"/>
  <c r="AN282" i="5"/>
  <c r="AN280" i="5"/>
  <c r="AN283" i="5"/>
  <c r="AN284" i="5"/>
  <c r="AN286" i="5"/>
  <c r="AN287" i="5"/>
  <c r="AN289" i="5"/>
  <c r="AN290" i="5"/>
  <c r="AN291" i="5"/>
  <c r="AN294" i="5"/>
  <c r="AN256" i="5"/>
  <c r="AN296" i="5"/>
  <c r="AN298" i="5"/>
  <c r="AN299" i="5"/>
  <c r="AN300" i="5"/>
  <c r="AN301" i="5"/>
  <c r="AN302" i="5"/>
  <c r="AN303" i="5"/>
  <c r="AN306" i="5"/>
  <c r="AN304" i="5"/>
  <c r="AN307" i="5"/>
  <c r="AN309" i="5"/>
  <c r="AN310" i="5"/>
  <c r="AN312" i="5"/>
  <c r="AN275" i="5"/>
  <c r="AN313" i="5"/>
  <c r="AN314" i="5"/>
  <c r="AN315" i="5"/>
  <c r="AN316" i="5"/>
  <c r="AN317" i="5"/>
  <c r="AN320" i="5"/>
  <c r="AN319" i="5"/>
  <c r="AN321" i="5"/>
  <c r="AN322" i="5"/>
  <c r="AN323" i="5"/>
  <c r="AN324" i="5"/>
  <c r="AN326" i="5"/>
  <c r="AN327" i="5"/>
  <c r="AN328" i="5"/>
  <c r="AN329" i="5"/>
  <c r="AN325" i="5"/>
  <c r="AN331" i="5"/>
  <c r="AN330" i="5"/>
  <c r="AN332" i="5"/>
  <c r="AN333" i="5"/>
  <c r="AN334" i="5"/>
  <c r="AN335" i="5"/>
  <c r="AN337" i="5"/>
  <c r="AN336" i="5"/>
  <c r="AN338" i="5"/>
  <c r="AN339" i="5"/>
  <c r="AN340" i="5"/>
  <c r="AN341" i="5"/>
  <c r="AN342" i="5"/>
  <c r="AN343" i="5"/>
  <c r="AN344" i="5"/>
  <c r="AN346" i="5"/>
  <c r="AN347" i="5"/>
  <c r="AN348" i="5"/>
  <c r="AN349" i="5"/>
  <c r="AN350" i="5"/>
  <c r="AN351" i="5"/>
  <c r="AN352" i="5"/>
  <c r="AN353" i="5"/>
  <c r="AN354" i="5"/>
  <c r="AN355" i="5"/>
  <c r="AN356" i="5"/>
  <c r="AN357" i="5"/>
  <c r="AN358" i="5"/>
  <c r="AN359" i="5"/>
  <c r="AN360" i="5"/>
  <c r="AN361" i="5"/>
  <c r="AN362" i="5"/>
  <c r="AN363" i="5"/>
  <c r="AN364" i="5"/>
  <c r="AN365" i="5"/>
  <c r="AN366" i="5"/>
  <c r="AN367" i="5"/>
  <c r="AN368" i="5"/>
  <c r="AN369" i="5"/>
  <c r="AN370" i="5"/>
  <c r="AN371" i="5"/>
  <c r="AN372" i="5"/>
  <c r="AN373" i="5"/>
  <c r="AN374" i="5"/>
  <c r="AN375" i="5"/>
  <c r="AN376" i="5"/>
  <c r="AN377" i="5"/>
  <c r="AN378" i="5"/>
  <c r="AN379" i="5"/>
  <c r="AN380" i="5"/>
  <c r="AN381" i="5"/>
  <c r="AN382" i="5"/>
  <c r="AN383" i="5"/>
  <c r="AN384" i="5"/>
  <c r="AN385" i="5"/>
  <c r="AN386" i="5"/>
  <c r="AN387" i="5"/>
  <c r="AN388" i="5"/>
  <c r="AN389" i="5"/>
  <c r="AN390" i="5"/>
  <c r="AN391" i="5"/>
  <c r="AN392" i="5"/>
  <c r="AN393" i="5"/>
  <c r="AN394" i="5"/>
  <c r="AN395" i="5"/>
  <c r="AN396" i="5"/>
  <c r="AN397" i="5"/>
  <c r="AN398" i="5"/>
  <c r="AN399" i="5"/>
  <c r="AN400" i="5"/>
  <c r="AN401" i="5"/>
  <c r="AN402" i="5"/>
  <c r="AN403" i="5"/>
  <c r="AN404" i="5"/>
  <c r="AN405" i="5"/>
  <c r="AN406" i="5"/>
  <c r="AN407" i="5"/>
  <c r="AN408" i="5"/>
  <c r="AN409" i="5"/>
  <c r="AN410" i="5"/>
  <c r="AN411" i="5"/>
  <c r="AN412" i="5"/>
  <c r="AN413" i="5"/>
  <c r="AN414" i="5"/>
  <c r="AN415" i="5"/>
  <c r="AN416" i="5"/>
  <c r="AN417" i="5"/>
  <c r="AN418" i="5"/>
  <c r="AN419" i="5"/>
  <c r="AN420" i="5"/>
  <c r="AN421" i="5"/>
  <c r="AN422" i="5"/>
  <c r="AN423" i="5"/>
  <c r="AN424" i="5"/>
  <c r="AN425" i="5"/>
  <c r="AN426" i="5"/>
  <c r="AN427" i="5"/>
  <c r="AN428" i="5"/>
  <c r="AN429" i="5"/>
  <c r="AN430" i="5"/>
  <c r="AN431" i="5"/>
  <c r="AN432" i="5"/>
  <c r="AN433" i="5"/>
  <c r="AN434" i="5"/>
  <c r="AN435" i="5"/>
  <c r="AN436" i="5"/>
  <c r="AN437" i="5"/>
  <c r="AN438" i="5"/>
  <c r="AN439" i="5"/>
  <c r="AN440" i="5"/>
  <c r="AN441" i="5"/>
  <c r="AN442" i="5"/>
  <c r="AN443" i="5"/>
  <c r="AN444" i="5"/>
  <c r="AN445" i="5"/>
  <c r="AN446" i="5"/>
  <c r="AN447" i="5"/>
  <c r="AN448" i="5"/>
  <c r="AN449" i="5"/>
  <c r="AN450" i="5"/>
  <c r="AN451" i="5"/>
  <c r="AN452" i="5"/>
  <c r="AN453" i="5"/>
  <c r="AN454" i="5"/>
  <c r="AN455" i="5"/>
  <c r="AN456" i="5"/>
  <c r="AN457" i="5"/>
  <c r="AN458" i="5"/>
  <c r="AN459" i="5"/>
  <c r="AN460" i="5"/>
  <c r="AN461" i="5"/>
  <c r="AN462" i="5"/>
  <c r="AN463" i="5"/>
  <c r="AN464" i="5"/>
  <c r="AN465" i="5"/>
  <c r="AN466" i="5"/>
  <c r="AN467" i="5"/>
  <c r="AN468" i="5"/>
  <c r="AN469" i="5"/>
  <c r="AN470" i="5"/>
  <c r="AN471" i="5"/>
  <c r="AN472" i="5"/>
  <c r="AN473" i="5"/>
  <c r="AN474" i="5"/>
  <c r="AN475" i="5"/>
  <c r="AN476" i="5"/>
  <c r="AN477" i="5"/>
  <c r="AN478" i="5"/>
  <c r="AN479" i="5"/>
  <c r="AN480" i="5"/>
  <c r="AN481" i="5"/>
  <c r="AN482" i="5"/>
  <c r="AN483" i="5"/>
  <c r="AN484" i="5"/>
  <c r="AN485" i="5"/>
  <c r="AN486" i="5"/>
  <c r="AN487" i="5"/>
  <c r="AN488" i="5"/>
  <c r="AN489" i="5"/>
  <c r="AN490" i="5"/>
  <c r="AN491" i="5"/>
  <c r="AN492" i="5"/>
  <c r="AN493" i="5"/>
  <c r="AN494" i="5"/>
  <c r="AN495" i="5"/>
  <c r="AN496" i="5"/>
  <c r="AN497" i="5"/>
  <c r="AN498" i="5"/>
  <c r="AN499" i="5"/>
  <c r="AN500" i="5"/>
  <c r="AN501" i="5"/>
  <c r="AN502" i="5"/>
  <c r="AN503" i="5"/>
  <c r="AN504" i="5"/>
  <c r="AN505" i="5"/>
  <c r="AN506" i="5"/>
  <c r="AN507" i="5"/>
  <c r="AN508" i="5"/>
  <c r="AN509" i="5"/>
  <c r="AN510" i="5"/>
  <c r="AN511" i="5"/>
  <c r="AN512" i="5"/>
  <c r="AN513" i="5"/>
  <c r="AN514" i="5"/>
  <c r="AN515" i="5"/>
  <c r="AN516" i="5"/>
  <c r="AN517" i="5"/>
  <c r="AN518" i="5"/>
  <c r="AN519" i="5"/>
  <c r="AN520" i="5"/>
  <c r="AN521" i="5"/>
  <c r="AN522" i="5"/>
  <c r="AN523" i="5"/>
  <c r="AN524" i="5"/>
  <c r="AN525" i="5"/>
  <c r="AN526" i="5"/>
  <c r="AN527" i="5"/>
  <c r="AN528" i="5"/>
  <c r="AN529" i="5"/>
  <c r="AN530" i="5"/>
  <c r="AN531" i="5"/>
  <c r="AN532" i="5"/>
  <c r="AN533" i="5"/>
  <c r="AN534" i="5"/>
  <c r="AN535" i="5"/>
  <c r="AN536" i="5"/>
  <c r="AN537" i="5"/>
  <c r="AN538" i="5"/>
  <c r="AN539" i="5"/>
  <c r="AN540" i="5"/>
  <c r="AN541" i="5"/>
  <c r="AN542" i="5"/>
  <c r="AN543" i="5"/>
  <c r="AN544" i="5"/>
  <c r="AN545" i="5"/>
  <c r="AN546" i="5"/>
  <c r="AN547" i="5"/>
  <c r="AN548" i="5"/>
  <c r="AN549" i="5"/>
  <c r="AN550" i="5"/>
  <c r="AN551" i="5"/>
  <c r="AN552" i="5"/>
  <c r="AN553" i="5"/>
  <c r="AN554" i="5"/>
  <c r="AN555" i="5"/>
  <c r="AN556" i="5"/>
  <c r="AN557" i="5"/>
  <c r="AN558" i="5"/>
  <c r="AN559" i="5"/>
  <c r="AN560" i="5"/>
  <c r="AN561" i="5"/>
  <c r="AN562" i="5"/>
  <c r="AN563" i="5"/>
  <c r="AN564" i="5"/>
  <c r="AN565" i="5"/>
  <c r="AN566" i="5"/>
  <c r="AN567" i="5"/>
  <c r="AN568" i="5"/>
  <c r="AN569" i="5"/>
  <c r="AN570" i="5"/>
  <c r="AN571" i="5"/>
  <c r="AN572" i="5"/>
  <c r="AN573" i="5"/>
  <c r="AN574" i="5"/>
  <c r="AN575" i="5"/>
  <c r="AN576" i="5"/>
  <c r="AN577" i="5"/>
  <c r="AN578" i="5"/>
  <c r="AN579" i="5"/>
  <c r="AN580" i="5"/>
  <c r="AN581" i="5"/>
  <c r="AN582" i="5"/>
  <c r="AN583" i="5"/>
  <c r="AN584" i="5"/>
  <c r="AN585" i="5"/>
  <c r="AN586" i="5"/>
  <c r="AN587" i="5"/>
  <c r="AN588" i="5"/>
  <c r="AN589" i="5"/>
  <c r="AN590" i="5"/>
  <c r="AN591" i="5"/>
  <c r="AN592" i="5"/>
  <c r="AN593" i="5"/>
  <c r="AN594" i="5"/>
  <c r="AN595" i="5"/>
  <c r="AN596" i="5"/>
  <c r="AN597" i="5"/>
  <c r="AN598" i="5"/>
  <c r="AN599" i="5"/>
  <c r="AN600" i="5"/>
  <c r="AN601" i="5"/>
  <c r="AN602" i="5"/>
  <c r="AN603" i="5"/>
  <c r="AN604" i="5"/>
  <c r="AN605" i="5"/>
  <c r="AN606" i="5"/>
  <c r="AN607" i="5"/>
  <c r="AN608" i="5"/>
  <c r="AN609" i="5"/>
  <c r="AN610" i="5"/>
  <c r="AN611" i="5"/>
  <c r="AN612" i="5"/>
  <c r="AN613" i="5"/>
  <c r="AN614" i="5"/>
  <c r="AN615" i="5"/>
  <c r="AN616" i="5"/>
  <c r="AN617" i="5"/>
  <c r="AN618" i="5"/>
  <c r="AN619" i="5"/>
  <c r="AN620" i="5"/>
  <c r="AN621" i="5"/>
  <c r="AN622" i="5"/>
  <c r="AN623" i="5"/>
  <c r="AN624" i="5"/>
  <c r="AN625" i="5"/>
  <c r="AN626" i="5"/>
  <c r="V6" i="5" l="1"/>
  <c r="V9" i="5"/>
  <c r="V10" i="5"/>
  <c r="U11" i="5"/>
  <c r="V11" i="5"/>
  <c r="V12" i="5"/>
  <c r="U13" i="5"/>
  <c r="V13" i="5"/>
  <c r="V14" i="5"/>
  <c r="V15" i="5"/>
  <c r="V18" i="5"/>
  <c r="V19" i="5"/>
  <c r="V20" i="5"/>
  <c r="V21" i="5"/>
  <c r="AP50" i="5"/>
  <c r="AR50" i="5" s="1"/>
  <c r="AT50" i="5" s="1"/>
  <c r="AI78" i="5" l="1"/>
  <c r="V76" i="5" l="1"/>
  <c r="AI9" i="5"/>
  <c r="AK5" i="5"/>
  <c r="V84" i="5" l="1"/>
  <c r="AI54" i="5" l="1"/>
  <c r="AI70" i="5"/>
  <c r="AI3" i="5"/>
  <c r="V50" i="5" l="1"/>
  <c r="AI60" i="5" l="1"/>
  <c r="AM33" i="5"/>
  <c r="AN33" i="5" l="1"/>
  <c r="AS33" i="5"/>
  <c r="U4" i="5"/>
  <c r="U7" i="5"/>
  <c r="U8" i="5"/>
  <c r="T17" i="5"/>
  <c r="U16" i="5"/>
  <c r="J5" i="8" s="1"/>
  <c r="T14" i="5"/>
  <c r="U14" i="5" l="1"/>
  <c r="AI31" i="5"/>
  <c r="E81" i="8" l="1" a="1"/>
  <c r="E49" i="8" a="1"/>
  <c r="F76" i="8" a="1"/>
  <c r="F39" i="8" a="1"/>
  <c r="F13" i="8" a="1"/>
  <c r="F34" i="8" a="1"/>
  <c r="F72" i="8" a="1"/>
  <c r="E37" i="8" a="1"/>
  <c r="F69" i="8" a="1"/>
  <c r="E21" i="8" a="1"/>
  <c r="F64" i="8" a="1"/>
  <c r="F25" i="8" a="1"/>
  <c r="F60" i="8" a="1"/>
  <c r="E27" i="8" a="1"/>
  <c r="E12" i="8" a="1"/>
  <c r="E13" i="8" a="1"/>
  <c r="E73" i="8" a="1"/>
  <c r="E46" i="8" a="1"/>
  <c r="E70" i="8" a="1"/>
  <c r="E31" i="8" a="1"/>
  <c r="F74" i="8" a="1"/>
  <c r="E28" i="8" a="1"/>
  <c r="E61" i="8" a="1"/>
  <c r="E34" i="8" a="1"/>
  <c r="F56" i="8" a="1"/>
  <c r="F19" i="8" a="1"/>
  <c r="F62" i="8" a="1"/>
  <c r="E19" i="8" a="1"/>
  <c r="E51" i="8" a="1"/>
  <c r="E25" i="8" a="1"/>
  <c r="F31" i="8" a="1"/>
  <c r="F70" i="8" a="1"/>
  <c r="E44" i="8" a="1"/>
  <c r="F66" i="8" a="1"/>
  <c r="F28" i="8" a="1"/>
  <c r="E68" i="8" a="1"/>
  <c r="E26" i="8" a="1"/>
  <c r="F58" i="8" a="1"/>
  <c r="F32" i="8" a="1"/>
  <c r="F54" i="8" a="1"/>
  <c r="F16" i="8" a="1"/>
  <c r="E58" i="8" a="1"/>
  <c r="E16" i="8" a="1"/>
  <c r="F49" i="8" a="1"/>
  <c r="F22" i="8" a="1"/>
  <c r="F44" i="8" a="1"/>
  <c r="F68" i="8" a="1"/>
  <c r="F42" i="8" a="1"/>
  <c r="F63" i="8" a="1"/>
  <c r="F26" i="8" a="1"/>
  <c r="E66" i="8" a="1"/>
  <c r="F21" i="8" a="1"/>
  <c r="E50" i="8" a="1"/>
  <c r="E24" i="8" a="1"/>
  <c r="E48" i="8" a="1"/>
  <c r="F14" i="8" a="1"/>
  <c r="E56" i="8" a="1"/>
  <c r="F12" i="8" a="1"/>
  <c r="E40" i="8" a="1"/>
  <c r="E14" i="8" a="1"/>
  <c r="E38" i="8" a="1"/>
  <c r="E60" i="8" a="1"/>
  <c r="E33" i="8" a="1"/>
  <c r="E57" i="8" a="1"/>
  <c r="F24" i="8" a="1"/>
  <c r="E63" i="8" a="1"/>
  <c r="J2" i="8" a="1"/>
  <c r="F48" i="8" a="1"/>
  <c r="E82" i="8" a="1"/>
  <c r="E45" i="8" a="1"/>
  <c r="J1" i="8" a="1"/>
  <c r="E54" i="8" a="1"/>
  <c r="E78" i="8" a="1"/>
  <c r="F38" i="8" a="1"/>
  <c r="F81" i="8" a="1"/>
  <c r="E36" i="8" a="1"/>
  <c r="F36" i="8" a="1"/>
  <c r="F57" i="8" a="1"/>
  <c r="F18" i="8" a="1"/>
  <c r="E55" i="8" a="1"/>
  <c r="E20" i="8" a="1"/>
  <c r="F61" i="8" a="1"/>
  <c r="F82" i="8" a="1"/>
  <c r="F45" i="8" a="1"/>
  <c r="E80" i="8" a="1"/>
  <c r="F40" i="8" a="1"/>
  <c r="E72" i="8" a="1"/>
  <c r="F51" i="8" a="1"/>
  <c r="F75" i="8" a="1"/>
  <c r="F79" i="8" a="1"/>
  <c r="F55" i="8" a="1"/>
  <c r="F15" i="8" a="1"/>
  <c r="F50" i="8" a="1"/>
  <c r="E18" i="8" a="1"/>
  <c r="E52" i="8" a="1"/>
  <c r="F80" i="8" a="1"/>
  <c r="F43" i="8" a="1"/>
  <c r="F78" i="8" a="1"/>
  <c r="E32" i="8" a="1"/>
  <c r="E69" i="8" a="1"/>
  <c r="E43" i="8" a="1"/>
  <c r="E67" i="8" a="1"/>
  <c r="F33" i="8" a="1"/>
  <c r="E75" i="8" a="1"/>
  <c r="E22" i="8" a="1"/>
  <c r="F52" i="8" a="1"/>
  <c r="E79" i="8" a="1"/>
  <c r="E42" i="8" a="1"/>
  <c r="E15" i="8" a="1"/>
  <c r="F37" i="8" a="1"/>
  <c r="E76" i="8" a="1"/>
  <c r="E39" i="8" a="1"/>
  <c r="E74" i="8" a="1"/>
  <c r="F30" i="8" a="1"/>
  <c r="F67" i="8" a="1"/>
  <c r="F27" i="8" a="1"/>
  <c r="E64" i="8" a="1"/>
  <c r="E30" i="8" a="1"/>
  <c r="F73" i="8" a="1"/>
  <c r="F20" i="8" a="1"/>
  <c r="E62" i="8" a="1"/>
  <c r="F46" i="8" a="1"/>
  <c r="E7" i="8" a="1"/>
  <c r="C7" i="8" a="1"/>
  <c r="H88" i="8" a="1"/>
  <c r="AQ37" i="5"/>
  <c r="I89" i="8" l="1" a="1"/>
  <c r="I90" i="8" a="1"/>
  <c r="R50" i="5"/>
  <c r="AZ27" i="5"/>
  <c r="AZ28" i="5"/>
  <c r="AT219" i="5"/>
  <c r="AT220" i="5"/>
  <c r="AT224" i="5"/>
  <c r="AT225" i="5"/>
  <c r="AT228" i="5"/>
  <c r="AT229" i="5"/>
  <c r="AT230" i="5"/>
  <c r="AT231" i="5"/>
  <c r="AT233" i="5"/>
  <c r="AT234" i="5"/>
  <c r="AT235" i="5"/>
  <c r="AT236" i="5"/>
  <c r="AT237" i="5"/>
  <c r="AT238" i="5"/>
  <c r="AT239" i="5"/>
  <c r="AT242" i="5"/>
  <c r="AT243" i="5"/>
  <c r="AT240" i="5"/>
  <c r="AT241" i="5"/>
  <c r="AT244" i="5"/>
  <c r="AT247" i="5"/>
  <c r="AT250" i="5"/>
  <c r="AT251" i="5"/>
  <c r="AT252" i="5"/>
  <c r="AT249" i="5"/>
  <c r="AT253" i="5"/>
  <c r="AT246" i="5"/>
  <c r="AT245" i="5"/>
  <c r="AT255" i="5"/>
  <c r="AT259" i="5"/>
  <c r="AT260" i="5"/>
  <c r="AT263" i="5"/>
  <c r="AT262" i="5"/>
  <c r="AT264" i="5"/>
  <c r="AT265" i="5"/>
  <c r="AT266" i="5"/>
  <c r="AT267" i="5"/>
  <c r="AT269" i="5"/>
  <c r="AT248" i="5"/>
  <c r="AT270" i="5"/>
  <c r="AT271" i="5"/>
  <c r="AT272" i="5"/>
  <c r="AT273" i="5"/>
  <c r="AT274" i="5"/>
  <c r="AT281" i="5"/>
  <c r="AT282" i="5"/>
  <c r="AT280" i="5"/>
  <c r="AT283" i="5"/>
  <c r="AT284" i="5"/>
  <c r="AT286" i="5"/>
  <c r="AT287" i="5"/>
  <c r="AT289" i="5"/>
  <c r="AT290" i="5"/>
  <c r="AT291" i="5"/>
  <c r="AT294" i="5"/>
  <c r="AT256" i="5"/>
  <c r="AT296" i="5"/>
  <c r="AT298" i="5"/>
  <c r="AT299" i="5"/>
  <c r="AT300" i="5"/>
  <c r="AT301" i="5"/>
  <c r="AT302" i="5"/>
  <c r="AT303" i="5"/>
  <c r="AT306" i="5"/>
  <c r="AT304" i="5"/>
  <c r="AT307" i="5"/>
  <c r="AT309" i="5"/>
  <c r="AT310" i="5"/>
  <c r="AT312" i="5"/>
  <c r="AT275" i="5"/>
  <c r="AT313" i="5"/>
  <c r="AT314" i="5"/>
  <c r="AT315" i="5"/>
  <c r="AT316" i="5"/>
  <c r="AT317" i="5"/>
  <c r="AT320" i="5"/>
  <c r="AT319" i="5"/>
  <c r="AT321" i="5"/>
  <c r="AT322" i="5"/>
  <c r="AT323" i="5"/>
  <c r="AT324" i="5"/>
  <c r="AT326" i="5"/>
  <c r="AT327" i="5"/>
  <c r="AT328" i="5"/>
  <c r="AT329" i="5"/>
  <c r="AT325" i="5"/>
  <c r="AT331" i="5"/>
  <c r="AT330" i="5"/>
  <c r="AT332" i="5"/>
  <c r="AT333" i="5"/>
  <c r="AT334" i="5"/>
  <c r="AT335" i="5"/>
  <c r="AT337" i="5"/>
  <c r="AT336" i="5"/>
  <c r="AT338" i="5"/>
  <c r="AT339" i="5"/>
  <c r="AT340" i="5"/>
  <c r="AT341" i="5"/>
  <c r="AT342" i="5"/>
  <c r="AT343" i="5"/>
  <c r="AT344" i="5"/>
  <c r="AT346" i="5"/>
  <c r="AT347" i="5"/>
  <c r="AT348" i="5"/>
  <c r="AT349" i="5"/>
  <c r="AT350" i="5"/>
  <c r="AT351" i="5"/>
  <c r="AT352" i="5"/>
  <c r="AT353" i="5"/>
  <c r="AT354" i="5"/>
  <c r="AT355" i="5"/>
  <c r="AT356" i="5"/>
  <c r="AT357" i="5"/>
  <c r="AT358" i="5"/>
  <c r="AT359" i="5"/>
  <c r="AT360" i="5"/>
  <c r="AT361" i="5"/>
  <c r="AT362" i="5"/>
  <c r="AT363" i="5"/>
  <c r="AT364" i="5"/>
  <c r="AT365" i="5"/>
  <c r="AT366" i="5"/>
  <c r="AT367" i="5"/>
  <c r="AT368" i="5"/>
  <c r="AT369" i="5"/>
  <c r="AT370" i="5"/>
  <c r="AT371" i="5"/>
  <c r="AT372" i="5"/>
  <c r="AT373" i="5"/>
  <c r="AT374" i="5"/>
  <c r="AT375" i="5"/>
  <c r="AT376" i="5"/>
  <c r="AT377" i="5"/>
  <c r="AT378" i="5"/>
  <c r="AT379" i="5"/>
  <c r="AT380" i="5"/>
  <c r="AT381" i="5"/>
  <c r="AT382" i="5"/>
  <c r="AT383" i="5"/>
  <c r="AT384" i="5"/>
  <c r="AT385" i="5"/>
  <c r="AT386" i="5"/>
  <c r="AT387" i="5"/>
  <c r="AT388" i="5"/>
  <c r="AT389" i="5"/>
  <c r="AT390" i="5"/>
  <c r="AT391" i="5"/>
  <c r="AT392" i="5"/>
  <c r="AT393" i="5"/>
  <c r="AT394" i="5"/>
  <c r="AT395" i="5"/>
  <c r="AT396" i="5"/>
  <c r="AT397" i="5"/>
  <c r="AT398" i="5"/>
  <c r="AT399" i="5"/>
  <c r="AT400" i="5"/>
  <c r="AT401" i="5"/>
  <c r="AT402" i="5"/>
  <c r="AT403" i="5"/>
  <c r="AT404" i="5"/>
  <c r="AT405" i="5"/>
  <c r="AT406" i="5"/>
  <c r="AT407" i="5"/>
  <c r="AT408" i="5"/>
  <c r="AT409" i="5"/>
  <c r="AT410" i="5"/>
  <c r="AT411" i="5"/>
  <c r="AT412" i="5"/>
  <c r="AT413" i="5"/>
  <c r="AT414" i="5"/>
  <c r="AT415" i="5"/>
  <c r="AT416" i="5"/>
  <c r="AT417" i="5"/>
  <c r="AT418" i="5"/>
  <c r="AT419" i="5"/>
  <c r="AT420" i="5"/>
  <c r="AT421" i="5"/>
  <c r="AT422" i="5"/>
  <c r="AT423" i="5"/>
  <c r="AT424" i="5"/>
  <c r="AT425" i="5"/>
  <c r="AT426" i="5"/>
  <c r="AT427" i="5"/>
  <c r="AT428" i="5"/>
  <c r="AT429" i="5"/>
  <c r="AT430" i="5"/>
  <c r="AT431" i="5"/>
  <c r="AT432" i="5"/>
  <c r="AT433" i="5"/>
  <c r="AT434" i="5"/>
  <c r="AT435" i="5"/>
  <c r="AT436" i="5"/>
  <c r="AT437" i="5"/>
  <c r="AT438" i="5"/>
  <c r="AT439" i="5"/>
  <c r="AT440" i="5"/>
  <c r="AT441" i="5"/>
  <c r="AT442" i="5"/>
  <c r="AT443" i="5"/>
  <c r="AT444" i="5"/>
  <c r="AT445" i="5"/>
  <c r="AT446" i="5"/>
  <c r="AT447" i="5"/>
  <c r="AT448" i="5"/>
  <c r="AT449" i="5"/>
  <c r="AT450" i="5"/>
  <c r="AT451" i="5"/>
  <c r="AT452" i="5"/>
  <c r="AT453" i="5"/>
  <c r="AT454" i="5"/>
  <c r="AT455" i="5"/>
  <c r="AT456" i="5"/>
  <c r="AT457" i="5"/>
  <c r="AT458" i="5"/>
  <c r="AT459" i="5"/>
  <c r="AT460" i="5"/>
  <c r="AT461" i="5"/>
  <c r="AT462" i="5"/>
  <c r="AT463" i="5"/>
  <c r="AT464" i="5"/>
  <c r="AT465" i="5"/>
  <c r="AT466" i="5"/>
  <c r="AT467" i="5"/>
  <c r="AT468" i="5"/>
  <c r="AT469" i="5"/>
  <c r="AT470" i="5"/>
  <c r="AT471" i="5"/>
  <c r="AT472" i="5"/>
  <c r="AT473" i="5"/>
  <c r="AT474" i="5"/>
  <c r="AT475" i="5"/>
  <c r="AT476" i="5"/>
  <c r="AT477" i="5"/>
  <c r="AT478" i="5"/>
  <c r="AT479" i="5"/>
  <c r="AT480" i="5"/>
  <c r="AT481" i="5"/>
  <c r="AT482" i="5"/>
  <c r="AT483" i="5"/>
  <c r="AT484" i="5"/>
  <c r="AT485" i="5"/>
  <c r="AT486" i="5"/>
  <c r="AT487" i="5"/>
  <c r="AT488" i="5"/>
  <c r="AT489" i="5"/>
  <c r="AT490" i="5"/>
  <c r="AT491" i="5"/>
  <c r="AT492" i="5"/>
  <c r="AT493" i="5"/>
  <c r="AT494" i="5"/>
  <c r="AT495" i="5"/>
  <c r="AT496" i="5"/>
  <c r="AT497" i="5"/>
  <c r="AT498" i="5"/>
  <c r="AT499" i="5"/>
  <c r="AT500" i="5"/>
  <c r="AT501" i="5"/>
  <c r="AT502" i="5"/>
  <c r="AT503" i="5"/>
  <c r="AT504" i="5"/>
  <c r="AT505" i="5"/>
  <c r="AT506" i="5"/>
  <c r="AT507" i="5"/>
  <c r="AT508" i="5"/>
  <c r="AT509" i="5"/>
  <c r="AT510" i="5"/>
  <c r="AT511" i="5"/>
  <c r="AT512" i="5"/>
  <c r="AT513" i="5"/>
  <c r="AT514" i="5"/>
  <c r="AT515" i="5"/>
  <c r="AT516" i="5"/>
  <c r="AT517" i="5"/>
  <c r="AT518" i="5"/>
  <c r="AT519" i="5"/>
  <c r="AT520" i="5"/>
  <c r="AT521" i="5"/>
  <c r="AT522" i="5"/>
  <c r="AT523" i="5"/>
  <c r="AT524" i="5"/>
  <c r="AT525" i="5"/>
  <c r="AT526" i="5"/>
  <c r="AT527" i="5"/>
  <c r="AT528" i="5"/>
  <c r="AT529" i="5"/>
  <c r="AT530" i="5"/>
  <c r="AT531" i="5"/>
  <c r="AT532" i="5"/>
  <c r="AT533" i="5"/>
  <c r="AT534" i="5"/>
  <c r="AT535" i="5"/>
  <c r="AT536" i="5"/>
  <c r="AT537" i="5"/>
  <c r="AT538" i="5"/>
  <c r="AT539" i="5"/>
  <c r="AT540" i="5"/>
  <c r="AT541" i="5"/>
  <c r="AT542" i="5"/>
  <c r="AT543" i="5"/>
  <c r="AT544" i="5"/>
  <c r="AT545" i="5"/>
  <c r="AT546" i="5"/>
  <c r="AT547" i="5"/>
  <c r="AT548" i="5"/>
  <c r="AT549" i="5"/>
  <c r="AT550" i="5"/>
  <c r="AT551" i="5"/>
  <c r="AT552" i="5"/>
  <c r="AT553" i="5"/>
  <c r="AT554" i="5"/>
  <c r="AT555" i="5"/>
  <c r="AT556" i="5"/>
  <c r="AT557" i="5"/>
  <c r="AT558" i="5"/>
  <c r="AT559" i="5"/>
  <c r="AT560" i="5"/>
  <c r="AT561" i="5"/>
  <c r="AT562" i="5"/>
  <c r="AT563" i="5"/>
  <c r="AT564" i="5"/>
  <c r="AT565" i="5"/>
  <c r="AT566" i="5"/>
  <c r="AT567" i="5"/>
  <c r="AT568" i="5"/>
  <c r="AT569" i="5"/>
  <c r="AT570" i="5"/>
  <c r="AT571" i="5"/>
  <c r="AT572" i="5"/>
  <c r="AT573" i="5"/>
  <c r="AT574" i="5"/>
  <c r="AT575" i="5"/>
  <c r="AT576" i="5"/>
  <c r="AT577" i="5"/>
  <c r="AT578" i="5"/>
  <c r="AT579" i="5"/>
  <c r="AT580" i="5"/>
  <c r="AT581" i="5"/>
  <c r="AT582" i="5"/>
  <c r="AT583" i="5"/>
  <c r="AT584" i="5"/>
  <c r="AT585" i="5"/>
  <c r="AT586" i="5"/>
  <c r="AT587" i="5"/>
  <c r="AT588" i="5"/>
  <c r="AT589" i="5"/>
  <c r="AT590" i="5"/>
  <c r="AT591" i="5"/>
  <c r="AT592" i="5"/>
  <c r="AT593" i="5"/>
  <c r="AT594" i="5"/>
  <c r="AT595" i="5"/>
  <c r="AT596" i="5"/>
  <c r="AT597" i="5"/>
  <c r="AT598" i="5"/>
  <c r="AT599" i="5"/>
  <c r="AT600" i="5"/>
  <c r="AT601" i="5"/>
  <c r="AT602" i="5"/>
  <c r="AT603" i="5"/>
  <c r="AT604" i="5"/>
  <c r="AT605" i="5"/>
  <c r="AT606" i="5"/>
  <c r="AT607" i="5"/>
  <c r="AT608" i="5"/>
  <c r="AT609" i="5"/>
  <c r="AT610" i="5"/>
  <c r="AT611" i="5"/>
  <c r="AT612" i="5"/>
  <c r="AT613" i="5"/>
  <c r="AT614" i="5"/>
  <c r="AT615" i="5"/>
  <c r="AT616" i="5"/>
  <c r="AT617" i="5"/>
  <c r="AT618" i="5"/>
  <c r="AT619" i="5"/>
  <c r="AT620" i="5"/>
  <c r="AT621" i="5"/>
  <c r="AT622" i="5"/>
  <c r="AT623" i="5"/>
  <c r="AT624" i="5"/>
  <c r="AT625" i="5"/>
  <c r="AT626" i="5"/>
  <c r="AI21" i="5"/>
  <c r="X50" i="5" l="1"/>
  <c r="W50" i="5"/>
  <c r="AZ626" i="5"/>
  <c r="AX626" i="5"/>
  <c r="AW626" i="5"/>
  <c r="AQ626" i="5"/>
  <c r="AI626" i="5"/>
  <c r="AG626" i="5"/>
  <c r="V626" i="5"/>
  <c r="R626" i="5"/>
  <c r="X626" i="5" s="1"/>
  <c r="AZ625" i="5"/>
  <c r="AX625" i="5"/>
  <c r="AW625" i="5"/>
  <c r="AQ625" i="5"/>
  <c r="AI625" i="5"/>
  <c r="AG625" i="5"/>
  <c r="V625" i="5"/>
  <c r="R625" i="5"/>
  <c r="X625" i="5" s="1"/>
  <c r="AZ624" i="5"/>
  <c r="AX624" i="5"/>
  <c r="AW624" i="5"/>
  <c r="AQ624" i="5"/>
  <c r="AI624" i="5"/>
  <c r="AG624" i="5"/>
  <c r="V624" i="5"/>
  <c r="R624" i="5"/>
  <c r="X624" i="5" s="1"/>
  <c r="AZ623" i="5"/>
  <c r="AX623" i="5"/>
  <c r="AW623" i="5"/>
  <c r="AQ623" i="5"/>
  <c r="AI623" i="5"/>
  <c r="AG623" i="5"/>
  <c r="V623" i="5"/>
  <c r="R623" i="5"/>
  <c r="X623" i="5" s="1"/>
  <c r="AZ622" i="5"/>
  <c r="AX622" i="5"/>
  <c r="AW622" i="5"/>
  <c r="AQ622" i="5"/>
  <c r="AI622" i="5"/>
  <c r="AG622" i="5"/>
  <c r="V622" i="5"/>
  <c r="R622" i="5"/>
  <c r="X622" i="5" s="1"/>
  <c r="AZ621" i="5"/>
  <c r="AX621" i="5"/>
  <c r="AW621" i="5"/>
  <c r="AQ621" i="5"/>
  <c r="AI621" i="5"/>
  <c r="AG621" i="5"/>
  <c r="V621" i="5"/>
  <c r="R621" i="5"/>
  <c r="X621" i="5" s="1"/>
  <c r="AZ620" i="5"/>
  <c r="AX620" i="5"/>
  <c r="AW620" i="5"/>
  <c r="AQ620" i="5"/>
  <c r="AI620" i="5"/>
  <c r="AG620" i="5"/>
  <c r="V620" i="5"/>
  <c r="R620" i="5"/>
  <c r="X620" i="5" s="1"/>
  <c r="AZ619" i="5"/>
  <c r="AX619" i="5"/>
  <c r="AW619" i="5"/>
  <c r="AQ619" i="5"/>
  <c r="AI619" i="5"/>
  <c r="AG619" i="5"/>
  <c r="V619" i="5"/>
  <c r="R619" i="5"/>
  <c r="X619" i="5" s="1"/>
  <c r="AZ618" i="5"/>
  <c r="AX618" i="5"/>
  <c r="AW618" i="5"/>
  <c r="AQ618" i="5"/>
  <c r="AI618" i="5"/>
  <c r="AG618" i="5"/>
  <c r="V618" i="5"/>
  <c r="R618" i="5"/>
  <c r="X618" i="5" s="1"/>
  <c r="AZ617" i="5"/>
  <c r="AX617" i="5"/>
  <c r="AW617" i="5"/>
  <c r="AQ617" i="5"/>
  <c r="AI617" i="5"/>
  <c r="AG617" i="5"/>
  <c r="V617" i="5"/>
  <c r="R617" i="5"/>
  <c r="X617" i="5" s="1"/>
  <c r="AZ616" i="5"/>
  <c r="AX616" i="5"/>
  <c r="AW616" i="5"/>
  <c r="AQ616" i="5"/>
  <c r="AI616" i="5"/>
  <c r="AG616" i="5"/>
  <c r="V616" i="5"/>
  <c r="R616" i="5"/>
  <c r="X616" i="5" s="1"/>
  <c r="AZ615" i="5"/>
  <c r="AX615" i="5"/>
  <c r="AW615" i="5"/>
  <c r="AQ615" i="5"/>
  <c r="AI615" i="5"/>
  <c r="AG615" i="5"/>
  <c r="V615" i="5"/>
  <c r="R615" i="5"/>
  <c r="X615" i="5" s="1"/>
  <c r="AZ614" i="5"/>
  <c r="AX614" i="5"/>
  <c r="AW614" i="5"/>
  <c r="AQ614" i="5"/>
  <c r="AI614" i="5"/>
  <c r="AG614" i="5"/>
  <c r="V614" i="5"/>
  <c r="R614" i="5"/>
  <c r="X614" i="5" s="1"/>
  <c r="AZ613" i="5"/>
  <c r="AX613" i="5"/>
  <c r="AW613" i="5"/>
  <c r="AQ613" i="5"/>
  <c r="AI613" i="5"/>
  <c r="AG613" i="5"/>
  <c r="V613" i="5"/>
  <c r="R613" i="5"/>
  <c r="X613" i="5" s="1"/>
  <c r="AZ612" i="5"/>
  <c r="AX612" i="5"/>
  <c r="AW612" i="5"/>
  <c r="AQ612" i="5"/>
  <c r="AI612" i="5"/>
  <c r="AG612" i="5"/>
  <c r="V612" i="5"/>
  <c r="R612" i="5"/>
  <c r="X612" i="5" s="1"/>
  <c r="AZ611" i="5"/>
  <c r="AX611" i="5"/>
  <c r="AW611" i="5"/>
  <c r="AQ611" i="5"/>
  <c r="AI611" i="5"/>
  <c r="AG611" i="5"/>
  <c r="V611" i="5"/>
  <c r="R611" i="5"/>
  <c r="X611" i="5" s="1"/>
  <c r="AZ610" i="5"/>
  <c r="AX610" i="5"/>
  <c r="AW610" i="5"/>
  <c r="AQ610" i="5"/>
  <c r="AI610" i="5"/>
  <c r="AG610" i="5"/>
  <c r="V610" i="5"/>
  <c r="R610" i="5"/>
  <c r="X610" i="5" s="1"/>
  <c r="AZ609" i="5"/>
  <c r="AX609" i="5"/>
  <c r="AW609" i="5"/>
  <c r="AQ609" i="5"/>
  <c r="AI609" i="5"/>
  <c r="AG609" i="5"/>
  <c r="V609" i="5"/>
  <c r="R609" i="5"/>
  <c r="X609" i="5" s="1"/>
  <c r="AZ608" i="5"/>
  <c r="AX608" i="5"/>
  <c r="AW608" i="5"/>
  <c r="AQ608" i="5"/>
  <c r="AI608" i="5"/>
  <c r="AG608" i="5"/>
  <c r="V608" i="5"/>
  <c r="R608" i="5"/>
  <c r="X608" i="5" s="1"/>
  <c r="AZ607" i="5"/>
  <c r="AX607" i="5"/>
  <c r="AW607" i="5"/>
  <c r="AQ607" i="5"/>
  <c r="AI607" i="5"/>
  <c r="AG607" i="5"/>
  <c r="V607" i="5"/>
  <c r="R607" i="5"/>
  <c r="X607" i="5" s="1"/>
  <c r="AZ606" i="5"/>
  <c r="AX606" i="5"/>
  <c r="AW606" i="5"/>
  <c r="AQ606" i="5"/>
  <c r="AI606" i="5"/>
  <c r="AG606" i="5"/>
  <c r="V606" i="5"/>
  <c r="R606" i="5"/>
  <c r="X606" i="5" s="1"/>
  <c r="AZ605" i="5"/>
  <c r="AX605" i="5"/>
  <c r="AW605" i="5"/>
  <c r="AQ605" i="5"/>
  <c r="AI605" i="5"/>
  <c r="AG605" i="5"/>
  <c r="V605" i="5"/>
  <c r="R605" i="5"/>
  <c r="X605" i="5" s="1"/>
  <c r="AZ604" i="5"/>
  <c r="AX604" i="5"/>
  <c r="AW604" i="5"/>
  <c r="AQ604" i="5"/>
  <c r="AI604" i="5"/>
  <c r="AG604" i="5"/>
  <c r="V604" i="5"/>
  <c r="R604" i="5"/>
  <c r="X604" i="5" s="1"/>
  <c r="AZ603" i="5"/>
  <c r="AX603" i="5"/>
  <c r="AW603" i="5"/>
  <c r="AQ603" i="5"/>
  <c r="AI603" i="5"/>
  <c r="AG603" i="5"/>
  <c r="V603" i="5"/>
  <c r="R603" i="5"/>
  <c r="X603" i="5" s="1"/>
  <c r="AZ602" i="5"/>
  <c r="AX602" i="5"/>
  <c r="AW602" i="5"/>
  <c r="AQ602" i="5"/>
  <c r="AI602" i="5"/>
  <c r="AG602" i="5"/>
  <c r="V602" i="5"/>
  <c r="R602" i="5"/>
  <c r="X602" i="5" s="1"/>
  <c r="AZ601" i="5"/>
  <c r="AX601" i="5"/>
  <c r="AW601" i="5"/>
  <c r="AQ601" i="5"/>
  <c r="AI601" i="5"/>
  <c r="AG601" i="5"/>
  <c r="V601" i="5"/>
  <c r="R601" i="5"/>
  <c r="X601" i="5" s="1"/>
  <c r="AZ600" i="5"/>
  <c r="AX600" i="5"/>
  <c r="AW600" i="5"/>
  <c r="AQ600" i="5"/>
  <c r="AI600" i="5"/>
  <c r="AG600" i="5"/>
  <c r="V600" i="5"/>
  <c r="R600" i="5"/>
  <c r="X600" i="5" s="1"/>
  <c r="AZ599" i="5"/>
  <c r="AX599" i="5"/>
  <c r="AW599" i="5"/>
  <c r="AQ599" i="5"/>
  <c r="AI599" i="5"/>
  <c r="AG599" i="5"/>
  <c r="V599" i="5"/>
  <c r="R599" i="5"/>
  <c r="X599" i="5" s="1"/>
  <c r="AZ598" i="5"/>
  <c r="AX598" i="5"/>
  <c r="AW598" i="5"/>
  <c r="AQ598" i="5"/>
  <c r="AI598" i="5"/>
  <c r="AG598" i="5"/>
  <c r="V598" i="5"/>
  <c r="R598" i="5"/>
  <c r="X598" i="5" s="1"/>
  <c r="AZ597" i="5"/>
  <c r="AX597" i="5"/>
  <c r="AW597" i="5"/>
  <c r="AQ597" i="5"/>
  <c r="AI597" i="5"/>
  <c r="AG597" i="5"/>
  <c r="V597" i="5"/>
  <c r="R597" i="5"/>
  <c r="X597" i="5" s="1"/>
  <c r="AZ596" i="5"/>
  <c r="AX596" i="5"/>
  <c r="AW596" i="5"/>
  <c r="AQ596" i="5"/>
  <c r="AI596" i="5"/>
  <c r="AG596" i="5"/>
  <c r="V596" i="5"/>
  <c r="R596" i="5"/>
  <c r="X596" i="5" s="1"/>
  <c r="AZ595" i="5"/>
  <c r="AX595" i="5"/>
  <c r="AW595" i="5"/>
  <c r="AQ595" i="5"/>
  <c r="AI595" i="5"/>
  <c r="AG595" i="5"/>
  <c r="V595" i="5"/>
  <c r="R595" i="5"/>
  <c r="X595" i="5" s="1"/>
  <c r="AZ594" i="5"/>
  <c r="AX594" i="5"/>
  <c r="AW594" i="5"/>
  <c r="AQ594" i="5"/>
  <c r="AI594" i="5"/>
  <c r="AG594" i="5"/>
  <c r="V594" i="5"/>
  <c r="R594" i="5"/>
  <c r="X594" i="5" s="1"/>
  <c r="AZ593" i="5"/>
  <c r="AX593" i="5"/>
  <c r="AW593" i="5"/>
  <c r="AQ593" i="5"/>
  <c r="AI593" i="5"/>
  <c r="AG593" i="5"/>
  <c r="V593" i="5"/>
  <c r="R593" i="5"/>
  <c r="X593" i="5" s="1"/>
  <c r="AZ592" i="5"/>
  <c r="AX592" i="5"/>
  <c r="AW592" i="5"/>
  <c r="AQ592" i="5"/>
  <c r="AI592" i="5"/>
  <c r="AG592" i="5"/>
  <c r="V592" i="5"/>
  <c r="R592" i="5"/>
  <c r="X592" i="5" s="1"/>
  <c r="AZ591" i="5"/>
  <c r="AX591" i="5"/>
  <c r="AW591" i="5"/>
  <c r="AQ591" i="5"/>
  <c r="AI591" i="5"/>
  <c r="AG591" i="5"/>
  <c r="V591" i="5"/>
  <c r="R591" i="5"/>
  <c r="X591" i="5" s="1"/>
  <c r="AZ590" i="5"/>
  <c r="AX590" i="5"/>
  <c r="AW590" i="5"/>
  <c r="AQ590" i="5"/>
  <c r="AI590" i="5"/>
  <c r="AG590" i="5"/>
  <c r="V590" i="5"/>
  <c r="R590" i="5"/>
  <c r="X590" i="5" s="1"/>
  <c r="AZ589" i="5"/>
  <c r="AX589" i="5"/>
  <c r="AW589" i="5"/>
  <c r="AQ589" i="5"/>
  <c r="AI589" i="5"/>
  <c r="AG589" i="5"/>
  <c r="V589" i="5"/>
  <c r="R589" i="5"/>
  <c r="X589" i="5" s="1"/>
  <c r="AZ588" i="5"/>
  <c r="AX588" i="5"/>
  <c r="AW588" i="5"/>
  <c r="AQ588" i="5"/>
  <c r="AI588" i="5"/>
  <c r="AG588" i="5"/>
  <c r="V588" i="5"/>
  <c r="R588" i="5"/>
  <c r="X588" i="5" s="1"/>
  <c r="AZ587" i="5"/>
  <c r="AX587" i="5"/>
  <c r="AW587" i="5"/>
  <c r="AQ587" i="5"/>
  <c r="AI587" i="5"/>
  <c r="AG587" i="5"/>
  <c r="V587" i="5"/>
  <c r="R587" i="5"/>
  <c r="X587" i="5" s="1"/>
  <c r="AZ586" i="5"/>
  <c r="AX586" i="5"/>
  <c r="AW586" i="5"/>
  <c r="AQ586" i="5"/>
  <c r="AI586" i="5"/>
  <c r="AG586" i="5"/>
  <c r="V586" i="5"/>
  <c r="R586" i="5"/>
  <c r="X586" i="5" s="1"/>
  <c r="AZ585" i="5"/>
  <c r="AX585" i="5"/>
  <c r="AW585" i="5"/>
  <c r="AQ585" i="5"/>
  <c r="AI585" i="5"/>
  <c r="AG585" i="5"/>
  <c r="V585" i="5"/>
  <c r="R585" i="5"/>
  <c r="X585" i="5" s="1"/>
  <c r="AZ584" i="5"/>
  <c r="AX584" i="5"/>
  <c r="AW584" i="5"/>
  <c r="AQ584" i="5"/>
  <c r="AI584" i="5"/>
  <c r="AG584" i="5"/>
  <c r="V584" i="5"/>
  <c r="R584" i="5"/>
  <c r="X584" i="5" s="1"/>
  <c r="AZ583" i="5"/>
  <c r="AX583" i="5"/>
  <c r="AW583" i="5"/>
  <c r="AQ583" i="5"/>
  <c r="AI583" i="5"/>
  <c r="AG583" i="5"/>
  <c r="V583" i="5"/>
  <c r="R583" i="5"/>
  <c r="X583" i="5" s="1"/>
  <c r="AZ582" i="5"/>
  <c r="AX582" i="5"/>
  <c r="AW582" i="5"/>
  <c r="AQ582" i="5"/>
  <c r="AI582" i="5"/>
  <c r="AG582" i="5"/>
  <c r="V582" i="5"/>
  <c r="R582" i="5"/>
  <c r="X582" i="5" s="1"/>
  <c r="AZ581" i="5"/>
  <c r="AX581" i="5"/>
  <c r="AW581" i="5"/>
  <c r="AQ581" i="5"/>
  <c r="AI581" i="5"/>
  <c r="AG581" i="5"/>
  <c r="V581" i="5"/>
  <c r="R581" i="5"/>
  <c r="X581" i="5" s="1"/>
  <c r="AZ580" i="5"/>
  <c r="AX580" i="5"/>
  <c r="AW580" i="5"/>
  <c r="AQ580" i="5"/>
  <c r="AI580" i="5"/>
  <c r="AG580" i="5"/>
  <c r="V580" i="5"/>
  <c r="R580" i="5"/>
  <c r="X580" i="5" s="1"/>
  <c r="AZ579" i="5"/>
  <c r="AX579" i="5"/>
  <c r="AW579" i="5"/>
  <c r="AQ579" i="5"/>
  <c r="AI579" i="5"/>
  <c r="AG579" i="5"/>
  <c r="V579" i="5"/>
  <c r="R579" i="5"/>
  <c r="X579" i="5" s="1"/>
  <c r="AZ578" i="5"/>
  <c r="AX578" i="5"/>
  <c r="AW578" i="5"/>
  <c r="AQ578" i="5"/>
  <c r="AI578" i="5"/>
  <c r="AG578" i="5"/>
  <c r="V578" i="5"/>
  <c r="R578" i="5"/>
  <c r="X578" i="5" s="1"/>
  <c r="AZ577" i="5"/>
  <c r="AX577" i="5"/>
  <c r="AW577" i="5"/>
  <c r="AQ577" i="5"/>
  <c r="AI577" i="5"/>
  <c r="AG577" i="5"/>
  <c r="V577" i="5"/>
  <c r="R577" i="5"/>
  <c r="X577" i="5" s="1"/>
  <c r="AZ576" i="5"/>
  <c r="AX576" i="5"/>
  <c r="AW576" i="5"/>
  <c r="AQ576" i="5"/>
  <c r="AI576" i="5"/>
  <c r="AG576" i="5"/>
  <c r="V576" i="5"/>
  <c r="R576" i="5"/>
  <c r="X576" i="5" s="1"/>
  <c r="AZ575" i="5"/>
  <c r="AX575" i="5"/>
  <c r="AW575" i="5"/>
  <c r="AQ575" i="5"/>
  <c r="AI575" i="5"/>
  <c r="AG575" i="5"/>
  <c r="V575" i="5"/>
  <c r="R575" i="5"/>
  <c r="X575" i="5" s="1"/>
  <c r="AZ574" i="5"/>
  <c r="AX574" i="5"/>
  <c r="AW574" i="5"/>
  <c r="AQ574" i="5"/>
  <c r="AI574" i="5"/>
  <c r="AG574" i="5"/>
  <c r="V574" i="5"/>
  <c r="R574" i="5"/>
  <c r="X574" i="5" s="1"/>
  <c r="AZ573" i="5"/>
  <c r="AX573" i="5"/>
  <c r="AW573" i="5"/>
  <c r="AQ573" i="5"/>
  <c r="AI573" i="5"/>
  <c r="AG573" i="5"/>
  <c r="V573" i="5"/>
  <c r="R573" i="5"/>
  <c r="X573" i="5" s="1"/>
  <c r="AZ572" i="5"/>
  <c r="AX572" i="5"/>
  <c r="AW572" i="5"/>
  <c r="AQ572" i="5"/>
  <c r="AI572" i="5"/>
  <c r="AG572" i="5"/>
  <c r="V572" i="5"/>
  <c r="R572" i="5"/>
  <c r="X572" i="5" s="1"/>
  <c r="AZ571" i="5"/>
  <c r="AX571" i="5"/>
  <c r="AW571" i="5"/>
  <c r="AQ571" i="5"/>
  <c r="AI571" i="5"/>
  <c r="AG571" i="5"/>
  <c r="V571" i="5"/>
  <c r="R571" i="5"/>
  <c r="X571" i="5" s="1"/>
  <c r="AZ570" i="5"/>
  <c r="AX570" i="5"/>
  <c r="AW570" i="5"/>
  <c r="AQ570" i="5"/>
  <c r="AI570" i="5"/>
  <c r="AG570" i="5"/>
  <c r="V570" i="5"/>
  <c r="R570" i="5"/>
  <c r="X570" i="5" s="1"/>
  <c r="AZ569" i="5"/>
  <c r="AX569" i="5"/>
  <c r="AW569" i="5"/>
  <c r="AQ569" i="5"/>
  <c r="AI569" i="5"/>
  <c r="AG569" i="5"/>
  <c r="V569" i="5"/>
  <c r="R569" i="5"/>
  <c r="X569" i="5" s="1"/>
  <c r="AZ568" i="5"/>
  <c r="AX568" i="5"/>
  <c r="AW568" i="5"/>
  <c r="AQ568" i="5"/>
  <c r="AI568" i="5"/>
  <c r="AG568" i="5"/>
  <c r="V568" i="5"/>
  <c r="R568" i="5"/>
  <c r="X568" i="5" s="1"/>
  <c r="AZ567" i="5"/>
  <c r="AX567" i="5"/>
  <c r="AW567" i="5"/>
  <c r="AQ567" i="5"/>
  <c r="AI567" i="5"/>
  <c r="AG567" i="5"/>
  <c r="V567" i="5"/>
  <c r="R567" i="5"/>
  <c r="X567" i="5" s="1"/>
  <c r="AZ566" i="5"/>
  <c r="AX566" i="5"/>
  <c r="AW566" i="5"/>
  <c r="AQ566" i="5"/>
  <c r="AI566" i="5"/>
  <c r="AG566" i="5"/>
  <c r="V566" i="5"/>
  <c r="R566" i="5"/>
  <c r="X566" i="5" s="1"/>
  <c r="AZ565" i="5"/>
  <c r="AX565" i="5"/>
  <c r="AW565" i="5"/>
  <c r="AQ565" i="5"/>
  <c r="AI565" i="5"/>
  <c r="AG565" i="5"/>
  <c r="V565" i="5"/>
  <c r="R565" i="5"/>
  <c r="X565" i="5" s="1"/>
  <c r="AZ564" i="5"/>
  <c r="AX564" i="5"/>
  <c r="AW564" i="5"/>
  <c r="AQ564" i="5"/>
  <c r="AI564" i="5"/>
  <c r="AG564" i="5"/>
  <c r="V564" i="5"/>
  <c r="R564" i="5"/>
  <c r="X564" i="5" s="1"/>
  <c r="AZ563" i="5"/>
  <c r="AX563" i="5"/>
  <c r="AW563" i="5"/>
  <c r="AQ563" i="5"/>
  <c r="AI563" i="5"/>
  <c r="AG563" i="5"/>
  <c r="V563" i="5"/>
  <c r="R563" i="5"/>
  <c r="X563" i="5" s="1"/>
  <c r="AZ562" i="5"/>
  <c r="AX562" i="5"/>
  <c r="AW562" i="5"/>
  <c r="AQ562" i="5"/>
  <c r="AI562" i="5"/>
  <c r="AG562" i="5"/>
  <c r="V562" i="5"/>
  <c r="R562" i="5"/>
  <c r="X562" i="5" s="1"/>
  <c r="AZ561" i="5"/>
  <c r="AX561" i="5"/>
  <c r="AW561" i="5"/>
  <c r="AQ561" i="5"/>
  <c r="AI561" i="5"/>
  <c r="AG561" i="5"/>
  <c r="V561" i="5"/>
  <c r="R561" i="5"/>
  <c r="X561" i="5" s="1"/>
  <c r="AZ560" i="5"/>
  <c r="AX560" i="5"/>
  <c r="AW560" i="5"/>
  <c r="AQ560" i="5"/>
  <c r="AI560" i="5"/>
  <c r="AG560" i="5"/>
  <c r="V560" i="5"/>
  <c r="R560" i="5"/>
  <c r="X560" i="5" s="1"/>
  <c r="AZ559" i="5"/>
  <c r="AX559" i="5"/>
  <c r="AW559" i="5"/>
  <c r="AQ559" i="5"/>
  <c r="AI559" i="5"/>
  <c r="AG559" i="5"/>
  <c r="V559" i="5"/>
  <c r="R559" i="5"/>
  <c r="X559" i="5" s="1"/>
  <c r="AZ558" i="5"/>
  <c r="AX558" i="5"/>
  <c r="AW558" i="5"/>
  <c r="AQ558" i="5"/>
  <c r="AI558" i="5"/>
  <c r="AG558" i="5"/>
  <c r="V558" i="5"/>
  <c r="R558" i="5"/>
  <c r="X558" i="5" s="1"/>
  <c r="AZ557" i="5"/>
  <c r="AX557" i="5"/>
  <c r="AW557" i="5"/>
  <c r="AQ557" i="5"/>
  <c r="AI557" i="5"/>
  <c r="AG557" i="5"/>
  <c r="V557" i="5"/>
  <c r="R557" i="5"/>
  <c r="X557" i="5" s="1"/>
  <c r="AZ556" i="5"/>
  <c r="AX556" i="5"/>
  <c r="AW556" i="5"/>
  <c r="AQ556" i="5"/>
  <c r="AI556" i="5"/>
  <c r="AG556" i="5"/>
  <c r="V556" i="5"/>
  <c r="R556" i="5"/>
  <c r="X556" i="5" s="1"/>
  <c r="AZ555" i="5"/>
  <c r="AX555" i="5"/>
  <c r="AW555" i="5"/>
  <c r="AQ555" i="5"/>
  <c r="AI555" i="5"/>
  <c r="AG555" i="5"/>
  <c r="V555" i="5"/>
  <c r="R555" i="5"/>
  <c r="X555" i="5" s="1"/>
  <c r="AZ554" i="5"/>
  <c r="AX554" i="5"/>
  <c r="AW554" i="5"/>
  <c r="AQ554" i="5"/>
  <c r="AI554" i="5"/>
  <c r="AG554" i="5"/>
  <c r="V554" i="5"/>
  <c r="R554" i="5"/>
  <c r="X554" i="5" s="1"/>
  <c r="AZ553" i="5"/>
  <c r="AX553" i="5"/>
  <c r="AW553" i="5"/>
  <c r="AQ553" i="5"/>
  <c r="AI553" i="5"/>
  <c r="AG553" i="5"/>
  <c r="V553" i="5"/>
  <c r="R553" i="5"/>
  <c r="X553" i="5" s="1"/>
  <c r="AZ552" i="5"/>
  <c r="AX552" i="5"/>
  <c r="AW552" i="5"/>
  <c r="AQ552" i="5"/>
  <c r="AI552" i="5"/>
  <c r="AG552" i="5"/>
  <c r="V552" i="5"/>
  <c r="R552" i="5"/>
  <c r="X552" i="5" s="1"/>
  <c r="AZ551" i="5"/>
  <c r="AX551" i="5"/>
  <c r="AW551" i="5"/>
  <c r="AQ551" i="5"/>
  <c r="AI551" i="5"/>
  <c r="AG551" i="5"/>
  <c r="V551" i="5"/>
  <c r="R551" i="5"/>
  <c r="X551" i="5" s="1"/>
  <c r="AZ550" i="5"/>
  <c r="AX550" i="5"/>
  <c r="AW550" i="5"/>
  <c r="AQ550" i="5"/>
  <c r="AI550" i="5"/>
  <c r="AG550" i="5"/>
  <c r="V550" i="5"/>
  <c r="R550" i="5"/>
  <c r="X550" i="5" s="1"/>
  <c r="AZ549" i="5"/>
  <c r="AX549" i="5"/>
  <c r="AW549" i="5"/>
  <c r="AQ549" i="5"/>
  <c r="AI549" i="5"/>
  <c r="AG549" i="5"/>
  <c r="V549" i="5"/>
  <c r="R549" i="5"/>
  <c r="X549" i="5" s="1"/>
  <c r="AZ548" i="5"/>
  <c r="AX548" i="5"/>
  <c r="AW548" i="5"/>
  <c r="AQ548" i="5"/>
  <c r="AI548" i="5"/>
  <c r="AG548" i="5"/>
  <c r="V548" i="5"/>
  <c r="R548" i="5"/>
  <c r="X548" i="5" s="1"/>
  <c r="AZ547" i="5"/>
  <c r="AX547" i="5"/>
  <c r="AW547" i="5"/>
  <c r="AQ547" i="5"/>
  <c r="AI547" i="5"/>
  <c r="AG547" i="5"/>
  <c r="V547" i="5"/>
  <c r="R547" i="5"/>
  <c r="X547" i="5" s="1"/>
  <c r="AZ546" i="5"/>
  <c r="AX546" i="5"/>
  <c r="AW546" i="5"/>
  <c r="AQ546" i="5"/>
  <c r="AI546" i="5"/>
  <c r="AG546" i="5"/>
  <c r="V546" i="5"/>
  <c r="R546" i="5"/>
  <c r="X546" i="5" s="1"/>
  <c r="AZ545" i="5"/>
  <c r="AX545" i="5"/>
  <c r="AW545" i="5"/>
  <c r="AQ545" i="5"/>
  <c r="AI545" i="5"/>
  <c r="AG545" i="5"/>
  <c r="V545" i="5"/>
  <c r="R545" i="5"/>
  <c r="X545" i="5" s="1"/>
  <c r="AZ544" i="5"/>
  <c r="AX544" i="5"/>
  <c r="AW544" i="5"/>
  <c r="AQ544" i="5"/>
  <c r="AI544" i="5"/>
  <c r="AG544" i="5"/>
  <c r="V544" i="5"/>
  <c r="R544" i="5"/>
  <c r="X544" i="5" s="1"/>
  <c r="AZ543" i="5"/>
  <c r="AX543" i="5"/>
  <c r="AW543" i="5"/>
  <c r="AQ543" i="5"/>
  <c r="AI543" i="5"/>
  <c r="AG543" i="5"/>
  <c r="V543" i="5"/>
  <c r="R543" i="5"/>
  <c r="X543" i="5" s="1"/>
  <c r="AZ542" i="5"/>
  <c r="AX542" i="5"/>
  <c r="AW542" i="5"/>
  <c r="AQ542" i="5"/>
  <c r="AI542" i="5"/>
  <c r="AG542" i="5"/>
  <c r="V542" i="5"/>
  <c r="R542" i="5"/>
  <c r="X542" i="5" s="1"/>
  <c r="AZ541" i="5"/>
  <c r="AX541" i="5"/>
  <c r="AW541" i="5"/>
  <c r="AQ541" i="5"/>
  <c r="AI541" i="5"/>
  <c r="AG541" i="5"/>
  <c r="V541" i="5"/>
  <c r="R541" i="5"/>
  <c r="X541" i="5" s="1"/>
  <c r="AZ540" i="5"/>
  <c r="AX540" i="5"/>
  <c r="AW540" i="5"/>
  <c r="AQ540" i="5"/>
  <c r="AI540" i="5"/>
  <c r="AG540" i="5"/>
  <c r="V540" i="5"/>
  <c r="R540" i="5"/>
  <c r="X540" i="5" s="1"/>
  <c r="AZ539" i="5"/>
  <c r="AX539" i="5"/>
  <c r="AW539" i="5"/>
  <c r="AQ539" i="5"/>
  <c r="AI539" i="5"/>
  <c r="AG539" i="5"/>
  <c r="V539" i="5"/>
  <c r="R539" i="5"/>
  <c r="X539" i="5" s="1"/>
  <c r="AZ538" i="5"/>
  <c r="AX538" i="5"/>
  <c r="AW538" i="5"/>
  <c r="AQ538" i="5"/>
  <c r="AI538" i="5"/>
  <c r="AG538" i="5"/>
  <c r="V538" i="5"/>
  <c r="R538" i="5"/>
  <c r="X538" i="5" s="1"/>
  <c r="AZ537" i="5"/>
  <c r="AX537" i="5"/>
  <c r="AW537" i="5"/>
  <c r="AQ537" i="5"/>
  <c r="AI537" i="5"/>
  <c r="AG537" i="5"/>
  <c r="V537" i="5"/>
  <c r="R537" i="5"/>
  <c r="X537" i="5" s="1"/>
  <c r="AZ536" i="5"/>
  <c r="AX536" i="5"/>
  <c r="AW536" i="5"/>
  <c r="AQ536" i="5"/>
  <c r="AI536" i="5"/>
  <c r="AG536" i="5"/>
  <c r="V536" i="5"/>
  <c r="R536" i="5"/>
  <c r="X536" i="5" s="1"/>
  <c r="AZ535" i="5"/>
  <c r="AX535" i="5"/>
  <c r="AW535" i="5"/>
  <c r="AQ535" i="5"/>
  <c r="AI535" i="5"/>
  <c r="AG535" i="5"/>
  <c r="V535" i="5"/>
  <c r="R535" i="5"/>
  <c r="X535" i="5" s="1"/>
  <c r="AZ534" i="5"/>
  <c r="AX534" i="5"/>
  <c r="AW534" i="5"/>
  <c r="AQ534" i="5"/>
  <c r="AI534" i="5"/>
  <c r="AG534" i="5"/>
  <c r="V534" i="5"/>
  <c r="R534" i="5"/>
  <c r="X534" i="5" s="1"/>
  <c r="AZ533" i="5"/>
  <c r="AX533" i="5"/>
  <c r="AW533" i="5"/>
  <c r="AQ533" i="5"/>
  <c r="AI533" i="5"/>
  <c r="AG533" i="5"/>
  <c r="V533" i="5"/>
  <c r="R533" i="5"/>
  <c r="X533" i="5" s="1"/>
  <c r="AZ532" i="5"/>
  <c r="AX532" i="5"/>
  <c r="AW532" i="5"/>
  <c r="AQ532" i="5"/>
  <c r="AI532" i="5"/>
  <c r="AG532" i="5"/>
  <c r="V532" i="5"/>
  <c r="R532" i="5"/>
  <c r="X532" i="5" s="1"/>
  <c r="AZ531" i="5"/>
  <c r="AX531" i="5"/>
  <c r="AW531" i="5"/>
  <c r="AQ531" i="5"/>
  <c r="AI531" i="5"/>
  <c r="AG531" i="5"/>
  <c r="V531" i="5"/>
  <c r="R531" i="5"/>
  <c r="X531" i="5" s="1"/>
  <c r="AZ530" i="5"/>
  <c r="AX530" i="5"/>
  <c r="AW530" i="5"/>
  <c r="AQ530" i="5"/>
  <c r="AI530" i="5"/>
  <c r="AG530" i="5"/>
  <c r="V530" i="5"/>
  <c r="R530" i="5"/>
  <c r="X530" i="5" s="1"/>
  <c r="AZ529" i="5"/>
  <c r="AX529" i="5"/>
  <c r="AW529" i="5"/>
  <c r="AQ529" i="5"/>
  <c r="AI529" i="5"/>
  <c r="AG529" i="5"/>
  <c r="V529" i="5"/>
  <c r="R529" i="5"/>
  <c r="X529" i="5" s="1"/>
  <c r="AZ528" i="5"/>
  <c r="AX528" i="5"/>
  <c r="AW528" i="5"/>
  <c r="AQ528" i="5"/>
  <c r="AI528" i="5"/>
  <c r="AG528" i="5"/>
  <c r="V528" i="5"/>
  <c r="R528" i="5"/>
  <c r="X528" i="5" s="1"/>
  <c r="AZ527" i="5"/>
  <c r="AX527" i="5"/>
  <c r="AW527" i="5"/>
  <c r="AQ527" i="5"/>
  <c r="AI527" i="5"/>
  <c r="AG527" i="5"/>
  <c r="V527" i="5"/>
  <c r="R527" i="5"/>
  <c r="X527" i="5" s="1"/>
  <c r="AZ526" i="5"/>
  <c r="AX526" i="5"/>
  <c r="AW526" i="5"/>
  <c r="AQ526" i="5"/>
  <c r="AI526" i="5"/>
  <c r="AG526" i="5"/>
  <c r="V526" i="5"/>
  <c r="R526" i="5"/>
  <c r="X526" i="5" s="1"/>
  <c r="AZ525" i="5"/>
  <c r="AX525" i="5"/>
  <c r="AW525" i="5"/>
  <c r="AQ525" i="5"/>
  <c r="AI525" i="5"/>
  <c r="AG525" i="5"/>
  <c r="V525" i="5"/>
  <c r="R525" i="5"/>
  <c r="X525" i="5" s="1"/>
  <c r="AZ524" i="5"/>
  <c r="AX524" i="5"/>
  <c r="AW524" i="5"/>
  <c r="AQ524" i="5"/>
  <c r="AI524" i="5"/>
  <c r="AG524" i="5"/>
  <c r="V524" i="5"/>
  <c r="R524" i="5"/>
  <c r="X524" i="5" s="1"/>
  <c r="AZ523" i="5"/>
  <c r="AX523" i="5"/>
  <c r="AW523" i="5"/>
  <c r="AQ523" i="5"/>
  <c r="AI523" i="5"/>
  <c r="AG523" i="5"/>
  <c r="V523" i="5"/>
  <c r="R523" i="5"/>
  <c r="X523" i="5" s="1"/>
  <c r="AZ522" i="5"/>
  <c r="AX522" i="5"/>
  <c r="AW522" i="5"/>
  <c r="AQ522" i="5"/>
  <c r="AI522" i="5"/>
  <c r="AG522" i="5"/>
  <c r="V522" i="5"/>
  <c r="R522" i="5"/>
  <c r="X522" i="5" s="1"/>
  <c r="AZ521" i="5"/>
  <c r="AX521" i="5"/>
  <c r="AW521" i="5"/>
  <c r="AQ521" i="5"/>
  <c r="AI521" i="5"/>
  <c r="AG521" i="5"/>
  <c r="V521" i="5"/>
  <c r="R521" i="5"/>
  <c r="X521" i="5" s="1"/>
  <c r="AZ520" i="5"/>
  <c r="AX520" i="5"/>
  <c r="AW520" i="5"/>
  <c r="AQ520" i="5"/>
  <c r="AI520" i="5"/>
  <c r="AG520" i="5"/>
  <c r="V520" i="5"/>
  <c r="R520" i="5"/>
  <c r="X520" i="5" s="1"/>
  <c r="AZ519" i="5"/>
  <c r="AX519" i="5"/>
  <c r="AW519" i="5"/>
  <c r="AQ519" i="5"/>
  <c r="AI519" i="5"/>
  <c r="AG519" i="5"/>
  <c r="V519" i="5"/>
  <c r="R519" i="5"/>
  <c r="X519" i="5" s="1"/>
  <c r="AZ518" i="5"/>
  <c r="AX518" i="5"/>
  <c r="AW518" i="5"/>
  <c r="AQ518" i="5"/>
  <c r="AI518" i="5"/>
  <c r="AG518" i="5"/>
  <c r="V518" i="5"/>
  <c r="R518" i="5"/>
  <c r="X518" i="5" s="1"/>
  <c r="AZ517" i="5"/>
  <c r="AX517" i="5"/>
  <c r="AW517" i="5"/>
  <c r="AQ517" i="5"/>
  <c r="AI517" i="5"/>
  <c r="AG517" i="5"/>
  <c r="V517" i="5"/>
  <c r="R517" i="5"/>
  <c r="X517" i="5" s="1"/>
  <c r="AZ516" i="5"/>
  <c r="AX516" i="5"/>
  <c r="AW516" i="5"/>
  <c r="AQ516" i="5"/>
  <c r="AI516" i="5"/>
  <c r="AG516" i="5"/>
  <c r="V516" i="5"/>
  <c r="R516" i="5"/>
  <c r="X516" i="5" s="1"/>
  <c r="AZ515" i="5"/>
  <c r="AX515" i="5"/>
  <c r="AW515" i="5"/>
  <c r="AQ515" i="5"/>
  <c r="AI515" i="5"/>
  <c r="AG515" i="5"/>
  <c r="V515" i="5"/>
  <c r="R515" i="5"/>
  <c r="X515" i="5" s="1"/>
  <c r="AZ514" i="5"/>
  <c r="AX514" i="5"/>
  <c r="AW514" i="5"/>
  <c r="AQ514" i="5"/>
  <c r="AI514" i="5"/>
  <c r="AG514" i="5"/>
  <c r="V514" i="5"/>
  <c r="R514" i="5"/>
  <c r="X514" i="5" s="1"/>
  <c r="AZ513" i="5"/>
  <c r="AX513" i="5"/>
  <c r="AW513" i="5"/>
  <c r="AQ513" i="5"/>
  <c r="AI513" i="5"/>
  <c r="AG513" i="5"/>
  <c r="V513" i="5"/>
  <c r="R513" i="5"/>
  <c r="X513" i="5" s="1"/>
  <c r="AZ512" i="5"/>
  <c r="AX512" i="5"/>
  <c r="AW512" i="5"/>
  <c r="AQ512" i="5"/>
  <c r="AI512" i="5"/>
  <c r="AG512" i="5"/>
  <c r="V512" i="5"/>
  <c r="R512" i="5"/>
  <c r="X512" i="5" s="1"/>
  <c r="AZ511" i="5"/>
  <c r="AX511" i="5"/>
  <c r="AW511" i="5"/>
  <c r="AQ511" i="5"/>
  <c r="AI511" i="5"/>
  <c r="AG511" i="5"/>
  <c r="V511" i="5"/>
  <c r="R511" i="5"/>
  <c r="X511" i="5" s="1"/>
  <c r="AZ510" i="5"/>
  <c r="AX510" i="5"/>
  <c r="AW510" i="5"/>
  <c r="AQ510" i="5"/>
  <c r="AI510" i="5"/>
  <c r="AG510" i="5"/>
  <c r="V510" i="5"/>
  <c r="R510" i="5"/>
  <c r="X510" i="5" s="1"/>
  <c r="AZ509" i="5"/>
  <c r="AX509" i="5"/>
  <c r="AW509" i="5"/>
  <c r="AQ509" i="5"/>
  <c r="AI509" i="5"/>
  <c r="AG509" i="5"/>
  <c r="V509" i="5"/>
  <c r="R509" i="5"/>
  <c r="X509" i="5" s="1"/>
  <c r="AZ508" i="5"/>
  <c r="AX508" i="5"/>
  <c r="AW508" i="5"/>
  <c r="AQ508" i="5"/>
  <c r="AI508" i="5"/>
  <c r="AG508" i="5"/>
  <c r="V508" i="5"/>
  <c r="R508" i="5"/>
  <c r="X508" i="5" s="1"/>
  <c r="AZ507" i="5"/>
  <c r="AX507" i="5"/>
  <c r="AW507" i="5"/>
  <c r="AQ507" i="5"/>
  <c r="AI507" i="5"/>
  <c r="AG507" i="5"/>
  <c r="V507" i="5"/>
  <c r="R507" i="5"/>
  <c r="X507" i="5" s="1"/>
  <c r="AZ506" i="5"/>
  <c r="AX506" i="5"/>
  <c r="AW506" i="5"/>
  <c r="AQ506" i="5"/>
  <c r="AI506" i="5"/>
  <c r="AG506" i="5"/>
  <c r="V506" i="5"/>
  <c r="R506" i="5"/>
  <c r="X506" i="5" s="1"/>
  <c r="AZ505" i="5"/>
  <c r="AX505" i="5"/>
  <c r="AW505" i="5"/>
  <c r="AQ505" i="5"/>
  <c r="AI505" i="5"/>
  <c r="AG505" i="5"/>
  <c r="V505" i="5"/>
  <c r="R505" i="5"/>
  <c r="X505" i="5" s="1"/>
  <c r="AZ504" i="5"/>
  <c r="AX504" i="5"/>
  <c r="AW504" i="5"/>
  <c r="AQ504" i="5"/>
  <c r="AI504" i="5"/>
  <c r="AG504" i="5"/>
  <c r="V504" i="5"/>
  <c r="R504" i="5"/>
  <c r="X504" i="5" s="1"/>
  <c r="AZ503" i="5"/>
  <c r="AX503" i="5"/>
  <c r="AW503" i="5"/>
  <c r="AQ503" i="5"/>
  <c r="AI503" i="5"/>
  <c r="AG503" i="5"/>
  <c r="V503" i="5"/>
  <c r="R503" i="5"/>
  <c r="X503" i="5" s="1"/>
  <c r="AZ502" i="5"/>
  <c r="AX502" i="5"/>
  <c r="AW502" i="5"/>
  <c r="AQ502" i="5"/>
  <c r="AI502" i="5"/>
  <c r="AG502" i="5"/>
  <c r="V502" i="5"/>
  <c r="R502" i="5"/>
  <c r="X502" i="5" s="1"/>
  <c r="AZ501" i="5"/>
  <c r="AX501" i="5"/>
  <c r="AW501" i="5"/>
  <c r="AQ501" i="5"/>
  <c r="AI501" i="5"/>
  <c r="AG501" i="5"/>
  <c r="V501" i="5"/>
  <c r="R501" i="5"/>
  <c r="X501" i="5" s="1"/>
  <c r="AZ500" i="5"/>
  <c r="AX500" i="5"/>
  <c r="AW500" i="5"/>
  <c r="AQ500" i="5"/>
  <c r="AI500" i="5"/>
  <c r="AG500" i="5"/>
  <c r="V500" i="5"/>
  <c r="R500" i="5"/>
  <c r="X500" i="5" s="1"/>
  <c r="AZ499" i="5"/>
  <c r="AX499" i="5"/>
  <c r="AW499" i="5"/>
  <c r="AQ499" i="5"/>
  <c r="AI499" i="5"/>
  <c r="AG499" i="5"/>
  <c r="V499" i="5"/>
  <c r="R499" i="5"/>
  <c r="X499" i="5" s="1"/>
  <c r="AZ498" i="5"/>
  <c r="AX498" i="5"/>
  <c r="AW498" i="5"/>
  <c r="AQ498" i="5"/>
  <c r="AI498" i="5"/>
  <c r="AG498" i="5"/>
  <c r="V498" i="5"/>
  <c r="R498" i="5"/>
  <c r="X498" i="5" s="1"/>
  <c r="AZ497" i="5"/>
  <c r="AX497" i="5"/>
  <c r="AW497" i="5"/>
  <c r="AQ497" i="5"/>
  <c r="AI497" i="5"/>
  <c r="AG497" i="5"/>
  <c r="V497" i="5"/>
  <c r="R497" i="5"/>
  <c r="X497" i="5" s="1"/>
  <c r="AZ496" i="5"/>
  <c r="AX496" i="5"/>
  <c r="AW496" i="5"/>
  <c r="AQ496" i="5"/>
  <c r="AI496" i="5"/>
  <c r="AG496" i="5"/>
  <c r="V496" i="5"/>
  <c r="R496" i="5"/>
  <c r="X496" i="5" s="1"/>
  <c r="AZ495" i="5"/>
  <c r="AX495" i="5"/>
  <c r="AW495" i="5"/>
  <c r="AQ495" i="5"/>
  <c r="AI495" i="5"/>
  <c r="AG495" i="5"/>
  <c r="V495" i="5"/>
  <c r="R495" i="5"/>
  <c r="X495" i="5" s="1"/>
  <c r="AZ494" i="5"/>
  <c r="AX494" i="5"/>
  <c r="AW494" i="5"/>
  <c r="AQ494" i="5"/>
  <c r="AI494" i="5"/>
  <c r="AG494" i="5"/>
  <c r="V494" i="5"/>
  <c r="R494" i="5"/>
  <c r="X494" i="5" s="1"/>
  <c r="AZ493" i="5"/>
  <c r="AX493" i="5"/>
  <c r="AW493" i="5"/>
  <c r="AQ493" i="5"/>
  <c r="AI493" i="5"/>
  <c r="AG493" i="5"/>
  <c r="V493" i="5"/>
  <c r="R493" i="5"/>
  <c r="X493" i="5" s="1"/>
  <c r="AZ492" i="5"/>
  <c r="AX492" i="5"/>
  <c r="AW492" i="5"/>
  <c r="AQ492" i="5"/>
  <c r="AI492" i="5"/>
  <c r="AG492" i="5"/>
  <c r="V492" i="5"/>
  <c r="R492" i="5"/>
  <c r="X492" i="5" s="1"/>
  <c r="AZ491" i="5"/>
  <c r="AX491" i="5"/>
  <c r="AW491" i="5"/>
  <c r="AQ491" i="5"/>
  <c r="AI491" i="5"/>
  <c r="AG491" i="5"/>
  <c r="V491" i="5"/>
  <c r="R491" i="5"/>
  <c r="X491" i="5" s="1"/>
  <c r="AZ490" i="5"/>
  <c r="AX490" i="5"/>
  <c r="AW490" i="5"/>
  <c r="AQ490" i="5"/>
  <c r="AI490" i="5"/>
  <c r="AG490" i="5"/>
  <c r="V490" i="5"/>
  <c r="R490" i="5"/>
  <c r="X490" i="5" s="1"/>
  <c r="AZ489" i="5"/>
  <c r="AX489" i="5"/>
  <c r="AW489" i="5"/>
  <c r="AQ489" i="5"/>
  <c r="AI489" i="5"/>
  <c r="AG489" i="5"/>
  <c r="V489" i="5"/>
  <c r="R489" i="5"/>
  <c r="X489" i="5" s="1"/>
  <c r="AZ488" i="5"/>
  <c r="AX488" i="5"/>
  <c r="AW488" i="5"/>
  <c r="AQ488" i="5"/>
  <c r="AI488" i="5"/>
  <c r="AG488" i="5"/>
  <c r="V488" i="5"/>
  <c r="R488" i="5"/>
  <c r="X488" i="5" s="1"/>
  <c r="AZ487" i="5"/>
  <c r="AX487" i="5"/>
  <c r="AW487" i="5"/>
  <c r="AQ487" i="5"/>
  <c r="AI487" i="5"/>
  <c r="AG487" i="5"/>
  <c r="V487" i="5"/>
  <c r="R487" i="5"/>
  <c r="X487" i="5" s="1"/>
  <c r="AZ486" i="5"/>
  <c r="AX486" i="5"/>
  <c r="AW486" i="5"/>
  <c r="AQ486" i="5"/>
  <c r="AI486" i="5"/>
  <c r="AG486" i="5"/>
  <c r="V486" i="5"/>
  <c r="R486" i="5"/>
  <c r="X486" i="5" s="1"/>
  <c r="AZ485" i="5"/>
  <c r="AX485" i="5"/>
  <c r="AW485" i="5"/>
  <c r="AQ485" i="5"/>
  <c r="AI485" i="5"/>
  <c r="AG485" i="5"/>
  <c r="V485" i="5"/>
  <c r="R485" i="5"/>
  <c r="X485" i="5" s="1"/>
  <c r="AZ484" i="5"/>
  <c r="AX484" i="5"/>
  <c r="AW484" i="5"/>
  <c r="AQ484" i="5"/>
  <c r="AI484" i="5"/>
  <c r="AG484" i="5"/>
  <c r="V484" i="5"/>
  <c r="R484" i="5"/>
  <c r="X484" i="5" s="1"/>
  <c r="AZ483" i="5"/>
  <c r="AX483" i="5"/>
  <c r="AW483" i="5"/>
  <c r="AQ483" i="5"/>
  <c r="AI483" i="5"/>
  <c r="AG483" i="5"/>
  <c r="V483" i="5"/>
  <c r="R483" i="5"/>
  <c r="X483" i="5" s="1"/>
  <c r="AZ482" i="5"/>
  <c r="AX482" i="5"/>
  <c r="AW482" i="5"/>
  <c r="AQ482" i="5"/>
  <c r="AI482" i="5"/>
  <c r="AG482" i="5"/>
  <c r="V482" i="5"/>
  <c r="R482" i="5"/>
  <c r="X482" i="5" s="1"/>
  <c r="AZ481" i="5"/>
  <c r="AX481" i="5"/>
  <c r="AW481" i="5"/>
  <c r="AQ481" i="5"/>
  <c r="AI481" i="5"/>
  <c r="AG481" i="5"/>
  <c r="V481" i="5"/>
  <c r="R481" i="5"/>
  <c r="X481" i="5" s="1"/>
  <c r="AZ480" i="5"/>
  <c r="AX480" i="5"/>
  <c r="AW480" i="5"/>
  <c r="AQ480" i="5"/>
  <c r="AI480" i="5"/>
  <c r="AG480" i="5"/>
  <c r="V480" i="5"/>
  <c r="R480" i="5"/>
  <c r="X480" i="5" s="1"/>
  <c r="AZ479" i="5"/>
  <c r="AX479" i="5"/>
  <c r="AW479" i="5"/>
  <c r="AQ479" i="5"/>
  <c r="AI479" i="5"/>
  <c r="AG479" i="5"/>
  <c r="V479" i="5"/>
  <c r="R479" i="5"/>
  <c r="X479" i="5" s="1"/>
  <c r="AZ478" i="5"/>
  <c r="AX478" i="5"/>
  <c r="AW478" i="5"/>
  <c r="AQ478" i="5"/>
  <c r="AI478" i="5"/>
  <c r="AG478" i="5"/>
  <c r="V478" i="5"/>
  <c r="R478" i="5"/>
  <c r="X478" i="5" s="1"/>
  <c r="AZ477" i="5"/>
  <c r="AX477" i="5"/>
  <c r="AW477" i="5"/>
  <c r="AQ477" i="5"/>
  <c r="AI477" i="5"/>
  <c r="AG477" i="5"/>
  <c r="V477" i="5"/>
  <c r="R477" i="5"/>
  <c r="X477" i="5" s="1"/>
  <c r="AZ476" i="5"/>
  <c r="AX476" i="5"/>
  <c r="AW476" i="5"/>
  <c r="AQ476" i="5"/>
  <c r="AI476" i="5"/>
  <c r="AG476" i="5"/>
  <c r="V476" i="5"/>
  <c r="R476" i="5"/>
  <c r="X476" i="5" s="1"/>
  <c r="AZ475" i="5"/>
  <c r="AX475" i="5"/>
  <c r="AW475" i="5"/>
  <c r="AQ475" i="5"/>
  <c r="AI475" i="5"/>
  <c r="AG475" i="5"/>
  <c r="V475" i="5"/>
  <c r="R475" i="5"/>
  <c r="X475" i="5" s="1"/>
  <c r="AZ474" i="5"/>
  <c r="AX474" i="5"/>
  <c r="AW474" i="5"/>
  <c r="AQ474" i="5"/>
  <c r="AI474" i="5"/>
  <c r="AG474" i="5"/>
  <c r="V474" i="5"/>
  <c r="R474" i="5"/>
  <c r="X474" i="5" s="1"/>
  <c r="AZ473" i="5"/>
  <c r="AX473" i="5"/>
  <c r="AW473" i="5"/>
  <c r="AQ473" i="5"/>
  <c r="AI473" i="5"/>
  <c r="AG473" i="5"/>
  <c r="V473" i="5"/>
  <c r="R473" i="5"/>
  <c r="X473" i="5" s="1"/>
  <c r="AZ472" i="5"/>
  <c r="AX472" i="5"/>
  <c r="AW472" i="5"/>
  <c r="AQ472" i="5"/>
  <c r="AI472" i="5"/>
  <c r="AG472" i="5"/>
  <c r="V472" i="5"/>
  <c r="R472" i="5"/>
  <c r="X472" i="5" s="1"/>
  <c r="AZ471" i="5"/>
  <c r="AX471" i="5"/>
  <c r="AW471" i="5"/>
  <c r="AQ471" i="5"/>
  <c r="AI471" i="5"/>
  <c r="AG471" i="5"/>
  <c r="V471" i="5"/>
  <c r="R471" i="5"/>
  <c r="X471" i="5" s="1"/>
  <c r="AZ470" i="5"/>
  <c r="AX470" i="5"/>
  <c r="AW470" i="5"/>
  <c r="AQ470" i="5"/>
  <c r="AI470" i="5"/>
  <c r="AG470" i="5"/>
  <c r="V470" i="5"/>
  <c r="R470" i="5"/>
  <c r="X470" i="5" s="1"/>
  <c r="AZ469" i="5"/>
  <c r="AX469" i="5"/>
  <c r="AW469" i="5"/>
  <c r="AQ469" i="5"/>
  <c r="AI469" i="5"/>
  <c r="AG469" i="5"/>
  <c r="V469" i="5"/>
  <c r="R469" i="5"/>
  <c r="X469" i="5" s="1"/>
  <c r="AZ468" i="5"/>
  <c r="AX468" i="5"/>
  <c r="AW468" i="5"/>
  <c r="AQ468" i="5"/>
  <c r="AI468" i="5"/>
  <c r="AG468" i="5"/>
  <c r="V468" i="5"/>
  <c r="R468" i="5"/>
  <c r="X468" i="5" s="1"/>
  <c r="AZ467" i="5"/>
  <c r="AX467" i="5"/>
  <c r="AW467" i="5"/>
  <c r="AQ467" i="5"/>
  <c r="AI467" i="5"/>
  <c r="AG467" i="5"/>
  <c r="V467" i="5"/>
  <c r="R467" i="5"/>
  <c r="X467" i="5" s="1"/>
  <c r="AZ466" i="5"/>
  <c r="AX466" i="5"/>
  <c r="AW466" i="5"/>
  <c r="AQ466" i="5"/>
  <c r="AI466" i="5"/>
  <c r="AG466" i="5"/>
  <c r="V466" i="5"/>
  <c r="R466" i="5"/>
  <c r="X466" i="5" s="1"/>
  <c r="AZ465" i="5"/>
  <c r="AX465" i="5"/>
  <c r="AW465" i="5"/>
  <c r="AQ465" i="5"/>
  <c r="AI465" i="5"/>
  <c r="AG465" i="5"/>
  <c r="V465" i="5"/>
  <c r="R465" i="5"/>
  <c r="X465" i="5" s="1"/>
  <c r="AZ464" i="5"/>
  <c r="AX464" i="5"/>
  <c r="AW464" i="5"/>
  <c r="AQ464" i="5"/>
  <c r="AI464" i="5"/>
  <c r="AG464" i="5"/>
  <c r="V464" i="5"/>
  <c r="R464" i="5"/>
  <c r="X464" i="5" s="1"/>
  <c r="AZ463" i="5"/>
  <c r="AX463" i="5"/>
  <c r="AW463" i="5"/>
  <c r="AQ463" i="5"/>
  <c r="AI463" i="5"/>
  <c r="AG463" i="5"/>
  <c r="V463" i="5"/>
  <c r="R463" i="5"/>
  <c r="X463" i="5" s="1"/>
  <c r="AZ462" i="5"/>
  <c r="AX462" i="5"/>
  <c r="AW462" i="5"/>
  <c r="AQ462" i="5"/>
  <c r="AI462" i="5"/>
  <c r="AG462" i="5"/>
  <c r="V462" i="5"/>
  <c r="R462" i="5"/>
  <c r="X462" i="5" s="1"/>
  <c r="AZ461" i="5"/>
  <c r="AX461" i="5"/>
  <c r="AW461" i="5"/>
  <c r="AQ461" i="5"/>
  <c r="AI461" i="5"/>
  <c r="AG461" i="5"/>
  <c r="V461" i="5"/>
  <c r="R461" i="5"/>
  <c r="X461" i="5" s="1"/>
  <c r="AZ460" i="5"/>
  <c r="AX460" i="5"/>
  <c r="AW460" i="5"/>
  <c r="AQ460" i="5"/>
  <c r="AI460" i="5"/>
  <c r="AG460" i="5"/>
  <c r="V460" i="5"/>
  <c r="R460" i="5"/>
  <c r="X460" i="5" s="1"/>
  <c r="AZ459" i="5"/>
  <c r="AX459" i="5"/>
  <c r="AW459" i="5"/>
  <c r="AQ459" i="5"/>
  <c r="AI459" i="5"/>
  <c r="AG459" i="5"/>
  <c r="V459" i="5"/>
  <c r="R459" i="5"/>
  <c r="X459" i="5" s="1"/>
  <c r="AZ458" i="5"/>
  <c r="AX458" i="5"/>
  <c r="AW458" i="5"/>
  <c r="AQ458" i="5"/>
  <c r="AI458" i="5"/>
  <c r="AG458" i="5"/>
  <c r="V458" i="5"/>
  <c r="R458" i="5"/>
  <c r="X458" i="5" s="1"/>
  <c r="AZ457" i="5"/>
  <c r="AX457" i="5"/>
  <c r="AW457" i="5"/>
  <c r="AQ457" i="5"/>
  <c r="AI457" i="5"/>
  <c r="AG457" i="5"/>
  <c r="V457" i="5"/>
  <c r="R457" i="5"/>
  <c r="X457" i="5" s="1"/>
  <c r="AZ456" i="5"/>
  <c r="AX456" i="5"/>
  <c r="AW456" i="5"/>
  <c r="AQ456" i="5"/>
  <c r="AI456" i="5"/>
  <c r="AG456" i="5"/>
  <c r="V456" i="5"/>
  <c r="R456" i="5"/>
  <c r="X456" i="5" s="1"/>
  <c r="AZ455" i="5"/>
  <c r="AX455" i="5"/>
  <c r="AW455" i="5"/>
  <c r="AQ455" i="5"/>
  <c r="AI455" i="5"/>
  <c r="AG455" i="5"/>
  <c r="V455" i="5"/>
  <c r="R455" i="5"/>
  <c r="X455" i="5" s="1"/>
  <c r="AZ454" i="5"/>
  <c r="AX454" i="5"/>
  <c r="AW454" i="5"/>
  <c r="AQ454" i="5"/>
  <c r="AI454" i="5"/>
  <c r="AG454" i="5"/>
  <c r="V454" i="5"/>
  <c r="R454" i="5"/>
  <c r="X454" i="5" s="1"/>
  <c r="AZ453" i="5"/>
  <c r="AX453" i="5"/>
  <c r="AW453" i="5"/>
  <c r="AQ453" i="5"/>
  <c r="AI453" i="5"/>
  <c r="AG453" i="5"/>
  <c r="V453" i="5"/>
  <c r="R453" i="5"/>
  <c r="X453" i="5" s="1"/>
  <c r="AZ452" i="5"/>
  <c r="AX452" i="5"/>
  <c r="AW452" i="5"/>
  <c r="AQ452" i="5"/>
  <c r="AI452" i="5"/>
  <c r="AG452" i="5"/>
  <c r="V452" i="5"/>
  <c r="R452" i="5"/>
  <c r="X452" i="5" s="1"/>
  <c r="AZ451" i="5"/>
  <c r="AX451" i="5"/>
  <c r="AW451" i="5"/>
  <c r="AQ451" i="5"/>
  <c r="AI451" i="5"/>
  <c r="AG451" i="5"/>
  <c r="V451" i="5"/>
  <c r="R451" i="5"/>
  <c r="X451" i="5" s="1"/>
  <c r="AZ450" i="5"/>
  <c r="AX450" i="5"/>
  <c r="AW450" i="5"/>
  <c r="AQ450" i="5"/>
  <c r="AI450" i="5"/>
  <c r="AG450" i="5"/>
  <c r="V450" i="5"/>
  <c r="R450" i="5"/>
  <c r="X450" i="5" s="1"/>
  <c r="AZ449" i="5"/>
  <c r="AX449" i="5"/>
  <c r="AW449" i="5"/>
  <c r="AQ449" i="5"/>
  <c r="AI449" i="5"/>
  <c r="AG449" i="5"/>
  <c r="V449" i="5"/>
  <c r="R449" i="5"/>
  <c r="X449" i="5" s="1"/>
  <c r="AZ448" i="5"/>
  <c r="AX448" i="5"/>
  <c r="AW448" i="5"/>
  <c r="AQ448" i="5"/>
  <c r="AI448" i="5"/>
  <c r="AG448" i="5"/>
  <c r="V448" i="5"/>
  <c r="R448" i="5"/>
  <c r="X448" i="5" s="1"/>
  <c r="AZ447" i="5"/>
  <c r="AX447" i="5"/>
  <c r="AW447" i="5"/>
  <c r="AQ447" i="5"/>
  <c r="AI447" i="5"/>
  <c r="AG447" i="5"/>
  <c r="V447" i="5"/>
  <c r="R447" i="5"/>
  <c r="X447" i="5" s="1"/>
  <c r="AZ446" i="5"/>
  <c r="AX446" i="5"/>
  <c r="AW446" i="5"/>
  <c r="AQ446" i="5"/>
  <c r="AI446" i="5"/>
  <c r="AG446" i="5"/>
  <c r="V446" i="5"/>
  <c r="R446" i="5"/>
  <c r="X446" i="5" s="1"/>
  <c r="AZ445" i="5"/>
  <c r="AX445" i="5"/>
  <c r="AW445" i="5"/>
  <c r="AQ445" i="5"/>
  <c r="AI445" i="5"/>
  <c r="AG445" i="5"/>
  <c r="V445" i="5"/>
  <c r="R445" i="5"/>
  <c r="X445" i="5" s="1"/>
  <c r="AZ444" i="5"/>
  <c r="AX444" i="5"/>
  <c r="AW444" i="5"/>
  <c r="AQ444" i="5"/>
  <c r="AI444" i="5"/>
  <c r="AG444" i="5"/>
  <c r="V444" i="5"/>
  <c r="R444" i="5"/>
  <c r="X444" i="5" s="1"/>
  <c r="AZ443" i="5"/>
  <c r="AX443" i="5"/>
  <c r="AW443" i="5"/>
  <c r="AQ443" i="5"/>
  <c r="AI443" i="5"/>
  <c r="AG443" i="5"/>
  <c r="V443" i="5"/>
  <c r="R443" i="5"/>
  <c r="X443" i="5" s="1"/>
  <c r="AZ442" i="5"/>
  <c r="AX442" i="5"/>
  <c r="AW442" i="5"/>
  <c r="AQ442" i="5"/>
  <c r="AI442" i="5"/>
  <c r="AG442" i="5"/>
  <c r="V442" i="5"/>
  <c r="R442" i="5"/>
  <c r="X442" i="5" s="1"/>
  <c r="AZ441" i="5"/>
  <c r="AX441" i="5"/>
  <c r="AW441" i="5"/>
  <c r="AQ441" i="5"/>
  <c r="AI441" i="5"/>
  <c r="AG441" i="5"/>
  <c r="V441" i="5"/>
  <c r="R441" i="5"/>
  <c r="X441" i="5" s="1"/>
  <c r="AZ440" i="5"/>
  <c r="AX440" i="5"/>
  <c r="AW440" i="5"/>
  <c r="AQ440" i="5"/>
  <c r="AI440" i="5"/>
  <c r="AG440" i="5"/>
  <c r="V440" i="5"/>
  <c r="R440" i="5"/>
  <c r="X440" i="5" s="1"/>
  <c r="AZ439" i="5"/>
  <c r="AX439" i="5"/>
  <c r="AW439" i="5"/>
  <c r="AQ439" i="5"/>
  <c r="AI439" i="5"/>
  <c r="AG439" i="5"/>
  <c r="V439" i="5"/>
  <c r="R439" i="5"/>
  <c r="X439" i="5" s="1"/>
  <c r="AZ438" i="5"/>
  <c r="AX438" i="5"/>
  <c r="AW438" i="5"/>
  <c r="AQ438" i="5"/>
  <c r="AI438" i="5"/>
  <c r="AG438" i="5"/>
  <c r="V438" i="5"/>
  <c r="R438" i="5"/>
  <c r="X438" i="5" s="1"/>
  <c r="AZ437" i="5"/>
  <c r="AX437" i="5"/>
  <c r="AW437" i="5"/>
  <c r="AQ437" i="5"/>
  <c r="AI437" i="5"/>
  <c r="AG437" i="5"/>
  <c r="V437" i="5"/>
  <c r="R437" i="5"/>
  <c r="X437" i="5" s="1"/>
  <c r="AZ436" i="5"/>
  <c r="AX436" i="5"/>
  <c r="AW436" i="5"/>
  <c r="AQ436" i="5"/>
  <c r="AI436" i="5"/>
  <c r="AG436" i="5"/>
  <c r="V436" i="5"/>
  <c r="R436" i="5"/>
  <c r="X436" i="5" s="1"/>
  <c r="AZ435" i="5"/>
  <c r="AX435" i="5"/>
  <c r="AW435" i="5"/>
  <c r="AQ435" i="5"/>
  <c r="AI435" i="5"/>
  <c r="AG435" i="5"/>
  <c r="V435" i="5"/>
  <c r="R435" i="5"/>
  <c r="X435" i="5" s="1"/>
  <c r="AZ434" i="5"/>
  <c r="AX434" i="5"/>
  <c r="AW434" i="5"/>
  <c r="AQ434" i="5"/>
  <c r="AI434" i="5"/>
  <c r="AG434" i="5"/>
  <c r="V434" i="5"/>
  <c r="R434" i="5"/>
  <c r="X434" i="5" s="1"/>
  <c r="AZ433" i="5"/>
  <c r="AX433" i="5"/>
  <c r="AW433" i="5"/>
  <c r="AQ433" i="5"/>
  <c r="AI433" i="5"/>
  <c r="AG433" i="5"/>
  <c r="V433" i="5"/>
  <c r="R433" i="5"/>
  <c r="X433" i="5" s="1"/>
  <c r="AZ432" i="5"/>
  <c r="AX432" i="5"/>
  <c r="AW432" i="5"/>
  <c r="AQ432" i="5"/>
  <c r="AI432" i="5"/>
  <c r="AG432" i="5"/>
  <c r="V432" i="5"/>
  <c r="R432" i="5"/>
  <c r="X432" i="5" s="1"/>
  <c r="AZ431" i="5"/>
  <c r="AX431" i="5"/>
  <c r="AW431" i="5"/>
  <c r="AQ431" i="5"/>
  <c r="AI431" i="5"/>
  <c r="AG431" i="5"/>
  <c r="V431" i="5"/>
  <c r="R431" i="5"/>
  <c r="X431" i="5" s="1"/>
  <c r="AZ430" i="5"/>
  <c r="AX430" i="5"/>
  <c r="AW430" i="5"/>
  <c r="AQ430" i="5"/>
  <c r="AI430" i="5"/>
  <c r="AG430" i="5"/>
  <c r="V430" i="5"/>
  <c r="R430" i="5"/>
  <c r="X430" i="5" s="1"/>
  <c r="AZ429" i="5"/>
  <c r="AX429" i="5"/>
  <c r="AW429" i="5"/>
  <c r="AQ429" i="5"/>
  <c r="AI429" i="5"/>
  <c r="AG429" i="5"/>
  <c r="V429" i="5"/>
  <c r="R429" i="5"/>
  <c r="X429" i="5" s="1"/>
  <c r="AZ428" i="5"/>
  <c r="AX428" i="5"/>
  <c r="AW428" i="5"/>
  <c r="AQ428" i="5"/>
  <c r="AI428" i="5"/>
  <c r="AG428" i="5"/>
  <c r="V428" i="5"/>
  <c r="R428" i="5"/>
  <c r="X428" i="5" s="1"/>
  <c r="AZ427" i="5"/>
  <c r="AX427" i="5"/>
  <c r="AW427" i="5"/>
  <c r="AQ427" i="5"/>
  <c r="AI427" i="5"/>
  <c r="AG427" i="5"/>
  <c r="V427" i="5"/>
  <c r="R427" i="5"/>
  <c r="X427" i="5" s="1"/>
  <c r="AZ426" i="5"/>
  <c r="AX426" i="5"/>
  <c r="AW426" i="5"/>
  <c r="AQ426" i="5"/>
  <c r="AI426" i="5"/>
  <c r="AG426" i="5"/>
  <c r="V426" i="5"/>
  <c r="R426" i="5"/>
  <c r="X426" i="5" s="1"/>
  <c r="AZ425" i="5"/>
  <c r="AX425" i="5"/>
  <c r="AW425" i="5"/>
  <c r="AQ425" i="5"/>
  <c r="AI425" i="5"/>
  <c r="AG425" i="5"/>
  <c r="V425" i="5"/>
  <c r="R425" i="5"/>
  <c r="X425" i="5" s="1"/>
  <c r="AZ424" i="5"/>
  <c r="AX424" i="5"/>
  <c r="AW424" i="5"/>
  <c r="AQ424" i="5"/>
  <c r="AI424" i="5"/>
  <c r="AG424" i="5"/>
  <c r="V424" i="5"/>
  <c r="R424" i="5"/>
  <c r="X424" i="5" s="1"/>
  <c r="AZ423" i="5"/>
  <c r="AX423" i="5"/>
  <c r="AW423" i="5"/>
  <c r="AQ423" i="5"/>
  <c r="AI423" i="5"/>
  <c r="AG423" i="5"/>
  <c r="V423" i="5"/>
  <c r="R423" i="5"/>
  <c r="X423" i="5" s="1"/>
  <c r="AZ422" i="5"/>
  <c r="AX422" i="5"/>
  <c r="AW422" i="5"/>
  <c r="AQ422" i="5"/>
  <c r="AI422" i="5"/>
  <c r="AG422" i="5"/>
  <c r="V422" i="5"/>
  <c r="R422" i="5"/>
  <c r="X422" i="5" s="1"/>
  <c r="AZ421" i="5"/>
  <c r="AX421" i="5"/>
  <c r="AW421" i="5"/>
  <c r="AQ421" i="5"/>
  <c r="AI421" i="5"/>
  <c r="AG421" i="5"/>
  <c r="V421" i="5"/>
  <c r="R421" i="5"/>
  <c r="X421" i="5" s="1"/>
  <c r="AZ420" i="5"/>
  <c r="AX420" i="5"/>
  <c r="AW420" i="5"/>
  <c r="AQ420" i="5"/>
  <c r="AI420" i="5"/>
  <c r="AG420" i="5"/>
  <c r="V420" i="5"/>
  <c r="R420" i="5"/>
  <c r="X420" i="5" s="1"/>
  <c r="AZ419" i="5"/>
  <c r="AX419" i="5"/>
  <c r="AW419" i="5"/>
  <c r="AQ419" i="5"/>
  <c r="AI419" i="5"/>
  <c r="AG419" i="5"/>
  <c r="V419" i="5"/>
  <c r="R419" i="5"/>
  <c r="X419" i="5" s="1"/>
  <c r="AZ418" i="5"/>
  <c r="AX418" i="5"/>
  <c r="AW418" i="5"/>
  <c r="AQ418" i="5"/>
  <c r="AI418" i="5"/>
  <c r="AG418" i="5"/>
  <c r="V418" i="5"/>
  <c r="R418" i="5"/>
  <c r="X418" i="5" s="1"/>
  <c r="AZ417" i="5"/>
  <c r="AX417" i="5"/>
  <c r="AW417" i="5"/>
  <c r="AQ417" i="5"/>
  <c r="AI417" i="5"/>
  <c r="AG417" i="5"/>
  <c r="V417" i="5"/>
  <c r="R417" i="5"/>
  <c r="X417" i="5" s="1"/>
  <c r="AZ416" i="5"/>
  <c r="AX416" i="5"/>
  <c r="AW416" i="5"/>
  <c r="AQ416" i="5"/>
  <c r="AI416" i="5"/>
  <c r="AG416" i="5"/>
  <c r="V416" i="5"/>
  <c r="R416" i="5"/>
  <c r="X416" i="5" s="1"/>
  <c r="AZ415" i="5"/>
  <c r="AX415" i="5"/>
  <c r="AW415" i="5"/>
  <c r="AQ415" i="5"/>
  <c r="AI415" i="5"/>
  <c r="AG415" i="5"/>
  <c r="V415" i="5"/>
  <c r="R415" i="5"/>
  <c r="X415" i="5" s="1"/>
  <c r="AZ414" i="5"/>
  <c r="AX414" i="5"/>
  <c r="AW414" i="5"/>
  <c r="AQ414" i="5"/>
  <c r="AI414" i="5"/>
  <c r="AG414" i="5"/>
  <c r="V414" i="5"/>
  <c r="R414" i="5"/>
  <c r="X414" i="5" s="1"/>
  <c r="AZ413" i="5"/>
  <c r="AX413" i="5"/>
  <c r="AW413" i="5"/>
  <c r="AQ413" i="5"/>
  <c r="AI413" i="5"/>
  <c r="AG413" i="5"/>
  <c r="V413" i="5"/>
  <c r="R413" i="5"/>
  <c r="X413" i="5" s="1"/>
  <c r="AZ412" i="5"/>
  <c r="AX412" i="5"/>
  <c r="AW412" i="5"/>
  <c r="AQ412" i="5"/>
  <c r="AI412" i="5"/>
  <c r="AG412" i="5"/>
  <c r="V412" i="5"/>
  <c r="R412" i="5"/>
  <c r="X412" i="5" s="1"/>
  <c r="AZ411" i="5"/>
  <c r="AX411" i="5"/>
  <c r="AW411" i="5"/>
  <c r="AQ411" i="5"/>
  <c r="AI411" i="5"/>
  <c r="AG411" i="5"/>
  <c r="V411" i="5"/>
  <c r="R411" i="5"/>
  <c r="X411" i="5" s="1"/>
  <c r="AZ410" i="5"/>
  <c r="AX410" i="5"/>
  <c r="AW410" i="5"/>
  <c r="AQ410" i="5"/>
  <c r="AI410" i="5"/>
  <c r="AG410" i="5"/>
  <c r="V410" i="5"/>
  <c r="R410" i="5"/>
  <c r="X410" i="5" s="1"/>
  <c r="AZ409" i="5"/>
  <c r="AX409" i="5"/>
  <c r="AW409" i="5"/>
  <c r="AQ409" i="5"/>
  <c r="AI409" i="5"/>
  <c r="AG409" i="5"/>
  <c r="V409" i="5"/>
  <c r="R409" i="5"/>
  <c r="X409" i="5" s="1"/>
  <c r="AZ408" i="5"/>
  <c r="AX408" i="5"/>
  <c r="AW408" i="5"/>
  <c r="AQ408" i="5"/>
  <c r="AI408" i="5"/>
  <c r="AG408" i="5"/>
  <c r="V408" i="5"/>
  <c r="R408" i="5"/>
  <c r="X408" i="5" s="1"/>
  <c r="AZ407" i="5"/>
  <c r="AX407" i="5"/>
  <c r="AW407" i="5"/>
  <c r="AQ407" i="5"/>
  <c r="AI407" i="5"/>
  <c r="AG407" i="5"/>
  <c r="V407" i="5"/>
  <c r="R407" i="5"/>
  <c r="X407" i="5" s="1"/>
  <c r="AZ406" i="5"/>
  <c r="AX406" i="5"/>
  <c r="AW406" i="5"/>
  <c r="AQ406" i="5"/>
  <c r="AI406" i="5"/>
  <c r="AG406" i="5"/>
  <c r="V406" i="5"/>
  <c r="R406" i="5"/>
  <c r="X406" i="5" s="1"/>
  <c r="AZ405" i="5"/>
  <c r="AX405" i="5"/>
  <c r="AW405" i="5"/>
  <c r="AQ405" i="5"/>
  <c r="AI405" i="5"/>
  <c r="AG405" i="5"/>
  <c r="V405" i="5"/>
  <c r="R405" i="5"/>
  <c r="X405" i="5" s="1"/>
  <c r="AZ404" i="5"/>
  <c r="AX404" i="5"/>
  <c r="AW404" i="5"/>
  <c r="AQ404" i="5"/>
  <c r="AI404" i="5"/>
  <c r="AG404" i="5"/>
  <c r="V404" i="5"/>
  <c r="R404" i="5"/>
  <c r="X404" i="5" s="1"/>
  <c r="AZ403" i="5"/>
  <c r="AX403" i="5"/>
  <c r="AW403" i="5"/>
  <c r="AQ403" i="5"/>
  <c r="AI403" i="5"/>
  <c r="AG403" i="5"/>
  <c r="V403" i="5"/>
  <c r="R403" i="5"/>
  <c r="X403" i="5" s="1"/>
  <c r="AZ402" i="5"/>
  <c r="AX402" i="5"/>
  <c r="AW402" i="5"/>
  <c r="AQ402" i="5"/>
  <c r="AI402" i="5"/>
  <c r="AG402" i="5"/>
  <c r="V402" i="5"/>
  <c r="R402" i="5"/>
  <c r="X402" i="5" s="1"/>
  <c r="AZ401" i="5"/>
  <c r="AX401" i="5"/>
  <c r="AW401" i="5"/>
  <c r="AQ401" i="5"/>
  <c r="AI401" i="5"/>
  <c r="AG401" i="5"/>
  <c r="V401" i="5"/>
  <c r="R401" i="5"/>
  <c r="X401" i="5" s="1"/>
  <c r="AZ400" i="5"/>
  <c r="AX400" i="5"/>
  <c r="AW400" i="5"/>
  <c r="AQ400" i="5"/>
  <c r="AI400" i="5"/>
  <c r="AG400" i="5"/>
  <c r="V400" i="5"/>
  <c r="R400" i="5"/>
  <c r="X400" i="5" s="1"/>
  <c r="AZ399" i="5"/>
  <c r="AX399" i="5"/>
  <c r="AW399" i="5"/>
  <c r="AQ399" i="5"/>
  <c r="AI399" i="5"/>
  <c r="AG399" i="5"/>
  <c r="V399" i="5"/>
  <c r="R399" i="5"/>
  <c r="X399" i="5" s="1"/>
  <c r="AZ398" i="5"/>
  <c r="AX398" i="5"/>
  <c r="AW398" i="5"/>
  <c r="AQ398" i="5"/>
  <c r="AI398" i="5"/>
  <c r="AG398" i="5"/>
  <c r="V398" i="5"/>
  <c r="R398" i="5"/>
  <c r="X398" i="5" s="1"/>
  <c r="AZ397" i="5"/>
  <c r="AX397" i="5"/>
  <c r="AW397" i="5"/>
  <c r="AQ397" i="5"/>
  <c r="AI397" i="5"/>
  <c r="AG397" i="5"/>
  <c r="V397" i="5"/>
  <c r="R397" i="5"/>
  <c r="X397" i="5" s="1"/>
  <c r="AZ396" i="5"/>
  <c r="AX396" i="5"/>
  <c r="AW396" i="5"/>
  <c r="AQ396" i="5"/>
  <c r="AI396" i="5"/>
  <c r="AG396" i="5"/>
  <c r="V396" i="5"/>
  <c r="R396" i="5"/>
  <c r="X396" i="5" s="1"/>
  <c r="AZ395" i="5"/>
  <c r="AX395" i="5"/>
  <c r="AW395" i="5"/>
  <c r="AQ395" i="5"/>
  <c r="AI395" i="5"/>
  <c r="AG395" i="5"/>
  <c r="V395" i="5"/>
  <c r="R395" i="5"/>
  <c r="X395" i="5" s="1"/>
  <c r="AZ394" i="5"/>
  <c r="AX394" i="5"/>
  <c r="AW394" i="5"/>
  <c r="AQ394" i="5"/>
  <c r="AI394" i="5"/>
  <c r="AG394" i="5"/>
  <c r="V394" i="5"/>
  <c r="R394" i="5"/>
  <c r="X394" i="5" s="1"/>
  <c r="AZ393" i="5"/>
  <c r="AX393" i="5"/>
  <c r="AW393" i="5"/>
  <c r="AQ393" i="5"/>
  <c r="AI393" i="5"/>
  <c r="AG393" i="5"/>
  <c r="V393" i="5"/>
  <c r="R393" i="5"/>
  <c r="X393" i="5" s="1"/>
  <c r="AZ392" i="5"/>
  <c r="AX392" i="5"/>
  <c r="AW392" i="5"/>
  <c r="AQ392" i="5"/>
  <c r="AI392" i="5"/>
  <c r="AG392" i="5"/>
  <c r="V392" i="5"/>
  <c r="R392" i="5"/>
  <c r="X392" i="5" s="1"/>
  <c r="AZ391" i="5"/>
  <c r="AX391" i="5"/>
  <c r="AW391" i="5"/>
  <c r="AQ391" i="5"/>
  <c r="AI391" i="5"/>
  <c r="AG391" i="5"/>
  <c r="V391" i="5"/>
  <c r="R391" i="5"/>
  <c r="X391" i="5" s="1"/>
  <c r="AZ390" i="5"/>
  <c r="AX390" i="5"/>
  <c r="AW390" i="5"/>
  <c r="AQ390" i="5"/>
  <c r="AI390" i="5"/>
  <c r="AG390" i="5"/>
  <c r="V390" i="5"/>
  <c r="R390" i="5"/>
  <c r="X390" i="5" s="1"/>
  <c r="AZ389" i="5"/>
  <c r="AX389" i="5"/>
  <c r="AW389" i="5"/>
  <c r="AQ389" i="5"/>
  <c r="AI389" i="5"/>
  <c r="AG389" i="5"/>
  <c r="V389" i="5"/>
  <c r="R389" i="5"/>
  <c r="X389" i="5" s="1"/>
  <c r="AZ388" i="5"/>
  <c r="AX388" i="5"/>
  <c r="AW388" i="5"/>
  <c r="AQ388" i="5"/>
  <c r="AI388" i="5"/>
  <c r="AG388" i="5"/>
  <c r="V388" i="5"/>
  <c r="R388" i="5"/>
  <c r="X388" i="5" s="1"/>
  <c r="AZ387" i="5"/>
  <c r="AX387" i="5"/>
  <c r="AW387" i="5"/>
  <c r="AQ387" i="5"/>
  <c r="AI387" i="5"/>
  <c r="AG387" i="5"/>
  <c r="V387" i="5"/>
  <c r="R387" i="5"/>
  <c r="X387" i="5" s="1"/>
  <c r="AZ386" i="5"/>
  <c r="AX386" i="5"/>
  <c r="AW386" i="5"/>
  <c r="AQ386" i="5"/>
  <c r="AI386" i="5"/>
  <c r="AG386" i="5"/>
  <c r="V386" i="5"/>
  <c r="R386" i="5"/>
  <c r="X386" i="5" s="1"/>
  <c r="AZ385" i="5"/>
  <c r="AX385" i="5"/>
  <c r="AW385" i="5"/>
  <c r="AQ385" i="5"/>
  <c r="AI385" i="5"/>
  <c r="V385" i="5"/>
  <c r="R385" i="5"/>
  <c r="X385" i="5" s="1"/>
  <c r="AZ384" i="5"/>
  <c r="AX384" i="5"/>
  <c r="AW384" i="5"/>
  <c r="AQ384" i="5"/>
  <c r="AI384" i="5"/>
  <c r="AG384" i="5"/>
  <c r="V384" i="5"/>
  <c r="R384" i="5"/>
  <c r="X384" i="5" s="1"/>
  <c r="AZ383" i="5"/>
  <c r="AX383" i="5"/>
  <c r="AW383" i="5"/>
  <c r="AQ383" i="5"/>
  <c r="AI383" i="5"/>
  <c r="AG383" i="5"/>
  <c r="V383" i="5"/>
  <c r="R383" i="5"/>
  <c r="X383" i="5" s="1"/>
  <c r="AZ382" i="5"/>
  <c r="AX382" i="5"/>
  <c r="AW382" i="5"/>
  <c r="AQ382" i="5"/>
  <c r="AI382" i="5"/>
  <c r="AG382" i="5"/>
  <c r="V382" i="5"/>
  <c r="R382" i="5"/>
  <c r="X382" i="5" s="1"/>
  <c r="AZ381" i="5"/>
  <c r="AX381" i="5"/>
  <c r="AW381" i="5"/>
  <c r="AQ381" i="5"/>
  <c r="AI381" i="5"/>
  <c r="AG381" i="5"/>
  <c r="V381" i="5"/>
  <c r="R381" i="5"/>
  <c r="X381" i="5" s="1"/>
  <c r="AZ380" i="5"/>
  <c r="AX380" i="5"/>
  <c r="AW380" i="5"/>
  <c r="AQ380" i="5"/>
  <c r="AI380" i="5"/>
  <c r="AG380" i="5"/>
  <c r="V380" i="5"/>
  <c r="R380" i="5"/>
  <c r="X380" i="5" s="1"/>
  <c r="AZ379" i="5"/>
  <c r="AX379" i="5"/>
  <c r="AW379" i="5"/>
  <c r="AQ379" i="5"/>
  <c r="AI379" i="5"/>
  <c r="AG379" i="5"/>
  <c r="V379" i="5"/>
  <c r="R379" i="5"/>
  <c r="X379" i="5" s="1"/>
  <c r="AZ378" i="5"/>
  <c r="AX378" i="5"/>
  <c r="AW378" i="5"/>
  <c r="AQ378" i="5"/>
  <c r="AI378" i="5"/>
  <c r="AG378" i="5"/>
  <c r="V378" i="5"/>
  <c r="R378" i="5"/>
  <c r="X378" i="5" s="1"/>
  <c r="AZ377" i="5"/>
  <c r="AX377" i="5"/>
  <c r="AW377" i="5"/>
  <c r="AQ377" i="5"/>
  <c r="AI377" i="5"/>
  <c r="AG377" i="5"/>
  <c r="V377" i="5"/>
  <c r="R377" i="5"/>
  <c r="X377" i="5" s="1"/>
  <c r="AZ376" i="5"/>
  <c r="AX376" i="5"/>
  <c r="AW376" i="5"/>
  <c r="AQ376" i="5"/>
  <c r="AI376" i="5"/>
  <c r="AG376" i="5"/>
  <c r="V376" i="5"/>
  <c r="R376" i="5"/>
  <c r="X376" i="5" s="1"/>
  <c r="AZ375" i="5"/>
  <c r="AX375" i="5"/>
  <c r="AW375" i="5"/>
  <c r="AQ375" i="5"/>
  <c r="AI375" i="5"/>
  <c r="V375" i="5"/>
  <c r="R375" i="5"/>
  <c r="X375" i="5" s="1"/>
  <c r="AZ374" i="5"/>
  <c r="AX374" i="5"/>
  <c r="AW374" i="5"/>
  <c r="AQ374" i="5"/>
  <c r="AI374" i="5"/>
  <c r="V374" i="5"/>
  <c r="R374" i="5"/>
  <c r="X374" i="5" s="1"/>
  <c r="AZ373" i="5"/>
  <c r="AX373" i="5"/>
  <c r="AW373" i="5"/>
  <c r="AQ373" i="5"/>
  <c r="AI373" i="5"/>
  <c r="AG373" i="5"/>
  <c r="V373" i="5"/>
  <c r="R373" i="5"/>
  <c r="X373" i="5" s="1"/>
  <c r="AZ372" i="5"/>
  <c r="AX372" i="5"/>
  <c r="AW372" i="5"/>
  <c r="AQ372" i="5"/>
  <c r="AI372" i="5"/>
  <c r="AG372" i="5"/>
  <c r="V372" i="5"/>
  <c r="R372" i="5"/>
  <c r="X372" i="5" s="1"/>
  <c r="AZ371" i="5"/>
  <c r="AX371" i="5"/>
  <c r="AW371" i="5"/>
  <c r="AQ371" i="5"/>
  <c r="AI371" i="5"/>
  <c r="AG371" i="5"/>
  <c r="V371" i="5"/>
  <c r="R371" i="5"/>
  <c r="X371" i="5" s="1"/>
  <c r="AZ370" i="5"/>
  <c r="AX370" i="5"/>
  <c r="AW370" i="5"/>
  <c r="AQ370" i="5"/>
  <c r="AI370" i="5"/>
  <c r="AG370" i="5"/>
  <c r="V370" i="5"/>
  <c r="R370" i="5"/>
  <c r="X370" i="5" s="1"/>
  <c r="AZ369" i="5"/>
  <c r="AX369" i="5"/>
  <c r="AW369" i="5"/>
  <c r="AQ369" i="5"/>
  <c r="AI369" i="5"/>
  <c r="AG369" i="5"/>
  <c r="V369" i="5"/>
  <c r="R369" i="5"/>
  <c r="X369" i="5" s="1"/>
  <c r="AZ368" i="5"/>
  <c r="AX368" i="5"/>
  <c r="AW368" i="5"/>
  <c r="AQ368" i="5"/>
  <c r="AI368" i="5"/>
  <c r="AG368" i="5"/>
  <c r="V368" i="5"/>
  <c r="R368" i="5"/>
  <c r="X368" i="5" s="1"/>
  <c r="AZ367" i="5"/>
  <c r="AX367" i="5"/>
  <c r="AW367" i="5"/>
  <c r="AQ367" i="5"/>
  <c r="AI367" i="5"/>
  <c r="AG367" i="5"/>
  <c r="V367" i="5"/>
  <c r="R367" i="5"/>
  <c r="X367" i="5" s="1"/>
  <c r="AZ366" i="5"/>
  <c r="AX366" i="5"/>
  <c r="AW366" i="5"/>
  <c r="AQ366" i="5"/>
  <c r="AI366" i="5"/>
  <c r="AG366" i="5"/>
  <c r="V366" i="5"/>
  <c r="R366" i="5"/>
  <c r="X366" i="5" s="1"/>
  <c r="AZ365" i="5"/>
  <c r="AX365" i="5"/>
  <c r="AW365" i="5"/>
  <c r="AQ365" i="5"/>
  <c r="AI365" i="5"/>
  <c r="AG365" i="5"/>
  <c r="V365" i="5"/>
  <c r="R365" i="5"/>
  <c r="X365" i="5" s="1"/>
  <c r="AZ364" i="5"/>
  <c r="AX364" i="5"/>
  <c r="AW364" i="5"/>
  <c r="AQ364" i="5"/>
  <c r="AI364" i="5"/>
  <c r="AG364" i="5"/>
  <c r="V364" i="5"/>
  <c r="R364" i="5"/>
  <c r="X364" i="5" s="1"/>
  <c r="AZ363" i="5"/>
  <c r="AX363" i="5"/>
  <c r="AW363" i="5"/>
  <c r="AQ363" i="5"/>
  <c r="AI363" i="5"/>
  <c r="AG363" i="5"/>
  <c r="V363" i="5"/>
  <c r="R363" i="5"/>
  <c r="X363" i="5" s="1"/>
  <c r="AZ362" i="5"/>
  <c r="AX362" i="5"/>
  <c r="AW362" i="5"/>
  <c r="AQ362" i="5"/>
  <c r="AI362" i="5"/>
  <c r="AG362" i="5"/>
  <c r="V362" i="5"/>
  <c r="R362" i="5"/>
  <c r="X362" i="5" s="1"/>
  <c r="AZ361" i="5"/>
  <c r="AX361" i="5"/>
  <c r="AW361" i="5"/>
  <c r="AQ361" i="5"/>
  <c r="AI361" i="5"/>
  <c r="AG361" i="5"/>
  <c r="V361" i="5"/>
  <c r="R361" i="5"/>
  <c r="X361" i="5" s="1"/>
  <c r="AZ360" i="5"/>
  <c r="AX360" i="5"/>
  <c r="AW360" i="5"/>
  <c r="AQ360" i="5"/>
  <c r="AI360" i="5"/>
  <c r="AG360" i="5"/>
  <c r="V360" i="5"/>
  <c r="R360" i="5"/>
  <c r="X360" i="5" s="1"/>
  <c r="AZ359" i="5"/>
  <c r="AX359" i="5"/>
  <c r="AW359" i="5"/>
  <c r="AQ359" i="5"/>
  <c r="AI359" i="5"/>
  <c r="AG359" i="5"/>
  <c r="V359" i="5"/>
  <c r="R359" i="5"/>
  <c r="X359" i="5" s="1"/>
  <c r="AZ358" i="5"/>
  <c r="AX358" i="5"/>
  <c r="AW358" i="5"/>
  <c r="AQ358" i="5"/>
  <c r="AI358" i="5"/>
  <c r="AG358" i="5"/>
  <c r="V358" i="5"/>
  <c r="R358" i="5"/>
  <c r="X358" i="5" s="1"/>
  <c r="AZ357" i="5"/>
  <c r="AX357" i="5"/>
  <c r="AW357" i="5"/>
  <c r="AQ357" i="5"/>
  <c r="AI357" i="5"/>
  <c r="AG357" i="5"/>
  <c r="V357" i="5"/>
  <c r="R357" i="5"/>
  <c r="X357" i="5" s="1"/>
  <c r="AZ356" i="5"/>
  <c r="AX356" i="5"/>
  <c r="AW356" i="5"/>
  <c r="AQ356" i="5"/>
  <c r="AI356" i="5"/>
  <c r="AG356" i="5"/>
  <c r="V356" i="5"/>
  <c r="R356" i="5"/>
  <c r="X356" i="5" s="1"/>
  <c r="AZ355" i="5"/>
  <c r="AX355" i="5"/>
  <c r="AW355" i="5"/>
  <c r="AQ355" i="5"/>
  <c r="AI355" i="5"/>
  <c r="AG355" i="5"/>
  <c r="V355" i="5"/>
  <c r="R355" i="5"/>
  <c r="X355" i="5" s="1"/>
  <c r="AZ354" i="5"/>
  <c r="AX354" i="5"/>
  <c r="AW354" i="5"/>
  <c r="AQ354" i="5"/>
  <c r="AI354" i="5"/>
  <c r="AG354" i="5"/>
  <c r="V354" i="5"/>
  <c r="R354" i="5"/>
  <c r="X354" i="5" s="1"/>
  <c r="AZ353" i="5"/>
  <c r="AX353" i="5"/>
  <c r="AW353" i="5"/>
  <c r="AQ353" i="5"/>
  <c r="AI353" i="5"/>
  <c r="AG353" i="5"/>
  <c r="V353" i="5"/>
  <c r="R353" i="5"/>
  <c r="X353" i="5" s="1"/>
  <c r="AZ352" i="5"/>
  <c r="AX352" i="5"/>
  <c r="AW352" i="5"/>
  <c r="AQ352" i="5"/>
  <c r="AI352" i="5"/>
  <c r="AG352" i="5"/>
  <c r="V352" i="5"/>
  <c r="R352" i="5"/>
  <c r="X352" i="5" s="1"/>
  <c r="AZ351" i="5"/>
  <c r="AX351" i="5"/>
  <c r="AW351" i="5"/>
  <c r="AQ351" i="5"/>
  <c r="AI351" i="5"/>
  <c r="AG351" i="5"/>
  <c r="V351" i="5"/>
  <c r="R351" i="5"/>
  <c r="X351" i="5" s="1"/>
  <c r="AZ350" i="5"/>
  <c r="AX350" i="5"/>
  <c r="AW350" i="5"/>
  <c r="AQ350" i="5"/>
  <c r="AI350" i="5"/>
  <c r="AG350" i="5"/>
  <c r="V350" i="5"/>
  <c r="R350" i="5"/>
  <c r="X350" i="5" s="1"/>
  <c r="AZ349" i="5"/>
  <c r="AX349" i="5"/>
  <c r="AW349" i="5"/>
  <c r="AQ349" i="5"/>
  <c r="AI349" i="5"/>
  <c r="AG349" i="5"/>
  <c r="V349" i="5"/>
  <c r="R349" i="5"/>
  <c r="X349" i="5" s="1"/>
  <c r="AZ348" i="5"/>
  <c r="AX348" i="5"/>
  <c r="AW348" i="5"/>
  <c r="AQ348" i="5"/>
  <c r="AI348" i="5"/>
  <c r="AG348" i="5"/>
  <c r="V348" i="5"/>
  <c r="R348" i="5"/>
  <c r="X348" i="5" s="1"/>
  <c r="AZ347" i="5"/>
  <c r="AX347" i="5"/>
  <c r="AW347" i="5"/>
  <c r="AQ347" i="5"/>
  <c r="AI347" i="5"/>
  <c r="AG347" i="5"/>
  <c r="V347" i="5"/>
  <c r="R347" i="5"/>
  <c r="X347" i="5" s="1"/>
  <c r="AZ346" i="5"/>
  <c r="AX346" i="5"/>
  <c r="AW346" i="5"/>
  <c r="AQ346" i="5"/>
  <c r="AI346" i="5"/>
  <c r="AG346" i="5"/>
  <c r="V346" i="5"/>
  <c r="R346" i="5"/>
  <c r="X346" i="5" s="1"/>
  <c r="AZ344" i="5"/>
  <c r="AX344" i="5"/>
  <c r="AW344" i="5"/>
  <c r="AQ344" i="5"/>
  <c r="AI344" i="5"/>
  <c r="AG344" i="5"/>
  <c r="V344" i="5"/>
  <c r="R344" i="5"/>
  <c r="X344" i="5" s="1"/>
  <c r="AZ343" i="5"/>
  <c r="AX343" i="5"/>
  <c r="AW343" i="5"/>
  <c r="AQ343" i="5"/>
  <c r="AI343" i="5"/>
  <c r="AG343" i="5"/>
  <c r="V343" i="5"/>
  <c r="R343" i="5"/>
  <c r="X343" i="5" s="1"/>
  <c r="AZ342" i="5"/>
  <c r="AX342" i="5"/>
  <c r="AW342" i="5"/>
  <c r="AQ342" i="5"/>
  <c r="AI342" i="5"/>
  <c r="AG342" i="5"/>
  <c r="V342" i="5"/>
  <c r="R342" i="5"/>
  <c r="X342" i="5" s="1"/>
  <c r="AZ341" i="5"/>
  <c r="AX341" i="5"/>
  <c r="AW341" i="5"/>
  <c r="AQ341" i="5"/>
  <c r="AI341" i="5"/>
  <c r="AG341" i="5"/>
  <c r="V341" i="5"/>
  <c r="R341" i="5"/>
  <c r="X341" i="5" s="1"/>
  <c r="AZ340" i="5"/>
  <c r="AX340" i="5"/>
  <c r="AW340" i="5"/>
  <c r="AQ340" i="5"/>
  <c r="AI340" i="5"/>
  <c r="AG340" i="5"/>
  <c r="V340" i="5"/>
  <c r="R340" i="5"/>
  <c r="X340" i="5" s="1"/>
  <c r="AZ339" i="5"/>
  <c r="AX339" i="5"/>
  <c r="AW339" i="5"/>
  <c r="AQ339" i="5"/>
  <c r="AI339" i="5"/>
  <c r="AG339" i="5"/>
  <c r="V339" i="5"/>
  <c r="R339" i="5"/>
  <c r="X339" i="5" s="1"/>
  <c r="AZ338" i="5"/>
  <c r="AX338" i="5"/>
  <c r="AW338" i="5"/>
  <c r="AQ338" i="5"/>
  <c r="AI338" i="5"/>
  <c r="AG338" i="5"/>
  <c r="V338" i="5"/>
  <c r="R338" i="5"/>
  <c r="X338" i="5" s="1"/>
  <c r="AZ336" i="5"/>
  <c r="AX336" i="5"/>
  <c r="AW336" i="5"/>
  <c r="AQ336" i="5"/>
  <c r="AI336" i="5"/>
  <c r="AG336" i="5"/>
  <c r="V336" i="5"/>
  <c r="R336" i="5"/>
  <c r="X336" i="5" s="1"/>
  <c r="AZ337" i="5"/>
  <c r="AX337" i="5"/>
  <c r="AW337" i="5"/>
  <c r="AQ337" i="5"/>
  <c r="AI337" i="5"/>
  <c r="AG337" i="5"/>
  <c r="V337" i="5"/>
  <c r="R337" i="5"/>
  <c r="X337" i="5" s="1"/>
  <c r="AZ335" i="5"/>
  <c r="AX335" i="5"/>
  <c r="AW335" i="5"/>
  <c r="AQ335" i="5"/>
  <c r="AI335" i="5"/>
  <c r="AG335" i="5"/>
  <c r="V335" i="5"/>
  <c r="R335" i="5"/>
  <c r="X335" i="5" s="1"/>
  <c r="AZ334" i="5"/>
  <c r="AX334" i="5"/>
  <c r="AW334" i="5"/>
  <c r="AQ334" i="5"/>
  <c r="AI334" i="5"/>
  <c r="AG334" i="5"/>
  <c r="V334" i="5"/>
  <c r="R334" i="5"/>
  <c r="X334" i="5" s="1"/>
  <c r="AZ333" i="5"/>
  <c r="AX333" i="5"/>
  <c r="AW333" i="5"/>
  <c r="AQ333" i="5"/>
  <c r="AI333" i="5"/>
  <c r="V333" i="5"/>
  <c r="R333" i="5"/>
  <c r="X333" i="5" s="1"/>
  <c r="AZ332" i="5"/>
  <c r="AX332" i="5"/>
  <c r="AW332" i="5"/>
  <c r="AQ332" i="5"/>
  <c r="AI332" i="5"/>
  <c r="AG332" i="5"/>
  <c r="V332" i="5"/>
  <c r="R332" i="5"/>
  <c r="X332" i="5" s="1"/>
  <c r="AZ330" i="5"/>
  <c r="AX330" i="5"/>
  <c r="AW330" i="5"/>
  <c r="AQ330" i="5"/>
  <c r="AI330" i="5"/>
  <c r="AG330" i="5"/>
  <c r="V330" i="5"/>
  <c r="R330" i="5"/>
  <c r="X330" i="5" s="1"/>
  <c r="AZ331" i="5"/>
  <c r="AX331" i="5"/>
  <c r="AW331" i="5"/>
  <c r="AQ331" i="5"/>
  <c r="AI331" i="5"/>
  <c r="AG331" i="5"/>
  <c r="V331" i="5"/>
  <c r="R331" i="5"/>
  <c r="X331" i="5" s="1"/>
  <c r="AZ325" i="5"/>
  <c r="AX325" i="5"/>
  <c r="AW325" i="5"/>
  <c r="AI325" i="5"/>
  <c r="AG325" i="5"/>
  <c r="V325" i="5"/>
  <c r="R325" i="5"/>
  <c r="X325" i="5" s="1"/>
  <c r="AZ329" i="5"/>
  <c r="AX329" i="5"/>
  <c r="AW329" i="5"/>
  <c r="AQ329" i="5"/>
  <c r="AI329" i="5"/>
  <c r="AG329" i="5"/>
  <c r="V329" i="5"/>
  <c r="R329" i="5"/>
  <c r="X329" i="5" s="1"/>
  <c r="AZ328" i="5"/>
  <c r="AX328" i="5"/>
  <c r="AW328" i="5"/>
  <c r="AQ328" i="5"/>
  <c r="AI328" i="5"/>
  <c r="AG328" i="5"/>
  <c r="V328" i="5"/>
  <c r="R328" i="5"/>
  <c r="X328" i="5" s="1"/>
  <c r="AZ327" i="5"/>
  <c r="AX327" i="5"/>
  <c r="AW327" i="5"/>
  <c r="AQ327" i="5"/>
  <c r="AI327" i="5"/>
  <c r="AG327" i="5"/>
  <c r="V327" i="5"/>
  <c r="R327" i="5"/>
  <c r="X327" i="5" s="1"/>
  <c r="AZ326" i="5"/>
  <c r="AX326" i="5"/>
  <c r="AW326" i="5"/>
  <c r="AQ326" i="5"/>
  <c r="AI326" i="5"/>
  <c r="V326" i="5"/>
  <c r="R326" i="5"/>
  <c r="X326" i="5" s="1"/>
  <c r="AZ324" i="5"/>
  <c r="AX324" i="5"/>
  <c r="AW324" i="5"/>
  <c r="AQ324" i="5"/>
  <c r="AI324" i="5"/>
  <c r="AG324" i="5"/>
  <c r="V324" i="5"/>
  <c r="R324" i="5"/>
  <c r="X324" i="5" s="1"/>
  <c r="AZ323" i="5"/>
  <c r="AX323" i="5"/>
  <c r="AW323" i="5"/>
  <c r="AQ323" i="5"/>
  <c r="AI323" i="5"/>
  <c r="AG323" i="5"/>
  <c r="V323" i="5"/>
  <c r="R323" i="5"/>
  <c r="X323" i="5" s="1"/>
  <c r="AZ322" i="5"/>
  <c r="AX322" i="5"/>
  <c r="AW322" i="5"/>
  <c r="AQ322" i="5"/>
  <c r="AI322" i="5"/>
  <c r="AG322" i="5"/>
  <c r="V322" i="5"/>
  <c r="R322" i="5"/>
  <c r="X322" i="5" s="1"/>
  <c r="AZ321" i="5"/>
  <c r="AX321" i="5"/>
  <c r="AW321" i="5"/>
  <c r="AQ321" i="5"/>
  <c r="AI321" i="5"/>
  <c r="AG321" i="5"/>
  <c r="V321" i="5"/>
  <c r="R321" i="5"/>
  <c r="X321" i="5" s="1"/>
  <c r="AZ319" i="5"/>
  <c r="AX319" i="5"/>
  <c r="AW319" i="5"/>
  <c r="AQ319" i="5"/>
  <c r="AI319" i="5"/>
  <c r="AG319" i="5"/>
  <c r="V319" i="5"/>
  <c r="R319" i="5"/>
  <c r="X319" i="5" s="1"/>
  <c r="AZ320" i="5"/>
  <c r="AX320" i="5"/>
  <c r="AW320" i="5"/>
  <c r="AQ320" i="5"/>
  <c r="AI320" i="5"/>
  <c r="AG320" i="5"/>
  <c r="V320" i="5"/>
  <c r="R320" i="5"/>
  <c r="X320" i="5" s="1"/>
  <c r="AZ317" i="5"/>
  <c r="AX317" i="5"/>
  <c r="AW317" i="5"/>
  <c r="AQ317" i="5"/>
  <c r="AI317" i="5"/>
  <c r="AG317" i="5"/>
  <c r="V317" i="5"/>
  <c r="R317" i="5"/>
  <c r="X317" i="5" s="1"/>
  <c r="AZ316" i="5"/>
  <c r="AX316" i="5"/>
  <c r="AW316" i="5"/>
  <c r="AQ316" i="5"/>
  <c r="AI316" i="5"/>
  <c r="AG316" i="5"/>
  <c r="V316" i="5"/>
  <c r="R316" i="5"/>
  <c r="X316" i="5" s="1"/>
  <c r="AZ315" i="5"/>
  <c r="AX315" i="5"/>
  <c r="AW315" i="5"/>
  <c r="AQ315" i="5"/>
  <c r="AI315" i="5"/>
  <c r="AG315" i="5"/>
  <c r="V315" i="5"/>
  <c r="R315" i="5"/>
  <c r="X315" i="5" s="1"/>
  <c r="AZ314" i="5"/>
  <c r="AX314" i="5"/>
  <c r="AW314" i="5"/>
  <c r="AQ314" i="5"/>
  <c r="AI314" i="5"/>
  <c r="AG314" i="5"/>
  <c r="V314" i="5"/>
  <c r="R314" i="5"/>
  <c r="X314" i="5" s="1"/>
  <c r="AZ313" i="5"/>
  <c r="AX313" i="5"/>
  <c r="AW313" i="5"/>
  <c r="AQ313" i="5"/>
  <c r="AI313" i="5"/>
  <c r="AG313" i="5"/>
  <c r="V313" i="5"/>
  <c r="R313" i="5"/>
  <c r="X313" i="5" s="1"/>
  <c r="AZ275" i="5"/>
  <c r="AX275" i="5"/>
  <c r="AQ275" i="5"/>
  <c r="AI275" i="5"/>
  <c r="AG275" i="5"/>
  <c r="V275" i="5"/>
  <c r="R275" i="5"/>
  <c r="X275" i="5" s="1"/>
  <c r="AZ312" i="5"/>
  <c r="AX312" i="5"/>
  <c r="AW312" i="5"/>
  <c r="AQ312" i="5"/>
  <c r="AI312" i="5"/>
  <c r="AG312" i="5"/>
  <c r="V312" i="5"/>
  <c r="R312" i="5"/>
  <c r="X312" i="5" s="1"/>
  <c r="AZ310" i="5"/>
  <c r="AX310" i="5"/>
  <c r="AW310" i="5"/>
  <c r="AI310" i="5"/>
  <c r="AG310" i="5"/>
  <c r="V310" i="5"/>
  <c r="R310" i="5"/>
  <c r="X310" i="5" s="1"/>
  <c r="AZ309" i="5"/>
  <c r="AX309" i="5"/>
  <c r="AW309" i="5"/>
  <c r="AQ309" i="5"/>
  <c r="AI309" i="5"/>
  <c r="AG309" i="5"/>
  <c r="V309" i="5"/>
  <c r="R309" i="5"/>
  <c r="X309" i="5" s="1"/>
  <c r="AZ307" i="5"/>
  <c r="AX307" i="5"/>
  <c r="AW307" i="5"/>
  <c r="AQ307" i="5"/>
  <c r="AI307" i="5"/>
  <c r="AG307" i="5"/>
  <c r="V307" i="5"/>
  <c r="R307" i="5"/>
  <c r="X307" i="5" s="1"/>
  <c r="AZ304" i="5"/>
  <c r="AX304" i="5"/>
  <c r="AW304" i="5"/>
  <c r="AQ304" i="5"/>
  <c r="AI304" i="5"/>
  <c r="AG304" i="5"/>
  <c r="V304" i="5"/>
  <c r="X304" i="5"/>
  <c r="AZ306" i="5"/>
  <c r="AX306" i="5"/>
  <c r="AW306" i="5"/>
  <c r="AQ306" i="5"/>
  <c r="AI306" i="5"/>
  <c r="AG306" i="5"/>
  <c r="V306" i="5"/>
  <c r="R306" i="5"/>
  <c r="X306" i="5" s="1"/>
  <c r="AZ303" i="5"/>
  <c r="AX303" i="5"/>
  <c r="AW303" i="5"/>
  <c r="AI303" i="5"/>
  <c r="AG303" i="5"/>
  <c r="V303" i="5"/>
  <c r="R303" i="5"/>
  <c r="X303" i="5" s="1"/>
  <c r="AZ302" i="5"/>
  <c r="AX302" i="5"/>
  <c r="AW302" i="5"/>
  <c r="AI302" i="5"/>
  <c r="AG302" i="5"/>
  <c r="V302" i="5"/>
  <c r="R302" i="5"/>
  <c r="X302" i="5" s="1"/>
  <c r="AZ301" i="5"/>
  <c r="AX301" i="5"/>
  <c r="AW301" i="5"/>
  <c r="AQ301" i="5"/>
  <c r="AI301" i="5"/>
  <c r="AG301" i="5"/>
  <c r="V301" i="5"/>
  <c r="R301" i="5"/>
  <c r="X301" i="5" s="1"/>
  <c r="AZ300" i="5"/>
  <c r="AX300" i="5"/>
  <c r="AW300" i="5"/>
  <c r="AI300" i="5"/>
  <c r="AG300" i="5"/>
  <c r="V300" i="5"/>
  <c r="R300" i="5"/>
  <c r="X300" i="5" s="1"/>
  <c r="AZ299" i="5"/>
  <c r="AX299" i="5"/>
  <c r="AW299" i="5"/>
  <c r="AI299" i="5"/>
  <c r="AG299" i="5"/>
  <c r="V299" i="5"/>
  <c r="R299" i="5"/>
  <c r="X299" i="5" s="1"/>
  <c r="AZ298" i="5"/>
  <c r="AX298" i="5"/>
  <c r="AW298" i="5"/>
  <c r="AQ298" i="5"/>
  <c r="AI298" i="5"/>
  <c r="AG298" i="5"/>
  <c r="V298" i="5"/>
  <c r="R298" i="5"/>
  <c r="X298" i="5" s="1"/>
  <c r="AZ296" i="5"/>
  <c r="AX296" i="5"/>
  <c r="AW296" i="5"/>
  <c r="AQ296" i="5"/>
  <c r="AI296" i="5"/>
  <c r="AG296" i="5"/>
  <c r="V296" i="5"/>
  <c r="R296" i="5"/>
  <c r="X296" i="5" s="1"/>
  <c r="AZ256" i="5"/>
  <c r="AX256" i="5"/>
  <c r="AW256" i="5"/>
  <c r="AQ256" i="5"/>
  <c r="AI256" i="5"/>
  <c r="AG256" i="5"/>
  <c r="V256" i="5"/>
  <c r="R256" i="5"/>
  <c r="X256" i="5" s="1"/>
  <c r="AZ294" i="5"/>
  <c r="AX294" i="5"/>
  <c r="AW294" i="5"/>
  <c r="AQ294" i="5"/>
  <c r="AI294" i="5"/>
  <c r="AG294" i="5"/>
  <c r="R294" i="5"/>
  <c r="X294" i="5" s="1"/>
  <c r="AZ291" i="5"/>
  <c r="AX291" i="5"/>
  <c r="AW291" i="5"/>
  <c r="AI291" i="5"/>
  <c r="AG291" i="5"/>
  <c r="R291" i="5"/>
  <c r="AZ290" i="5"/>
  <c r="AX290" i="5"/>
  <c r="AW290" i="5"/>
  <c r="AQ290" i="5"/>
  <c r="AI290" i="5"/>
  <c r="AG290" i="5"/>
  <c r="R290" i="5"/>
  <c r="AZ289" i="5"/>
  <c r="AX289" i="5"/>
  <c r="AW289" i="5"/>
  <c r="AQ289" i="5"/>
  <c r="AI289" i="5"/>
  <c r="AG289" i="5"/>
  <c r="R289" i="5"/>
  <c r="AZ287" i="5"/>
  <c r="AX287" i="5"/>
  <c r="AW287" i="5"/>
  <c r="AQ287" i="5"/>
  <c r="AI287" i="5"/>
  <c r="AG287" i="5"/>
  <c r="R287" i="5"/>
  <c r="AZ286" i="5"/>
  <c r="AX286" i="5"/>
  <c r="AW286" i="5"/>
  <c r="AQ286" i="5"/>
  <c r="AI286" i="5"/>
  <c r="AG286" i="5"/>
  <c r="R286" i="5"/>
  <c r="X286" i="5" s="1"/>
  <c r="AZ284" i="5"/>
  <c r="AX284" i="5"/>
  <c r="AQ284" i="5"/>
  <c r="AI284" i="5"/>
  <c r="AG284" i="5"/>
  <c r="V284" i="5"/>
  <c r="R284" i="5"/>
  <c r="X284" i="5" s="1"/>
  <c r="AZ283" i="5"/>
  <c r="AX283" i="5"/>
  <c r="AI283" i="5"/>
  <c r="AG283" i="5"/>
  <c r="V283" i="5"/>
  <c r="R283" i="5"/>
  <c r="X283" i="5" s="1"/>
  <c r="AZ280" i="5"/>
  <c r="AX280" i="5"/>
  <c r="AQ280" i="5"/>
  <c r="AI280" i="5"/>
  <c r="AG280" i="5"/>
  <c r="V280" i="5"/>
  <c r="R280" i="5"/>
  <c r="X280" i="5" s="1"/>
  <c r="AZ282" i="5"/>
  <c r="AX282" i="5"/>
  <c r="AW282" i="5"/>
  <c r="AQ282" i="5"/>
  <c r="AI282" i="5"/>
  <c r="AG282" i="5"/>
  <c r="V282" i="5"/>
  <c r="R282" i="5"/>
  <c r="X282" i="5" s="1"/>
  <c r="AZ281" i="5"/>
  <c r="AX281" i="5"/>
  <c r="AW281" i="5"/>
  <c r="AQ281" i="5"/>
  <c r="AI281" i="5"/>
  <c r="AG281" i="5"/>
  <c r="V281" i="5"/>
  <c r="R281" i="5"/>
  <c r="X281" i="5" s="1"/>
  <c r="AZ274" i="5"/>
  <c r="AX274" i="5"/>
  <c r="AW274" i="5"/>
  <c r="AQ274" i="5"/>
  <c r="AI274" i="5"/>
  <c r="AG274" i="5"/>
  <c r="V274" i="5"/>
  <c r="R274" i="5"/>
  <c r="X274" i="5" s="1"/>
  <c r="AZ273" i="5"/>
  <c r="AX273" i="5"/>
  <c r="AW273" i="5"/>
  <c r="AQ273" i="5"/>
  <c r="AI273" i="5"/>
  <c r="AG273" i="5"/>
  <c r="V273" i="5"/>
  <c r="R273" i="5"/>
  <c r="X273" i="5" s="1"/>
  <c r="AZ272" i="5"/>
  <c r="AX272" i="5"/>
  <c r="AW272" i="5"/>
  <c r="AQ272" i="5"/>
  <c r="AI272" i="5"/>
  <c r="AG272" i="5"/>
  <c r="V272" i="5"/>
  <c r="R272" i="5"/>
  <c r="X272" i="5" s="1"/>
  <c r="AZ271" i="5"/>
  <c r="AX271" i="5"/>
  <c r="AW271" i="5"/>
  <c r="AQ271" i="5"/>
  <c r="AI271" i="5"/>
  <c r="AG271" i="5"/>
  <c r="V271" i="5"/>
  <c r="R271" i="5"/>
  <c r="X271" i="5" s="1"/>
  <c r="AZ270" i="5"/>
  <c r="AX270" i="5"/>
  <c r="AW270" i="5"/>
  <c r="AQ270" i="5"/>
  <c r="AI270" i="5"/>
  <c r="AG270" i="5"/>
  <c r="V270" i="5"/>
  <c r="R270" i="5"/>
  <c r="X270" i="5" s="1"/>
  <c r="AZ248" i="5"/>
  <c r="AX248" i="5"/>
  <c r="AW248" i="5"/>
  <c r="AQ248" i="5"/>
  <c r="AI248" i="5"/>
  <c r="AG248" i="5"/>
  <c r="V248" i="5"/>
  <c r="R248" i="5"/>
  <c r="X248" i="5" s="1"/>
  <c r="AZ269" i="5"/>
  <c r="AX269" i="5"/>
  <c r="AW269" i="5"/>
  <c r="AQ269" i="5"/>
  <c r="AI269" i="5"/>
  <c r="AG269" i="5"/>
  <c r="V269" i="5"/>
  <c r="R269" i="5"/>
  <c r="X269" i="5" s="1"/>
  <c r="AZ267" i="5"/>
  <c r="AX267" i="5"/>
  <c r="AW267" i="5"/>
  <c r="AI267" i="5"/>
  <c r="AG267" i="5"/>
  <c r="V267" i="5"/>
  <c r="R267" i="5"/>
  <c r="X267" i="5" s="1"/>
  <c r="AZ266" i="5"/>
  <c r="AX266" i="5"/>
  <c r="AW266" i="5"/>
  <c r="AQ266" i="5"/>
  <c r="AI266" i="5"/>
  <c r="AG266" i="5"/>
  <c r="V266" i="5"/>
  <c r="R266" i="5"/>
  <c r="X266" i="5" s="1"/>
  <c r="AZ265" i="5"/>
  <c r="AX265" i="5"/>
  <c r="AW265" i="5"/>
  <c r="AQ265" i="5"/>
  <c r="AI265" i="5"/>
  <c r="AG265" i="5"/>
  <c r="V265" i="5"/>
  <c r="R265" i="5"/>
  <c r="X265" i="5" s="1"/>
  <c r="AZ264" i="5"/>
  <c r="AX264" i="5"/>
  <c r="AW264" i="5"/>
  <c r="AQ264" i="5"/>
  <c r="AI264" i="5"/>
  <c r="AG264" i="5"/>
  <c r="V264" i="5"/>
  <c r="R264" i="5"/>
  <c r="X264" i="5" s="1"/>
  <c r="AZ262" i="5"/>
  <c r="AX262" i="5"/>
  <c r="AQ262" i="5"/>
  <c r="AI262" i="5"/>
  <c r="AG262" i="5"/>
  <c r="V262" i="5"/>
  <c r="R262" i="5"/>
  <c r="X262" i="5" s="1"/>
  <c r="AZ263" i="5"/>
  <c r="AX263" i="5"/>
  <c r="AW263" i="5"/>
  <c r="AQ263" i="5"/>
  <c r="AI263" i="5"/>
  <c r="AG263" i="5"/>
  <c r="V263" i="5"/>
  <c r="R263" i="5"/>
  <c r="X263" i="5" s="1"/>
  <c r="AZ260" i="5"/>
  <c r="AX260" i="5"/>
  <c r="AW260" i="5"/>
  <c r="AQ260" i="5"/>
  <c r="AI260" i="5"/>
  <c r="AG260" i="5"/>
  <c r="V260" i="5"/>
  <c r="R260" i="5"/>
  <c r="X260" i="5" s="1"/>
  <c r="AZ259" i="5"/>
  <c r="AX259" i="5"/>
  <c r="AW259" i="5"/>
  <c r="AQ259" i="5"/>
  <c r="AI259" i="5"/>
  <c r="AG259" i="5"/>
  <c r="V259" i="5"/>
  <c r="R259" i="5"/>
  <c r="X259" i="5" s="1"/>
  <c r="AZ255" i="5"/>
  <c r="AX255" i="5"/>
  <c r="AW255" i="5"/>
  <c r="AQ255" i="5"/>
  <c r="AI255" i="5"/>
  <c r="AG255" i="5"/>
  <c r="V255" i="5"/>
  <c r="R255" i="5"/>
  <c r="X255" i="5" s="1"/>
  <c r="AZ245" i="5"/>
  <c r="AX245" i="5"/>
  <c r="AW245" i="5"/>
  <c r="AQ245" i="5"/>
  <c r="AI245" i="5"/>
  <c r="AG245" i="5"/>
  <c r="V245" i="5"/>
  <c r="R245" i="5"/>
  <c r="X245" i="5" s="1"/>
  <c r="AZ246" i="5"/>
  <c r="AX246" i="5"/>
  <c r="AW246" i="5"/>
  <c r="AQ246" i="5"/>
  <c r="AI246" i="5"/>
  <c r="AG246" i="5"/>
  <c r="V246" i="5"/>
  <c r="R246" i="5"/>
  <c r="X246" i="5" s="1"/>
  <c r="AZ253" i="5"/>
  <c r="AX253" i="5"/>
  <c r="AW253" i="5"/>
  <c r="AQ253" i="5"/>
  <c r="AI253" i="5"/>
  <c r="AG253" i="5"/>
  <c r="V253" i="5"/>
  <c r="R253" i="5"/>
  <c r="X253" i="5" s="1"/>
  <c r="AZ249" i="5"/>
  <c r="AX249" i="5"/>
  <c r="AW249" i="5"/>
  <c r="AQ249" i="5"/>
  <c r="AI249" i="5"/>
  <c r="AG249" i="5"/>
  <c r="V249" i="5"/>
  <c r="R249" i="5"/>
  <c r="X249" i="5" s="1"/>
  <c r="AZ252" i="5"/>
  <c r="AX252" i="5"/>
  <c r="AW252" i="5"/>
  <c r="AQ252" i="5"/>
  <c r="AI252" i="5"/>
  <c r="AG252" i="5"/>
  <c r="V252" i="5"/>
  <c r="R252" i="5"/>
  <c r="X252" i="5" s="1"/>
  <c r="AZ251" i="5"/>
  <c r="AX251" i="5"/>
  <c r="AW251" i="5"/>
  <c r="AQ251" i="5"/>
  <c r="AI251" i="5"/>
  <c r="AG251" i="5"/>
  <c r="V251" i="5"/>
  <c r="R251" i="5"/>
  <c r="X251" i="5" s="1"/>
  <c r="AZ250" i="5"/>
  <c r="AX250" i="5"/>
  <c r="AW250" i="5"/>
  <c r="AQ250" i="5"/>
  <c r="AI250" i="5"/>
  <c r="AG250" i="5"/>
  <c r="V250" i="5"/>
  <c r="R250" i="5"/>
  <c r="X250" i="5" s="1"/>
  <c r="AZ247" i="5"/>
  <c r="AX247" i="5"/>
  <c r="AW247" i="5"/>
  <c r="AQ247" i="5"/>
  <c r="AI247" i="5"/>
  <c r="AG247" i="5"/>
  <c r="V247" i="5"/>
  <c r="R247" i="5"/>
  <c r="X247" i="5" s="1"/>
  <c r="AZ244" i="5"/>
  <c r="AX244" i="5"/>
  <c r="AW244" i="5"/>
  <c r="AQ244" i="5"/>
  <c r="AI244" i="5"/>
  <c r="AG244" i="5"/>
  <c r="R244" i="5"/>
  <c r="X244" i="5" s="1"/>
  <c r="AZ241" i="5"/>
  <c r="AX241" i="5"/>
  <c r="AW241" i="5"/>
  <c r="AQ241" i="5"/>
  <c r="AI241" i="5"/>
  <c r="AG241" i="5"/>
  <c r="V241" i="5"/>
  <c r="R241" i="5"/>
  <c r="X241" i="5" s="1"/>
  <c r="AZ240" i="5"/>
  <c r="AX240" i="5"/>
  <c r="AW240" i="5"/>
  <c r="AQ240" i="5"/>
  <c r="AI240" i="5"/>
  <c r="AG240" i="5"/>
  <c r="V240" i="5"/>
  <c r="R240" i="5"/>
  <c r="X240" i="5" s="1"/>
  <c r="AZ227" i="5"/>
  <c r="AX227" i="5"/>
  <c r="AW227" i="5"/>
  <c r="AQ227" i="5"/>
  <c r="AI227" i="5"/>
  <c r="AG227" i="5"/>
  <c r="V227" i="5"/>
  <c r="R227" i="5"/>
  <c r="X227" i="5" s="1"/>
  <c r="AZ243" i="5"/>
  <c r="AX243" i="5"/>
  <c r="AW243" i="5"/>
  <c r="AQ243" i="5"/>
  <c r="AI243" i="5"/>
  <c r="AG243" i="5"/>
  <c r="V243" i="5"/>
  <c r="R243" i="5"/>
  <c r="X243" i="5" s="1"/>
  <c r="AZ242" i="5"/>
  <c r="AX242" i="5"/>
  <c r="AW242" i="5"/>
  <c r="AI242" i="5"/>
  <c r="AG242" i="5"/>
  <c r="V242" i="5"/>
  <c r="R242" i="5"/>
  <c r="X242" i="5" s="1"/>
  <c r="AZ239" i="5"/>
  <c r="AX239" i="5"/>
  <c r="AW239" i="5"/>
  <c r="AQ239" i="5"/>
  <c r="AI239" i="5"/>
  <c r="AG239" i="5"/>
  <c r="V239" i="5"/>
  <c r="R239" i="5"/>
  <c r="X239" i="5" s="1"/>
  <c r="AZ238" i="5"/>
  <c r="AX238" i="5"/>
  <c r="AW238" i="5"/>
  <c r="AQ238" i="5"/>
  <c r="AI238" i="5"/>
  <c r="AG238" i="5"/>
  <c r="V238" i="5"/>
  <c r="R238" i="5"/>
  <c r="X238" i="5" s="1"/>
  <c r="AZ237" i="5"/>
  <c r="AX237" i="5"/>
  <c r="AW237" i="5"/>
  <c r="AQ237" i="5"/>
  <c r="AI237" i="5"/>
  <c r="AG237" i="5"/>
  <c r="V237" i="5"/>
  <c r="R237" i="5"/>
  <c r="X237" i="5" s="1"/>
  <c r="AZ236" i="5"/>
  <c r="AX236" i="5"/>
  <c r="AW236" i="5"/>
  <c r="AQ236" i="5"/>
  <c r="AI236" i="5"/>
  <c r="V236" i="5"/>
  <c r="R236" i="5"/>
  <c r="X236" i="5" s="1"/>
  <c r="AZ235" i="5"/>
  <c r="AX235" i="5"/>
  <c r="AW235" i="5"/>
  <c r="AI235" i="5"/>
  <c r="AG235" i="5"/>
  <c r="V235" i="5"/>
  <c r="R235" i="5"/>
  <c r="X235" i="5" s="1"/>
  <c r="AZ234" i="5"/>
  <c r="AX234" i="5"/>
  <c r="AW234" i="5"/>
  <c r="AQ234" i="5"/>
  <c r="AI234" i="5"/>
  <c r="AG234" i="5"/>
  <c r="V234" i="5"/>
  <c r="R234" i="5"/>
  <c r="X234" i="5" s="1"/>
  <c r="AZ233" i="5"/>
  <c r="AX233" i="5"/>
  <c r="AW233" i="5"/>
  <c r="AQ233" i="5"/>
  <c r="AI233" i="5"/>
  <c r="AG233" i="5"/>
  <c r="V233" i="5"/>
  <c r="R233" i="5"/>
  <c r="X233" i="5" s="1"/>
  <c r="AZ254" i="5"/>
  <c r="AX254" i="5"/>
  <c r="AW254" i="5"/>
  <c r="AQ254" i="5"/>
  <c r="AI254" i="5"/>
  <c r="AG254" i="5"/>
  <c r="V254" i="5"/>
  <c r="R254" i="5"/>
  <c r="X254" i="5" s="1"/>
  <c r="AZ231" i="5"/>
  <c r="AX231" i="5"/>
  <c r="AW231" i="5"/>
  <c r="AQ231" i="5"/>
  <c r="AI231" i="5"/>
  <c r="AG231" i="5"/>
  <c r="V231" i="5"/>
  <c r="R231" i="5"/>
  <c r="X231" i="5" s="1"/>
  <c r="AZ230" i="5"/>
  <c r="AX230" i="5"/>
  <c r="AW230" i="5"/>
  <c r="AQ230" i="5"/>
  <c r="AI230" i="5"/>
  <c r="AG230" i="5"/>
  <c r="R230" i="5"/>
  <c r="X230" i="5" s="1"/>
  <c r="AZ229" i="5"/>
  <c r="AX229" i="5"/>
  <c r="AW229" i="5"/>
  <c r="AQ229" i="5"/>
  <c r="AI229" i="5"/>
  <c r="AG229" i="5"/>
  <c r="V229" i="5"/>
  <c r="R229" i="5"/>
  <c r="X229" i="5" s="1"/>
  <c r="AZ228" i="5"/>
  <c r="AX228" i="5"/>
  <c r="AW228" i="5"/>
  <c r="AQ228" i="5"/>
  <c r="AI228" i="5"/>
  <c r="AG228" i="5"/>
  <c r="V228" i="5"/>
  <c r="R228" i="5"/>
  <c r="X228" i="5" s="1"/>
  <c r="AZ226" i="5"/>
  <c r="AX226" i="5"/>
  <c r="AW226" i="5"/>
  <c r="AQ226" i="5"/>
  <c r="AI226" i="5"/>
  <c r="AG226" i="5"/>
  <c r="R226" i="5"/>
  <c r="X226" i="5" s="1"/>
  <c r="AZ225" i="5"/>
  <c r="AX225" i="5"/>
  <c r="AW225" i="5"/>
  <c r="AQ225" i="5"/>
  <c r="AI225" i="5"/>
  <c r="V225" i="5"/>
  <c r="R225" i="5"/>
  <c r="X225" i="5" s="1"/>
  <c r="AZ183" i="5"/>
  <c r="AX183" i="5"/>
  <c r="AW183" i="5"/>
  <c r="AQ183" i="5"/>
  <c r="AI183" i="5"/>
  <c r="AG183" i="5"/>
  <c r="R183" i="5"/>
  <c r="X183" i="5" s="1"/>
  <c r="AZ224" i="5"/>
  <c r="AX224" i="5"/>
  <c r="AW224" i="5"/>
  <c r="AQ224" i="5"/>
  <c r="AI224" i="5"/>
  <c r="AG224" i="5"/>
  <c r="V224" i="5"/>
  <c r="R224" i="5"/>
  <c r="X224" i="5" s="1"/>
  <c r="AZ223" i="5"/>
  <c r="AX223" i="5"/>
  <c r="AW223" i="5"/>
  <c r="AQ223" i="5"/>
  <c r="AI223" i="5"/>
  <c r="AG223" i="5"/>
  <c r="V223" i="5"/>
  <c r="R223" i="5"/>
  <c r="X223" i="5" s="1"/>
  <c r="AZ222" i="5"/>
  <c r="AX222" i="5"/>
  <c r="AW222" i="5"/>
  <c r="AQ222" i="5"/>
  <c r="AI222" i="5"/>
  <c r="AG222" i="5"/>
  <c r="V222" i="5"/>
  <c r="X222" i="5"/>
  <c r="AZ221" i="5"/>
  <c r="AX221" i="5"/>
  <c r="AW221" i="5"/>
  <c r="AQ221" i="5"/>
  <c r="AI221" i="5"/>
  <c r="V221" i="5"/>
  <c r="R221" i="5"/>
  <c r="X221" i="5" s="1"/>
  <c r="AZ220" i="5"/>
  <c r="AX220" i="5"/>
  <c r="AW220" i="5"/>
  <c r="AQ220" i="5"/>
  <c r="AI220" i="5"/>
  <c r="AG220" i="5"/>
  <c r="R220" i="5"/>
  <c r="X220" i="5" s="1"/>
  <c r="AZ219" i="5"/>
  <c r="AX219" i="5"/>
  <c r="AW219" i="5"/>
  <c r="AI219" i="5"/>
  <c r="AG219" i="5"/>
  <c r="V219" i="5"/>
  <c r="R219" i="5"/>
  <c r="X219" i="5" s="1"/>
  <c r="AZ218" i="5"/>
  <c r="AX218" i="5"/>
  <c r="AW218" i="5"/>
  <c r="AQ218" i="5"/>
  <c r="AP218" i="5"/>
  <c r="AR218" i="5" s="1"/>
  <c r="AT218" i="5" s="1"/>
  <c r="AI218" i="5"/>
  <c r="AG218" i="5"/>
  <c r="V218" i="5"/>
  <c r="R218" i="5"/>
  <c r="X218" i="5" s="1"/>
  <c r="AZ217" i="5"/>
  <c r="AX217" i="5"/>
  <c r="AW217" i="5"/>
  <c r="AQ217" i="5"/>
  <c r="AP217" i="5"/>
  <c r="AR217" i="5" s="1"/>
  <c r="AT217" i="5" s="1"/>
  <c r="AI217" i="5"/>
  <c r="AG217" i="5"/>
  <c r="V217" i="5"/>
  <c r="R217" i="5"/>
  <c r="X217" i="5" s="1"/>
  <c r="AZ216" i="5"/>
  <c r="AX216" i="5"/>
  <c r="AW216" i="5"/>
  <c r="AQ216" i="5"/>
  <c r="AP216" i="5"/>
  <c r="AR216" i="5" s="1"/>
  <c r="AT216" i="5" s="1"/>
  <c r="AI216" i="5"/>
  <c r="V216" i="5"/>
  <c r="X216" i="5"/>
  <c r="AZ215" i="5"/>
  <c r="AX215" i="5"/>
  <c r="AW215" i="5"/>
  <c r="AQ215" i="5"/>
  <c r="AP215" i="5"/>
  <c r="AR215" i="5" s="1"/>
  <c r="AT215" i="5" s="1"/>
  <c r="AI215" i="5"/>
  <c r="AG215" i="5"/>
  <c r="V215" i="5"/>
  <c r="R215" i="5"/>
  <c r="X215" i="5" s="1"/>
  <c r="AZ214" i="5"/>
  <c r="AX214" i="5"/>
  <c r="AW214" i="5"/>
  <c r="AQ214" i="5"/>
  <c r="AP214" i="5"/>
  <c r="AR214" i="5" s="1"/>
  <c r="AT214" i="5" s="1"/>
  <c r="AI214" i="5"/>
  <c r="AG214" i="5"/>
  <c r="V214" i="5"/>
  <c r="R214" i="5"/>
  <c r="X214" i="5" s="1"/>
  <c r="AZ213" i="5"/>
  <c r="AX213" i="5"/>
  <c r="AW213" i="5"/>
  <c r="AQ213" i="5"/>
  <c r="AP213" i="5"/>
  <c r="AR213" i="5" s="1"/>
  <c r="AT213" i="5" s="1"/>
  <c r="AI213" i="5"/>
  <c r="AG213" i="5"/>
  <c r="V213" i="5"/>
  <c r="R213" i="5"/>
  <c r="X213" i="5" s="1"/>
  <c r="AZ211" i="5"/>
  <c r="AX211" i="5"/>
  <c r="AW211" i="5"/>
  <c r="AQ211" i="5"/>
  <c r="AP211" i="5"/>
  <c r="AI211" i="5"/>
  <c r="AG211" i="5"/>
  <c r="V211" i="5"/>
  <c r="X211" i="5"/>
  <c r="AZ210" i="5"/>
  <c r="AX210" i="5"/>
  <c r="AW210" i="5"/>
  <c r="AQ210" i="5"/>
  <c r="AP210" i="5"/>
  <c r="AR210" i="5" s="1"/>
  <c r="AT210" i="5" s="1"/>
  <c r="AI210" i="5"/>
  <c r="AG210" i="5"/>
  <c r="V210" i="5"/>
  <c r="R210" i="5"/>
  <c r="X210" i="5" s="1"/>
  <c r="AZ209" i="5"/>
  <c r="AX209" i="5"/>
  <c r="AW209" i="5"/>
  <c r="AQ209" i="5"/>
  <c r="AP209" i="5"/>
  <c r="AR209" i="5" s="1"/>
  <c r="AT209" i="5" s="1"/>
  <c r="AI209" i="5"/>
  <c r="AG209" i="5"/>
  <c r="V209" i="5"/>
  <c r="R209" i="5"/>
  <c r="X209" i="5" s="1"/>
  <c r="AZ208" i="5"/>
  <c r="AX208" i="5"/>
  <c r="AW208" i="5"/>
  <c r="AQ208" i="5"/>
  <c r="AP208" i="5"/>
  <c r="AR208" i="5" s="1"/>
  <c r="AT208" i="5" s="1"/>
  <c r="AI208" i="5"/>
  <c r="AG208" i="5"/>
  <c r="V208" i="5"/>
  <c r="R208" i="5"/>
  <c r="X208" i="5" s="1"/>
  <c r="AZ207" i="5"/>
  <c r="AX207" i="5"/>
  <c r="AW207" i="5"/>
  <c r="AQ207" i="5"/>
  <c r="AP207" i="5"/>
  <c r="AR207" i="5" s="1"/>
  <c r="AT207" i="5" s="1"/>
  <c r="AI207" i="5"/>
  <c r="AG207" i="5"/>
  <c r="V207" i="5"/>
  <c r="X207" i="5"/>
  <c r="AZ205" i="5"/>
  <c r="AX205" i="5"/>
  <c r="AW205" i="5"/>
  <c r="AQ205" i="5"/>
  <c r="AP205" i="5"/>
  <c r="AR205" i="5" s="1"/>
  <c r="AT205" i="5" s="1"/>
  <c r="AI205" i="5"/>
  <c r="AG205" i="5"/>
  <c r="V205" i="5"/>
  <c r="R205" i="5"/>
  <c r="X205" i="5" s="1"/>
  <c r="AZ204" i="5"/>
  <c r="AX204" i="5"/>
  <c r="AW204" i="5"/>
  <c r="AQ204" i="5"/>
  <c r="AP204" i="5"/>
  <c r="AR204" i="5" s="1"/>
  <c r="AT204" i="5" s="1"/>
  <c r="AI204" i="5"/>
  <c r="AG204" i="5"/>
  <c r="V204" i="5"/>
  <c r="R204" i="5"/>
  <c r="X204" i="5" s="1"/>
  <c r="AZ203" i="5"/>
  <c r="AX203" i="5"/>
  <c r="AW203" i="5"/>
  <c r="AQ203" i="5"/>
  <c r="AP203" i="5"/>
  <c r="AR203" i="5" s="1"/>
  <c r="AT203" i="5" s="1"/>
  <c r="AI203" i="5"/>
  <c r="AG203" i="5"/>
  <c r="V203" i="5"/>
  <c r="R203" i="5"/>
  <c r="X203" i="5" s="1"/>
  <c r="AZ202" i="5"/>
  <c r="AX202" i="5"/>
  <c r="AW202" i="5"/>
  <c r="AQ202" i="5"/>
  <c r="AP202" i="5"/>
  <c r="AR202" i="5" s="1"/>
  <c r="AT202" i="5" s="1"/>
  <c r="AI202" i="5"/>
  <c r="AG202" i="5"/>
  <c r="V202" i="5"/>
  <c r="R202" i="5"/>
  <c r="X202" i="5" s="1"/>
  <c r="AZ201" i="5"/>
  <c r="AX201" i="5"/>
  <c r="AW201" i="5"/>
  <c r="AQ201" i="5"/>
  <c r="AP201" i="5"/>
  <c r="AR201" i="5" s="1"/>
  <c r="AT201" i="5" s="1"/>
  <c r="AI201" i="5"/>
  <c r="AG201" i="5"/>
  <c r="V201" i="5"/>
  <c r="R201" i="5"/>
  <c r="X201" i="5" s="1"/>
  <c r="AZ200" i="5"/>
  <c r="AX200" i="5"/>
  <c r="AW200" i="5"/>
  <c r="AQ200" i="5"/>
  <c r="AP200" i="5"/>
  <c r="AR200" i="5" s="1"/>
  <c r="AT200" i="5" s="1"/>
  <c r="AI200" i="5"/>
  <c r="AG200" i="5"/>
  <c r="R200" i="5"/>
  <c r="X200" i="5" s="1"/>
  <c r="AZ199" i="5"/>
  <c r="AX199" i="5"/>
  <c r="AW199" i="5"/>
  <c r="AQ199" i="5"/>
  <c r="AP199" i="5"/>
  <c r="AR199" i="5" s="1"/>
  <c r="AT199" i="5" s="1"/>
  <c r="AI199" i="5"/>
  <c r="AG199" i="5"/>
  <c r="V199" i="5"/>
  <c r="R199" i="5"/>
  <c r="X199" i="5" s="1"/>
  <c r="AZ197" i="5"/>
  <c r="AX197" i="5"/>
  <c r="AW197" i="5"/>
  <c r="AQ197" i="5"/>
  <c r="AP197" i="5"/>
  <c r="AR197" i="5" s="1"/>
  <c r="AT197" i="5" s="1"/>
  <c r="AI197" i="5"/>
  <c r="AG197" i="5"/>
  <c r="V197" i="5"/>
  <c r="R197" i="5"/>
  <c r="X197" i="5" s="1"/>
  <c r="AZ195" i="5"/>
  <c r="AX195" i="5"/>
  <c r="AW195" i="5"/>
  <c r="AQ195" i="5"/>
  <c r="AP195" i="5"/>
  <c r="AR195" i="5" s="1"/>
  <c r="AT195" i="5" s="1"/>
  <c r="AI195" i="5"/>
  <c r="AG195" i="5"/>
  <c r="V195" i="5"/>
  <c r="R195" i="5"/>
  <c r="X195" i="5" s="1"/>
  <c r="AZ194" i="5"/>
  <c r="AX194" i="5"/>
  <c r="AP194" i="5"/>
  <c r="AR194" i="5" s="1"/>
  <c r="AT194" i="5" s="1"/>
  <c r="AI194" i="5"/>
  <c r="AG194" i="5"/>
  <c r="V194" i="5"/>
  <c r="R194" i="5"/>
  <c r="X194" i="5" s="1"/>
  <c r="AZ193" i="5"/>
  <c r="AX193" i="5"/>
  <c r="AW193" i="5"/>
  <c r="AQ193" i="5"/>
  <c r="AP193" i="5"/>
  <c r="AR193" i="5" s="1"/>
  <c r="AT193" i="5" s="1"/>
  <c r="AI193" i="5"/>
  <c r="AG193" i="5"/>
  <c r="V193" i="5"/>
  <c r="R193" i="5"/>
  <c r="X193" i="5" s="1"/>
  <c r="AZ192" i="5"/>
  <c r="AX192" i="5"/>
  <c r="AW192" i="5"/>
  <c r="AP192" i="5"/>
  <c r="AR192" i="5" s="1"/>
  <c r="AT192" i="5" s="1"/>
  <c r="AI192" i="5"/>
  <c r="AG192" i="5"/>
  <c r="V192" i="5"/>
  <c r="R192" i="5"/>
  <c r="X192" i="5" s="1"/>
  <c r="AZ191" i="5"/>
  <c r="AX191" i="5"/>
  <c r="AW191" i="5"/>
  <c r="AQ191" i="5"/>
  <c r="AP191" i="5"/>
  <c r="AR191" i="5" s="1"/>
  <c r="AT191" i="5" s="1"/>
  <c r="AI191" i="5"/>
  <c r="AG191" i="5"/>
  <c r="V191" i="5"/>
  <c r="R191" i="5"/>
  <c r="X191" i="5" s="1"/>
  <c r="AZ189" i="5"/>
  <c r="AX189" i="5"/>
  <c r="AW189" i="5"/>
  <c r="AQ189" i="5"/>
  <c r="AP189" i="5"/>
  <c r="AR189" i="5" s="1"/>
  <c r="AT189" i="5" s="1"/>
  <c r="AI189" i="5"/>
  <c r="AG189" i="5"/>
  <c r="R189" i="5"/>
  <c r="X189" i="5" s="1"/>
  <c r="AZ188" i="5"/>
  <c r="AX188" i="5"/>
  <c r="AW188" i="5"/>
  <c r="AQ188" i="5"/>
  <c r="AP188" i="5"/>
  <c r="AR188" i="5" s="1"/>
  <c r="AT188" i="5" s="1"/>
  <c r="AI188" i="5"/>
  <c r="AG188" i="5"/>
  <c r="V188" i="5"/>
  <c r="R188" i="5"/>
  <c r="X188" i="5" s="1"/>
  <c r="AZ186" i="5"/>
  <c r="AX186" i="5"/>
  <c r="AW186" i="5"/>
  <c r="AQ186" i="5"/>
  <c r="AP186" i="5"/>
  <c r="AR186" i="5" s="1"/>
  <c r="AT186" i="5" s="1"/>
  <c r="AI186" i="5"/>
  <c r="AG186" i="5"/>
  <c r="V186" i="5"/>
  <c r="R186" i="5"/>
  <c r="X186" i="5" s="1"/>
  <c r="AZ185" i="5"/>
  <c r="AX185" i="5"/>
  <c r="AW185" i="5"/>
  <c r="AQ185" i="5"/>
  <c r="AP185" i="5"/>
  <c r="AR185" i="5" s="1"/>
  <c r="AT185" i="5" s="1"/>
  <c r="AI185" i="5"/>
  <c r="AG185" i="5"/>
  <c r="R185" i="5"/>
  <c r="X185" i="5" s="1"/>
  <c r="AZ184" i="5"/>
  <c r="AX184" i="5"/>
  <c r="AW184" i="5"/>
  <c r="AQ184" i="5"/>
  <c r="AP184" i="5"/>
  <c r="AR184" i="5" s="1"/>
  <c r="AT184" i="5" s="1"/>
  <c r="AI184" i="5"/>
  <c r="R184" i="5"/>
  <c r="X184" i="5" s="1"/>
  <c r="AZ182" i="5"/>
  <c r="AX182" i="5"/>
  <c r="AW182" i="5"/>
  <c r="AQ182" i="5"/>
  <c r="AP182" i="5"/>
  <c r="AR182" i="5" s="1"/>
  <c r="AT182" i="5" s="1"/>
  <c r="AI182" i="5"/>
  <c r="AG182" i="5"/>
  <c r="R182" i="5"/>
  <c r="X182" i="5" s="1"/>
  <c r="AZ181" i="5"/>
  <c r="AX181" i="5"/>
  <c r="AW181" i="5"/>
  <c r="AQ181" i="5"/>
  <c r="AP181" i="5"/>
  <c r="AR181" i="5" s="1"/>
  <c r="AT181" i="5" s="1"/>
  <c r="AI181" i="5"/>
  <c r="AG181" i="5"/>
  <c r="V181" i="5"/>
  <c r="R181" i="5"/>
  <c r="X181" i="5" s="1"/>
  <c r="AZ180" i="5"/>
  <c r="AX180" i="5"/>
  <c r="AW180" i="5"/>
  <c r="AQ180" i="5"/>
  <c r="AP180" i="5"/>
  <c r="AR180" i="5" s="1"/>
  <c r="AT180" i="5" s="1"/>
  <c r="AI180" i="5"/>
  <c r="AG180" i="5"/>
  <c r="V180" i="5"/>
  <c r="R180" i="5"/>
  <c r="X180" i="5" s="1"/>
  <c r="AZ179" i="5"/>
  <c r="AX179" i="5"/>
  <c r="AW179" i="5"/>
  <c r="AQ179" i="5"/>
  <c r="AP179" i="5"/>
  <c r="AR179" i="5" s="1"/>
  <c r="AT179" i="5" s="1"/>
  <c r="AI179" i="5"/>
  <c r="AG179" i="5"/>
  <c r="V179" i="5"/>
  <c r="R179" i="5"/>
  <c r="X179" i="5" s="1"/>
  <c r="AZ178" i="5"/>
  <c r="AX178" i="5"/>
  <c r="AW178" i="5"/>
  <c r="AQ178" i="5"/>
  <c r="AP178" i="5"/>
  <c r="AR178" i="5" s="1"/>
  <c r="AT178" i="5" s="1"/>
  <c r="AI178" i="5"/>
  <c r="AG178" i="5"/>
  <c r="V178" i="5"/>
  <c r="R178" i="5"/>
  <c r="X178" i="5" s="1"/>
  <c r="AZ177" i="5"/>
  <c r="AX177" i="5"/>
  <c r="AW177" i="5"/>
  <c r="AQ177" i="5"/>
  <c r="AP177" i="5"/>
  <c r="AR177" i="5" s="1"/>
  <c r="AT177" i="5" s="1"/>
  <c r="AI177" i="5"/>
  <c r="AG177" i="5"/>
  <c r="V177" i="5"/>
  <c r="R177" i="5"/>
  <c r="X177" i="5" s="1"/>
  <c r="AZ176" i="5"/>
  <c r="AX176" i="5"/>
  <c r="AW176" i="5"/>
  <c r="AQ176" i="5"/>
  <c r="AP176" i="5"/>
  <c r="AR176" i="5" s="1"/>
  <c r="AT176" i="5" s="1"/>
  <c r="AI176" i="5"/>
  <c r="AG176" i="5"/>
  <c r="V176" i="5"/>
  <c r="R176" i="5"/>
  <c r="X176" i="5" s="1"/>
  <c r="AZ175" i="5"/>
  <c r="AX175" i="5"/>
  <c r="AW175" i="5"/>
  <c r="AQ175" i="5"/>
  <c r="AP175" i="5"/>
  <c r="AR175" i="5" s="1"/>
  <c r="AT175" i="5" s="1"/>
  <c r="AI175" i="5"/>
  <c r="AG175" i="5"/>
  <c r="V175" i="5"/>
  <c r="R175" i="5"/>
  <c r="X175" i="5" s="1"/>
  <c r="AZ174" i="5"/>
  <c r="AX174" i="5"/>
  <c r="AW174" i="5"/>
  <c r="AQ174" i="5"/>
  <c r="AP174" i="5"/>
  <c r="AR174" i="5" s="1"/>
  <c r="AT174" i="5" s="1"/>
  <c r="AI174" i="5"/>
  <c r="AG174" i="5"/>
  <c r="V174" i="5"/>
  <c r="R174" i="5"/>
  <c r="X174" i="5" s="1"/>
  <c r="AZ173" i="5"/>
  <c r="AX173" i="5"/>
  <c r="AW173" i="5"/>
  <c r="AQ173" i="5"/>
  <c r="AP173" i="5"/>
  <c r="AR173" i="5" s="1"/>
  <c r="AT173" i="5" s="1"/>
  <c r="AI173" i="5"/>
  <c r="AG173" i="5"/>
  <c r="V173" i="5"/>
  <c r="R173" i="5"/>
  <c r="X173" i="5" s="1"/>
  <c r="AZ172" i="5"/>
  <c r="AX172" i="5"/>
  <c r="AW172" i="5"/>
  <c r="AQ172" i="5"/>
  <c r="AP172" i="5"/>
  <c r="AR172" i="5" s="1"/>
  <c r="AT172" i="5" s="1"/>
  <c r="AI172" i="5"/>
  <c r="AG172" i="5"/>
  <c r="V172" i="5"/>
  <c r="R172" i="5"/>
  <c r="X172" i="5" s="1"/>
  <c r="AZ171" i="5"/>
  <c r="AX171" i="5"/>
  <c r="AW171" i="5"/>
  <c r="AQ171" i="5"/>
  <c r="AP171" i="5"/>
  <c r="AR171" i="5" s="1"/>
  <c r="AT171" i="5" s="1"/>
  <c r="AI171" i="5"/>
  <c r="AG171" i="5"/>
  <c r="V171" i="5"/>
  <c r="R171" i="5"/>
  <c r="X171" i="5" s="1"/>
  <c r="AZ170" i="5"/>
  <c r="AX170" i="5"/>
  <c r="AW170" i="5"/>
  <c r="AQ170" i="5"/>
  <c r="AP170" i="5"/>
  <c r="AR170" i="5" s="1"/>
  <c r="AT170" i="5" s="1"/>
  <c r="AI170" i="5"/>
  <c r="AG170" i="5"/>
  <c r="V170" i="5"/>
  <c r="R170" i="5"/>
  <c r="X170" i="5" s="1"/>
  <c r="AZ169" i="5"/>
  <c r="AX169" i="5"/>
  <c r="AW169" i="5"/>
  <c r="AQ169" i="5"/>
  <c r="AP169" i="5"/>
  <c r="AR169" i="5" s="1"/>
  <c r="AT169" i="5" s="1"/>
  <c r="AI169" i="5"/>
  <c r="AG169" i="5"/>
  <c r="V169" i="5"/>
  <c r="R169" i="5"/>
  <c r="X169" i="5" s="1"/>
  <c r="AZ168" i="5"/>
  <c r="AX168" i="5"/>
  <c r="AW168" i="5"/>
  <c r="AQ168" i="5"/>
  <c r="AP168" i="5"/>
  <c r="AR168" i="5" s="1"/>
  <c r="AT168" i="5" s="1"/>
  <c r="AI168" i="5"/>
  <c r="AG168" i="5"/>
  <c r="V168" i="5"/>
  <c r="R168" i="5"/>
  <c r="X168" i="5" s="1"/>
  <c r="AZ167" i="5"/>
  <c r="AX167" i="5"/>
  <c r="AW167" i="5"/>
  <c r="AQ167" i="5"/>
  <c r="AP167" i="5"/>
  <c r="AR167" i="5" s="1"/>
  <c r="AT167" i="5" s="1"/>
  <c r="AI167" i="5"/>
  <c r="AG167" i="5"/>
  <c r="V167" i="5"/>
  <c r="R167" i="5"/>
  <c r="X167" i="5" s="1"/>
  <c r="AZ166" i="5"/>
  <c r="AX166" i="5"/>
  <c r="AW166" i="5"/>
  <c r="AQ166" i="5"/>
  <c r="AP166" i="5"/>
  <c r="AR166" i="5" s="1"/>
  <c r="AT166" i="5" s="1"/>
  <c r="AI166" i="5"/>
  <c r="AG166" i="5"/>
  <c r="V166" i="5"/>
  <c r="R166" i="5"/>
  <c r="X166" i="5" s="1"/>
  <c r="AZ165" i="5"/>
  <c r="AX165" i="5"/>
  <c r="AW165" i="5"/>
  <c r="AQ165" i="5"/>
  <c r="AP165" i="5"/>
  <c r="AR165" i="5" s="1"/>
  <c r="AT165" i="5" s="1"/>
  <c r="AI165" i="5"/>
  <c r="AG165" i="5"/>
  <c r="V165" i="5"/>
  <c r="R165" i="5"/>
  <c r="X165" i="5" s="1"/>
  <c r="AZ164" i="5"/>
  <c r="AX164" i="5"/>
  <c r="AW164" i="5"/>
  <c r="AQ164" i="5"/>
  <c r="AP164" i="5"/>
  <c r="AR164" i="5" s="1"/>
  <c r="AT164" i="5" s="1"/>
  <c r="AI164" i="5"/>
  <c r="AG164" i="5"/>
  <c r="V164" i="5"/>
  <c r="R164" i="5"/>
  <c r="X164" i="5" s="1"/>
  <c r="AZ163" i="5"/>
  <c r="AX163" i="5"/>
  <c r="AW163" i="5"/>
  <c r="AQ163" i="5"/>
  <c r="AP163" i="5"/>
  <c r="AR163" i="5" s="1"/>
  <c r="AT163" i="5" s="1"/>
  <c r="AI163" i="5"/>
  <c r="AG163" i="5"/>
  <c r="V163" i="5"/>
  <c r="R163" i="5"/>
  <c r="X163" i="5" s="1"/>
  <c r="AZ162" i="5"/>
  <c r="AX162" i="5"/>
  <c r="AW162" i="5"/>
  <c r="AQ162" i="5"/>
  <c r="AP162" i="5"/>
  <c r="AR162" i="5" s="1"/>
  <c r="AT162" i="5" s="1"/>
  <c r="AI162" i="5"/>
  <c r="AG162" i="5"/>
  <c r="V162" i="5"/>
  <c r="R162" i="5"/>
  <c r="X162" i="5" s="1"/>
  <c r="AZ161" i="5"/>
  <c r="AX161" i="5"/>
  <c r="AW161" i="5"/>
  <c r="AQ161" i="5"/>
  <c r="AP161" i="5"/>
  <c r="AR161" i="5" s="1"/>
  <c r="AT161" i="5" s="1"/>
  <c r="AI161" i="5"/>
  <c r="AG161" i="5"/>
  <c r="V161" i="5"/>
  <c r="R161" i="5"/>
  <c r="X161" i="5" s="1"/>
  <c r="AZ140" i="5"/>
  <c r="AX140" i="5"/>
  <c r="AW140" i="5"/>
  <c r="AQ140" i="5"/>
  <c r="AP140" i="5"/>
  <c r="AR140" i="5" s="1"/>
  <c r="AT140" i="5" s="1"/>
  <c r="AI140" i="5"/>
  <c r="AG140" i="5"/>
  <c r="V140" i="5"/>
  <c r="R140" i="5"/>
  <c r="X140" i="5" s="1"/>
  <c r="AZ160" i="5"/>
  <c r="AX160" i="5"/>
  <c r="AW160" i="5"/>
  <c r="AQ160" i="5"/>
  <c r="AP160" i="5"/>
  <c r="AR160" i="5" s="1"/>
  <c r="AT160" i="5" s="1"/>
  <c r="AI160" i="5"/>
  <c r="AG160" i="5"/>
  <c r="V160" i="5"/>
  <c r="R160" i="5"/>
  <c r="X160" i="5" s="1"/>
  <c r="AZ159" i="5"/>
  <c r="AX159" i="5"/>
  <c r="AW159" i="5"/>
  <c r="AQ159" i="5"/>
  <c r="AP159" i="5"/>
  <c r="AR159" i="5" s="1"/>
  <c r="AT159" i="5" s="1"/>
  <c r="AI159" i="5"/>
  <c r="AG159" i="5"/>
  <c r="V159" i="5"/>
  <c r="R159" i="5"/>
  <c r="X159" i="5" s="1"/>
  <c r="AZ158" i="5"/>
  <c r="AX158" i="5"/>
  <c r="AW158" i="5"/>
  <c r="AQ158" i="5"/>
  <c r="AP158" i="5"/>
  <c r="AR158" i="5" s="1"/>
  <c r="AT158" i="5" s="1"/>
  <c r="AI158" i="5"/>
  <c r="AG158" i="5"/>
  <c r="V158" i="5"/>
  <c r="R158" i="5"/>
  <c r="X158" i="5" s="1"/>
  <c r="AZ157" i="5"/>
  <c r="AX157" i="5"/>
  <c r="AW157" i="5"/>
  <c r="AQ157" i="5"/>
  <c r="AP157" i="5"/>
  <c r="AR157" i="5" s="1"/>
  <c r="AT157" i="5" s="1"/>
  <c r="AI157" i="5"/>
  <c r="AG157" i="5"/>
  <c r="V157" i="5"/>
  <c r="R157" i="5"/>
  <c r="X157" i="5" s="1"/>
  <c r="AZ156" i="5"/>
  <c r="AX156" i="5"/>
  <c r="AW156" i="5"/>
  <c r="AQ156" i="5"/>
  <c r="AP156" i="5"/>
  <c r="AR156" i="5" s="1"/>
  <c r="AT156" i="5" s="1"/>
  <c r="AI156" i="5"/>
  <c r="AG156" i="5"/>
  <c r="V156" i="5"/>
  <c r="R156" i="5"/>
  <c r="X156" i="5" s="1"/>
  <c r="AZ155" i="5"/>
  <c r="AX155" i="5"/>
  <c r="AQ155" i="5"/>
  <c r="AP155" i="5"/>
  <c r="AR155" i="5" s="1"/>
  <c r="AT155" i="5" s="1"/>
  <c r="AI155" i="5"/>
  <c r="AG155" i="5"/>
  <c r="V155" i="5"/>
  <c r="R155" i="5"/>
  <c r="X155" i="5" s="1"/>
  <c r="AZ154" i="5"/>
  <c r="AX154" i="5"/>
  <c r="AW154" i="5"/>
  <c r="AQ154" i="5"/>
  <c r="AP154" i="5"/>
  <c r="AR154" i="5" s="1"/>
  <c r="AT154" i="5" s="1"/>
  <c r="AI154" i="5"/>
  <c r="AG154" i="5"/>
  <c r="V154" i="5"/>
  <c r="R154" i="5"/>
  <c r="X154" i="5" s="1"/>
  <c r="AZ109" i="5"/>
  <c r="AX109" i="5"/>
  <c r="AW109" i="5"/>
  <c r="AQ109" i="5"/>
  <c r="AP109" i="5"/>
  <c r="AR109" i="5" s="1"/>
  <c r="AT109" i="5" s="1"/>
  <c r="AI109" i="5"/>
  <c r="AG109" i="5"/>
  <c r="V109" i="5"/>
  <c r="R109" i="5"/>
  <c r="X109" i="5" s="1"/>
  <c r="AZ153" i="5"/>
  <c r="AX153" i="5"/>
  <c r="AW153" i="5"/>
  <c r="AQ153" i="5"/>
  <c r="AP153" i="5"/>
  <c r="AR153" i="5" s="1"/>
  <c r="AT153" i="5" s="1"/>
  <c r="AI153" i="5"/>
  <c r="AG153" i="5"/>
  <c r="V153" i="5"/>
  <c r="X153" i="5"/>
  <c r="AZ152" i="5"/>
  <c r="AX152" i="5"/>
  <c r="AW152" i="5"/>
  <c r="AQ152" i="5"/>
  <c r="AP152" i="5"/>
  <c r="AR152" i="5" s="1"/>
  <c r="AT152" i="5" s="1"/>
  <c r="AI152" i="5"/>
  <c r="AG152" i="5"/>
  <c r="V152" i="5"/>
  <c r="R152" i="5"/>
  <c r="X152" i="5" s="1"/>
  <c r="AZ151" i="5"/>
  <c r="AX151" i="5"/>
  <c r="AW151" i="5"/>
  <c r="AQ151" i="5"/>
  <c r="AP151" i="5"/>
  <c r="AR151" i="5" s="1"/>
  <c r="AT151" i="5" s="1"/>
  <c r="AI151" i="5"/>
  <c r="AG151" i="5"/>
  <c r="V151" i="5"/>
  <c r="R151" i="5"/>
  <c r="X151" i="5" s="1"/>
  <c r="AZ150" i="5"/>
  <c r="AX150" i="5"/>
  <c r="AW150" i="5"/>
  <c r="AQ150" i="5"/>
  <c r="AP150" i="5"/>
  <c r="AR150" i="5" s="1"/>
  <c r="AT150" i="5" s="1"/>
  <c r="AI150" i="5"/>
  <c r="AG150" i="5"/>
  <c r="V150" i="5"/>
  <c r="R150" i="5"/>
  <c r="X150" i="5" s="1"/>
  <c r="AZ143" i="5"/>
  <c r="AX143" i="5"/>
  <c r="AW143" i="5"/>
  <c r="AQ143" i="5"/>
  <c r="AP143" i="5"/>
  <c r="AR143" i="5" s="1"/>
  <c r="AT143" i="5" s="1"/>
  <c r="AI143" i="5"/>
  <c r="AG143" i="5"/>
  <c r="V143" i="5"/>
  <c r="R143" i="5"/>
  <c r="X143" i="5" s="1"/>
  <c r="AZ142" i="5"/>
  <c r="AX142" i="5"/>
  <c r="AW142" i="5"/>
  <c r="AQ142" i="5"/>
  <c r="AP142" i="5"/>
  <c r="AR142" i="5" s="1"/>
  <c r="AT142" i="5" s="1"/>
  <c r="AI142" i="5"/>
  <c r="AG142" i="5"/>
  <c r="V142" i="5"/>
  <c r="R142" i="5"/>
  <c r="X142" i="5" s="1"/>
  <c r="AZ148" i="5"/>
  <c r="AX148" i="5"/>
  <c r="AW148" i="5"/>
  <c r="AQ148" i="5"/>
  <c r="AP148" i="5"/>
  <c r="AR148" i="5" s="1"/>
  <c r="AT148" i="5" s="1"/>
  <c r="AI148" i="5"/>
  <c r="AG148" i="5"/>
  <c r="V148" i="5"/>
  <c r="R148" i="5"/>
  <c r="X148" i="5" s="1"/>
  <c r="AZ149" i="5"/>
  <c r="AX149" i="5"/>
  <c r="AW149" i="5"/>
  <c r="AQ149" i="5"/>
  <c r="AP149" i="5"/>
  <c r="AR149" i="5" s="1"/>
  <c r="AT149" i="5" s="1"/>
  <c r="AI149" i="5"/>
  <c r="AG149" i="5"/>
  <c r="V149" i="5"/>
  <c r="R149" i="5"/>
  <c r="X149" i="5" s="1"/>
  <c r="AZ147" i="5"/>
  <c r="AX147" i="5"/>
  <c r="AW147" i="5"/>
  <c r="AQ147" i="5"/>
  <c r="AP147" i="5"/>
  <c r="AR147" i="5" s="1"/>
  <c r="AT147" i="5" s="1"/>
  <c r="AI147" i="5"/>
  <c r="AG147" i="5"/>
  <c r="V147" i="5"/>
  <c r="R147" i="5"/>
  <c r="X147" i="5" s="1"/>
  <c r="AZ146" i="5"/>
  <c r="AX146" i="5"/>
  <c r="AW146" i="5"/>
  <c r="AQ146" i="5"/>
  <c r="AP146" i="5"/>
  <c r="AR146" i="5" s="1"/>
  <c r="AT146" i="5" s="1"/>
  <c r="AI146" i="5"/>
  <c r="AG146" i="5"/>
  <c r="V146" i="5"/>
  <c r="R146" i="5"/>
  <c r="X146" i="5" s="1"/>
  <c r="AZ145" i="5"/>
  <c r="AX145" i="5"/>
  <c r="AW145" i="5"/>
  <c r="AQ145" i="5"/>
  <c r="AP145" i="5"/>
  <c r="AR145" i="5" s="1"/>
  <c r="AT145" i="5" s="1"/>
  <c r="AI145" i="5"/>
  <c r="AG145" i="5"/>
  <c r="V145" i="5"/>
  <c r="R145" i="5"/>
  <c r="X145" i="5" s="1"/>
  <c r="AZ144" i="5"/>
  <c r="AX144" i="5"/>
  <c r="AW144" i="5"/>
  <c r="AQ144" i="5"/>
  <c r="AP144" i="5"/>
  <c r="AR144" i="5" s="1"/>
  <c r="AT144" i="5" s="1"/>
  <c r="AI144" i="5"/>
  <c r="AG144" i="5"/>
  <c r="V144" i="5"/>
  <c r="R144" i="5"/>
  <c r="X144" i="5" s="1"/>
  <c r="AZ141" i="5"/>
  <c r="AX141" i="5"/>
  <c r="AW141" i="5"/>
  <c r="AQ141" i="5"/>
  <c r="AP141" i="5"/>
  <c r="AR141" i="5" s="1"/>
  <c r="AT141" i="5" s="1"/>
  <c r="AI141" i="5"/>
  <c r="AG141" i="5"/>
  <c r="V141" i="5"/>
  <c r="R141" i="5"/>
  <c r="X141" i="5" s="1"/>
  <c r="AZ139" i="5"/>
  <c r="AX139" i="5"/>
  <c r="AW139" i="5"/>
  <c r="AQ139" i="5"/>
  <c r="AP139" i="5"/>
  <c r="AR139" i="5" s="1"/>
  <c r="AT139" i="5" s="1"/>
  <c r="AI139" i="5"/>
  <c r="AG139" i="5"/>
  <c r="V139" i="5"/>
  <c r="R139" i="5"/>
  <c r="X139" i="5" s="1"/>
  <c r="AZ138" i="5"/>
  <c r="AX138" i="5"/>
  <c r="AW138" i="5"/>
  <c r="AQ138" i="5"/>
  <c r="AP138" i="5"/>
  <c r="AR138" i="5" s="1"/>
  <c r="AT138" i="5" s="1"/>
  <c r="AI138" i="5"/>
  <c r="AG138" i="5"/>
  <c r="V138" i="5"/>
  <c r="R138" i="5"/>
  <c r="X138" i="5" s="1"/>
  <c r="AZ137" i="5"/>
  <c r="AX137" i="5"/>
  <c r="AW137" i="5"/>
  <c r="AQ137" i="5"/>
  <c r="AP137" i="5"/>
  <c r="AR137" i="5" s="1"/>
  <c r="AT137" i="5" s="1"/>
  <c r="AI137" i="5"/>
  <c r="AG137" i="5"/>
  <c r="V137" i="5"/>
  <c r="R137" i="5"/>
  <c r="X137" i="5" s="1"/>
  <c r="AZ136" i="5"/>
  <c r="AX136" i="5"/>
  <c r="AW136" i="5"/>
  <c r="AQ136" i="5"/>
  <c r="AP136" i="5"/>
  <c r="AR136" i="5" s="1"/>
  <c r="AT136" i="5" s="1"/>
  <c r="AI136" i="5"/>
  <c r="AG136" i="5"/>
  <c r="V136" i="5"/>
  <c r="R136" i="5"/>
  <c r="X136" i="5" s="1"/>
  <c r="AZ135" i="5"/>
  <c r="AX135" i="5"/>
  <c r="AW135" i="5"/>
  <c r="AR135" i="5"/>
  <c r="AT135" i="5" s="1"/>
  <c r="AI135" i="5"/>
  <c r="AG135" i="5"/>
  <c r="V135" i="5"/>
  <c r="R135" i="5"/>
  <c r="X135" i="5" s="1"/>
  <c r="AZ134" i="5"/>
  <c r="AX134" i="5"/>
  <c r="AW134" i="5"/>
  <c r="AQ134" i="5"/>
  <c r="AP134" i="5"/>
  <c r="AR134" i="5" s="1"/>
  <c r="AT134" i="5" s="1"/>
  <c r="AI134" i="5"/>
  <c r="AG134" i="5"/>
  <c r="V134" i="5"/>
  <c r="R134" i="5"/>
  <c r="X134" i="5" s="1"/>
  <c r="AZ133" i="5"/>
  <c r="AX133" i="5"/>
  <c r="AW133" i="5"/>
  <c r="AQ133" i="5"/>
  <c r="AP133" i="5"/>
  <c r="AR133" i="5" s="1"/>
  <c r="AT133" i="5" s="1"/>
  <c r="AI133" i="5"/>
  <c r="V133" i="5"/>
  <c r="R133" i="5"/>
  <c r="X133" i="5" s="1"/>
  <c r="AZ132" i="5"/>
  <c r="AX132" i="5"/>
  <c r="AW132" i="5"/>
  <c r="AQ132" i="5"/>
  <c r="AP132" i="5"/>
  <c r="AR132" i="5" s="1"/>
  <c r="AT132" i="5" s="1"/>
  <c r="AI132" i="5"/>
  <c r="AG132" i="5"/>
  <c r="V132" i="5"/>
  <c r="R132" i="5"/>
  <c r="X132" i="5" s="1"/>
  <c r="AZ131" i="5"/>
  <c r="AX131" i="5"/>
  <c r="AW131" i="5"/>
  <c r="AQ131" i="5"/>
  <c r="AP131" i="5"/>
  <c r="AR131" i="5" s="1"/>
  <c r="AT131" i="5" s="1"/>
  <c r="AI131" i="5"/>
  <c r="AG131" i="5"/>
  <c r="V131" i="5"/>
  <c r="R131" i="5"/>
  <c r="X131" i="5" s="1"/>
  <c r="AZ130" i="5"/>
  <c r="AX130" i="5"/>
  <c r="AW130" i="5"/>
  <c r="AQ130" i="5"/>
  <c r="AP130" i="5"/>
  <c r="AR130" i="5" s="1"/>
  <c r="AT130" i="5" s="1"/>
  <c r="AI130" i="5"/>
  <c r="AG130" i="5"/>
  <c r="V130" i="5"/>
  <c r="R130" i="5"/>
  <c r="X130" i="5" s="1"/>
  <c r="AZ129" i="5"/>
  <c r="AX129" i="5"/>
  <c r="AW129" i="5"/>
  <c r="AQ129" i="5"/>
  <c r="AP129" i="5"/>
  <c r="AR129" i="5" s="1"/>
  <c r="AT129" i="5" s="1"/>
  <c r="AI129" i="5"/>
  <c r="AG129" i="5"/>
  <c r="V129" i="5"/>
  <c r="R129" i="5"/>
  <c r="X129" i="5" s="1"/>
  <c r="AZ128" i="5"/>
  <c r="AX128" i="5"/>
  <c r="AW128" i="5"/>
  <c r="AQ128" i="5"/>
  <c r="AP128" i="5"/>
  <c r="AR128" i="5" s="1"/>
  <c r="AT128" i="5" s="1"/>
  <c r="AI128" i="5"/>
  <c r="AG128" i="5"/>
  <c r="V128" i="5"/>
  <c r="R128" i="5"/>
  <c r="X128" i="5" s="1"/>
  <c r="AZ126" i="5"/>
  <c r="AX126" i="5"/>
  <c r="AW126" i="5"/>
  <c r="AQ126" i="5"/>
  <c r="AP126" i="5"/>
  <c r="AR126" i="5" s="1"/>
  <c r="AT126" i="5" s="1"/>
  <c r="AI126" i="5"/>
  <c r="AG126" i="5"/>
  <c r="V126" i="5"/>
  <c r="R126" i="5"/>
  <c r="X126" i="5" s="1"/>
  <c r="AZ127" i="5"/>
  <c r="AX127" i="5"/>
  <c r="AW127" i="5"/>
  <c r="AQ127" i="5"/>
  <c r="AP127" i="5"/>
  <c r="AR127" i="5" s="1"/>
  <c r="AT127" i="5" s="1"/>
  <c r="AI127" i="5"/>
  <c r="AG127" i="5"/>
  <c r="V127" i="5"/>
  <c r="R127" i="5"/>
  <c r="X127" i="5" s="1"/>
  <c r="AZ125" i="5"/>
  <c r="AX125" i="5"/>
  <c r="AW125" i="5"/>
  <c r="AQ125" i="5"/>
  <c r="AP125" i="5"/>
  <c r="AR125" i="5" s="1"/>
  <c r="AT125" i="5" s="1"/>
  <c r="AI125" i="5"/>
  <c r="AG125" i="5"/>
  <c r="V125" i="5"/>
  <c r="R125" i="5"/>
  <c r="X125" i="5" s="1"/>
  <c r="AZ124" i="5"/>
  <c r="AX124" i="5"/>
  <c r="AW124" i="5"/>
  <c r="AQ124" i="5"/>
  <c r="AP124" i="5"/>
  <c r="AR124" i="5" s="1"/>
  <c r="AT124" i="5" s="1"/>
  <c r="AI124" i="5"/>
  <c r="V124" i="5"/>
  <c r="R124" i="5"/>
  <c r="X124" i="5" s="1"/>
  <c r="AZ123" i="5"/>
  <c r="AX123" i="5"/>
  <c r="AW123" i="5"/>
  <c r="AQ123" i="5"/>
  <c r="AP123" i="5"/>
  <c r="AR123" i="5" s="1"/>
  <c r="AT123" i="5" s="1"/>
  <c r="AI123" i="5"/>
  <c r="AG123" i="5"/>
  <c r="V123" i="5"/>
  <c r="R123" i="5"/>
  <c r="X123" i="5" s="1"/>
  <c r="AZ122" i="5"/>
  <c r="AX122" i="5"/>
  <c r="AW122" i="5"/>
  <c r="AQ122" i="5"/>
  <c r="AP122" i="5"/>
  <c r="AR122" i="5" s="1"/>
  <c r="AT122" i="5" s="1"/>
  <c r="AI122" i="5"/>
  <c r="AG122" i="5"/>
  <c r="V122" i="5"/>
  <c r="R122" i="5"/>
  <c r="X122" i="5" s="1"/>
  <c r="AZ121" i="5"/>
  <c r="AX121" i="5"/>
  <c r="AW121" i="5"/>
  <c r="AQ121" i="5"/>
  <c r="AP121" i="5"/>
  <c r="AR121" i="5" s="1"/>
  <c r="AT121" i="5" s="1"/>
  <c r="AI121" i="5"/>
  <c r="AG121" i="5"/>
  <c r="V121" i="5"/>
  <c r="R121" i="5"/>
  <c r="X121" i="5" s="1"/>
  <c r="AZ120" i="5"/>
  <c r="AX120" i="5"/>
  <c r="AW120" i="5"/>
  <c r="AQ120" i="5"/>
  <c r="AP120" i="5"/>
  <c r="AR120" i="5" s="1"/>
  <c r="AT120" i="5" s="1"/>
  <c r="AI120" i="5"/>
  <c r="AG120" i="5"/>
  <c r="V120" i="5"/>
  <c r="R120" i="5"/>
  <c r="X120" i="5" s="1"/>
  <c r="AZ119" i="5"/>
  <c r="AX119" i="5"/>
  <c r="AW119" i="5"/>
  <c r="AQ119" i="5"/>
  <c r="AP119" i="5"/>
  <c r="AR119" i="5" s="1"/>
  <c r="AT119" i="5" s="1"/>
  <c r="AI119" i="5"/>
  <c r="AG119" i="5"/>
  <c r="V119" i="5"/>
  <c r="R119" i="5"/>
  <c r="X119" i="5" s="1"/>
  <c r="AZ118" i="5"/>
  <c r="AX118" i="5"/>
  <c r="AW118" i="5"/>
  <c r="AQ118" i="5"/>
  <c r="AP118" i="5"/>
  <c r="AR118" i="5" s="1"/>
  <c r="AT118" i="5" s="1"/>
  <c r="AI118" i="5"/>
  <c r="AG118" i="5"/>
  <c r="V118" i="5"/>
  <c r="R118" i="5"/>
  <c r="X118" i="5" s="1"/>
  <c r="AZ117" i="5"/>
  <c r="AX117" i="5"/>
  <c r="AW117" i="5"/>
  <c r="AQ117" i="5"/>
  <c r="AP117" i="5"/>
  <c r="AR117" i="5" s="1"/>
  <c r="AT117" i="5" s="1"/>
  <c r="AI117" i="5"/>
  <c r="AG117" i="5"/>
  <c r="V117" i="5"/>
  <c r="R117" i="5"/>
  <c r="X117" i="5" s="1"/>
  <c r="AZ116" i="5"/>
  <c r="AX116" i="5"/>
  <c r="AW116" i="5"/>
  <c r="AQ116" i="5"/>
  <c r="AP116" i="5"/>
  <c r="AR116" i="5" s="1"/>
  <c r="AT116" i="5" s="1"/>
  <c r="AI116" i="5"/>
  <c r="AG116" i="5"/>
  <c r="V116" i="5"/>
  <c r="R116" i="5"/>
  <c r="X116" i="5" s="1"/>
  <c r="AZ115" i="5"/>
  <c r="AX115" i="5"/>
  <c r="AW115" i="5"/>
  <c r="AQ115" i="5"/>
  <c r="AP115" i="5"/>
  <c r="AR115" i="5" s="1"/>
  <c r="AT115" i="5" s="1"/>
  <c r="AI115" i="5"/>
  <c r="AG115" i="5"/>
  <c r="V115" i="5"/>
  <c r="R115" i="5"/>
  <c r="X115" i="5" s="1"/>
  <c r="AZ95" i="5"/>
  <c r="AX95" i="5"/>
  <c r="AW95" i="5"/>
  <c r="AQ95" i="5"/>
  <c r="AP95" i="5"/>
  <c r="AR95" i="5" s="1"/>
  <c r="AT95" i="5" s="1"/>
  <c r="AI95" i="5"/>
  <c r="AG95" i="5"/>
  <c r="V95" i="5"/>
  <c r="R95" i="5"/>
  <c r="X95" i="5" s="1"/>
  <c r="AZ114" i="5"/>
  <c r="AX114" i="5"/>
  <c r="AW114" i="5"/>
  <c r="AQ114" i="5"/>
  <c r="AP114" i="5"/>
  <c r="AR114" i="5" s="1"/>
  <c r="AT114" i="5" s="1"/>
  <c r="AI114" i="5"/>
  <c r="AG114" i="5"/>
  <c r="V114" i="5"/>
  <c r="R114" i="5"/>
  <c r="X114" i="5" s="1"/>
  <c r="AZ113" i="5"/>
  <c r="AX113" i="5"/>
  <c r="AW113" i="5"/>
  <c r="AQ113" i="5"/>
  <c r="AP113" i="5"/>
  <c r="AR113" i="5" s="1"/>
  <c r="AT113" i="5" s="1"/>
  <c r="AI113" i="5"/>
  <c r="AG113" i="5"/>
  <c r="V113" i="5"/>
  <c r="R113" i="5"/>
  <c r="X113" i="5" s="1"/>
  <c r="AZ112" i="5"/>
  <c r="AX112" i="5"/>
  <c r="AW112" i="5"/>
  <c r="AQ112" i="5"/>
  <c r="AP112" i="5"/>
  <c r="AR112" i="5" s="1"/>
  <c r="AT112" i="5" s="1"/>
  <c r="AI112" i="5"/>
  <c r="AG112" i="5"/>
  <c r="V112" i="5"/>
  <c r="R112" i="5"/>
  <c r="X112" i="5" s="1"/>
  <c r="AZ111" i="5"/>
  <c r="AX111" i="5"/>
  <c r="AW111" i="5"/>
  <c r="AQ111" i="5"/>
  <c r="AP111" i="5"/>
  <c r="AR111" i="5" s="1"/>
  <c r="AT111" i="5" s="1"/>
  <c r="AI111" i="5"/>
  <c r="V111" i="5"/>
  <c r="R111" i="5"/>
  <c r="X111" i="5" s="1"/>
  <c r="AZ110" i="5"/>
  <c r="AX110" i="5"/>
  <c r="AW110" i="5"/>
  <c r="AQ110" i="5"/>
  <c r="AP110" i="5"/>
  <c r="AR110" i="5" s="1"/>
  <c r="AT110" i="5" s="1"/>
  <c r="AI110" i="5"/>
  <c r="AG110" i="5"/>
  <c r="V110" i="5"/>
  <c r="R110" i="5"/>
  <c r="X110" i="5" s="1"/>
  <c r="AZ108" i="5"/>
  <c r="AX108" i="5"/>
  <c r="AW108" i="5"/>
  <c r="AQ108" i="5"/>
  <c r="AP108" i="5"/>
  <c r="AR108" i="5" s="1"/>
  <c r="AT108" i="5" s="1"/>
  <c r="AI108" i="5"/>
  <c r="AG108" i="5"/>
  <c r="V108" i="5"/>
  <c r="R108" i="5"/>
  <c r="X108" i="5" s="1"/>
  <c r="AZ105" i="5"/>
  <c r="AX105" i="5"/>
  <c r="AW105" i="5"/>
  <c r="AQ105" i="5"/>
  <c r="AP105" i="5"/>
  <c r="AR105" i="5" s="1"/>
  <c r="AT105" i="5" s="1"/>
  <c r="AI105" i="5"/>
  <c r="V105" i="5"/>
  <c r="R105" i="5"/>
  <c r="X105" i="5" s="1"/>
  <c r="AZ107" i="5"/>
  <c r="AX107" i="5"/>
  <c r="AW107" i="5"/>
  <c r="AQ107" i="5"/>
  <c r="AP107" i="5"/>
  <c r="AR107" i="5" s="1"/>
  <c r="AT107" i="5" s="1"/>
  <c r="AI107" i="5"/>
  <c r="AG107" i="5"/>
  <c r="V107" i="5"/>
  <c r="R107" i="5"/>
  <c r="X107" i="5" s="1"/>
  <c r="AZ106" i="5"/>
  <c r="AX106" i="5"/>
  <c r="AW106" i="5"/>
  <c r="AQ106" i="5"/>
  <c r="AP106" i="5"/>
  <c r="AR106" i="5" s="1"/>
  <c r="AT106" i="5" s="1"/>
  <c r="AI106" i="5"/>
  <c r="AG106" i="5"/>
  <c r="V106" i="5"/>
  <c r="R106" i="5"/>
  <c r="X106" i="5" s="1"/>
  <c r="AZ104" i="5"/>
  <c r="AX104" i="5"/>
  <c r="AW104" i="5"/>
  <c r="AQ104" i="5"/>
  <c r="AP104" i="5"/>
  <c r="AR104" i="5" s="1"/>
  <c r="AT104" i="5" s="1"/>
  <c r="AI104" i="5"/>
  <c r="AG104" i="5"/>
  <c r="V104" i="5"/>
  <c r="R104" i="5"/>
  <c r="X104" i="5" s="1"/>
  <c r="AZ102" i="5"/>
  <c r="AX102" i="5"/>
  <c r="AW102" i="5"/>
  <c r="AQ102" i="5"/>
  <c r="AP102" i="5"/>
  <c r="AR102" i="5" s="1"/>
  <c r="AT102" i="5" s="1"/>
  <c r="AI102" i="5"/>
  <c r="AG102" i="5"/>
  <c r="V102" i="5"/>
  <c r="R102" i="5"/>
  <c r="X102" i="5" s="1"/>
  <c r="AZ103" i="5"/>
  <c r="AX103" i="5"/>
  <c r="AW103" i="5"/>
  <c r="AQ103" i="5"/>
  <c r="AP103" i="5"/>
  <c r="AR103" i="5" s="1"/>
  <c r="AT103" i="5" s="1"/>
  <c r="AI103" i="5"/>
  <c r="AG103" i="5"/>
  <c r="V103" i="5"/>
  <c r="R103" i="5"/>
  <c r="X103" i="5" s="1"/>
  <c r="AZ101" i="5"/>
  <c r="AX101" i="5"/>
  <c r="AW101" i="5"/>
  <c r="AQ101" i="5"/>
  <c r="AP101" i="5"/>
  <c r="AR101" i="5" s="1"/>
  <c r="AT101" i="5" s="1"/>
  <c r="AI101" i="5"/>
  <c r="AG101" i="5"/>
  <c r="V101" i="5"/>
  <c r="R101" i="5"/>
  <c r="X101" i="5" s="1"/>
  <c r="AZ100" i="5"/>
  <c r="AX100" i="5"/>
  <c r="AW100" i="5"/>
  <c r="AQ100" i="5"/>
  <c r="AP100" i="5"/>
  <c r="AR100" i="5" s="1"/>
  <c r="AT100" i="5" s="1"/>
  <c r="AI100" i="5"/>
  <c r="AG100" i="5"/>
  <c r="V100" i="5"/>
  <c r="R100" i="5"/>
  <c r="X100" i="5" s="1"/>
  <c r="AZ90" i="5"/>
  <c r="AX90" i="5"/>
  <c r="AW90" i="5"/>
  <c r="AQ90" i="5"/>
  <c r="AP90" i="5"/>
  <c r="AR90" i="5" s="1"/>
  <c r="AT90" i="5" s="1"/>
  <c r="AI90" i="5"/>
  <c r="AG90" i="5"/>
  <c r="V90" i="5"/>
  <c r="R90" i="5"/>
  <c r="X90" i="5" s="1"/>
  <c r="AZ99" i="5"/>
  <c r="AX99" i="5"/>
  <c r="AW99" i="5"/>
  <c r="AQ99" i="5"/>
  <c r="AP99" i="5"/>
  <c r="AR99" i="5" s="1"/>
  <c r="AT99" i="5" s="1"/>
  <c r="AI99" i="5"/>
  <c r="AG99" i="5"/>
  <c r="V99" i="5"/>
  <c r="R99" i="5"/>
  <c r="X99" i="5" s="1"/>
  <c r="AZ98" i="5"/>
  <c r="AX98" i="5"/>
  <c r="AW98" i="5"/>
  <c r="AQ98" i="5"/>
  <c r="AP98" i="5"/>
  <c r="AR98" i="5" s="1"/>
  <c r="AT98" i="5" s="1"/>
  <c r="AI98" i="5"/>
  <c r="AG98" i="5"/>
  <c r="V98" i="5"/>
  <c r="R98" i="5"/>
  <c r="X98" i="5" s="1"/>
  <c r="AZ97" i="5"/>
  <c r="AX97" i="5"/>
  <c r="AW97" i="5"/>
  <c r="AQ97" i="5"/>
  <c r="AP97" i="5"/>
  <c r="AR97" i="5" s="1"/>
  <c r="AT97" i="5" s="1"/>
  <c r="AI97" i="5"/>
  <c r="AG97" i="5"/>
  <c r="V97" i="5"/>
  <c r="R97" i="5"/>
  <c r="X97" i="5" s="1"/>
  <c r="AZ96" i="5"/>
  <c r="AX96" i="5"/>
  <c r="AW96" i="5"/>
  <c r="AQ96" i="5"/>
  <c r="AP96" i="5"/>
  <c r="AR96" i="5" s="1"/>
  <c r="AT96" i="5" s="1"/>
  <c r="AI96" i="5"/>
  <c r="AG96" i="5"/>
  <c r="V96" i="5"/>
  <c r="R96" i="5"/>
  <c r="X96" i="5" s="1"/>
  <c r="AZ94" i="5"/>
  <c r="AX94" i="5"/>
  <c r="AW94" i="5"/>
  <c r="AQ94" i="5"/>
  <c r="AP94" i="5"/>
  <c r="AR94" i="5" s="1"/>
  <c r="AT94" i="5" s="1"/>
  <c r="AI94" i="5"/>
  <c r="AG94" i="5"/>
  <c r="V94" i="5"/>
  <c r="R94" i="5"/>
  <c r="X94" i="5" s="1"/>
  <c r="AZ93" i="5"/>
  <c r="AX93" i="5"/>
  <c r="AW93" i="5"/>
  <c r="AQ93" i="5"/>
  <c r="AP93" i="5"/>
  <c r="AR93" i="5" s="1"/>
  <c r="AT93" i="5" s="1"/>
  <c r="AI93" i="5"/>
  <c r="AG93" i="5"/>
  <c r="V93" i="5"/>
  <c r="R93" i="5"/>
  <c r="X93" i="5" s="1"/>
  <c r="AZ92" i="5"/>
  <c r="AX92" i="5"/>
  <c r="AW92" i="5"/>
  <c r="AQ92" i="5"/>
  <c r="AP92" i="5"/>
  <c r="AR92" i="5" s="1"/>
  <c r="AT92" i="5" s="1"/>
  <c r="AI92" i="5"/>
  <c r="AG92" i="5"/>
  <c r="V92" i="5"/>
  <c r="R92" i="5"/>
  <c r="X92" i="5" s="1"/>
  <c r="AZ91" i="5"/>
  <c r="AX91" i="5"/>
  <c r="AW91" i="5"/>
  <c r="AQ91" i="5"/>
  <c r="AP91" i="5"/>
  <c r="AR91" i="5" s="1"/>
  <c r="AT91" i="5" s="1"/>
  <c r="AI91" i="5"/>
  <c r="AG91" i="5"/>
  <c r="V91" i="5"/>
  <c r="R91" i="5"/>
  <c r="X91" i="5" s="1"/>
  <c r="AZ89" i="5"/>
  <c r="AX89" i="5"/>
  <c r="AW89" i="5"/>
  <c r="AQ89" i="5"/>
  <c r="AP89" i="5"/>
  <c r="AR89" i="5" s="1"/>
  <c r="AT89" i="5" s="1"/>
  <c r="AI89" i="5"/>
  <c r="AG89" i="5"/>
  <c r="V89" i="5"/>
  <c r="R89" i="5"/>
  <c r="X89" i="5" s="1"/>
  <c r="AZ88" i="5"/>
  <c r="AX88" i="5"/>
  <c r="AW88" i="5"/>
  <c r="AQ88" i="5"/>
  <c r="AP88" i="5"/>
  <c r="AR88" i="5" s="1"/>
  <c r="AT88" i="5" s="1"/>
  <c r="AI88" i="5"/>
  <c r="AG88" i="5"/>
  <c r="V88" i="5"/>
  <c r="R88" i="5"/>
  <c r="X88" i="5" s="1"/>
  <c r="AZ87" i="5"/>
  <c r="AX87" i="5"/>
  <c r="AW87" i="5"/>
  <c r="AQ87" i="5"/>
  <c r="AP87" i="5"/>
  <c r="AR87" i="5" s="1"/>
  <c r="AT87" i="5" s="1"/>
  <c r="AI87" i="5"/>
  <c r="AG87" i="5"/>
  <c r="V87" i="5"/>
  <c r="R87" i="5"/>
  <c r="X87" i="5" s="1"/>
  <c r="AZ86" i="5"/>
  <c r="AX86" i="5"/>
  <c r="AW86" i="5"/>
  <c r="AQ86" i="5"/>
  <c r="AP86" i="5"/>
  <c r="AR86" i="5" s="1"/>
  <c r="AT86" i="5" s="1"/>
  <c r="AI86" i="5"/>
  <c r="AG86" i="5"/>
  <c r="V86" i="5"/>
  <c r="R86" i="5"/>
  <c r="X86" i="5" s="1"/>
  <c r="AZ85" i="5"/>
  <c r="AX85" i="5"/>
  <c r="AW85" i="5"/>
  <c r="AP85" i="5"/>
  <c r="AR85" i="5" s="1"/>
  <c r="AT85" i="5" s="1"/>
  <c r="AI85" i="5"/>
  <c r="V85" i="5"/>
  <c r="R85" i="5"/>
  <c r="X85" i="5" s="1"/>
  <c r="AZ84" i="5"/>
  <c r="AX84" i="5"/>
  <c r="AW84" i="5"/>
  <c r="AQ84" i="5"/>
  <c r="AP84" i="5"/>
  <c r="AR84" i="5" s="1"/>
  <c r="AT84" i="5" s="1"/>
  <c r="AI84" i="5"/>
  <c r="AG84" i="5"/>
  <c r="R84" i="5"/>
  <c r="AZ83" i="5"/>
  <c r="AX83" i="5"/>
  <c r="AW83" i="5"/>
  <c r="AQ83" i="5"/>
  <c r="AP83" i="5"/>
  <c r="AR83" i="5" s="1"/>
  <c r="AT83" i="5" s="1"/>
  <c r="AI83" i="5"/>
  <c r="AG83" i="5"/>
  <c r="V83" i="5"/>
  <c r="R83" i="5"/>
  <c r="X83" i="5" s="1"/>
  <c r="AZ82" i="5"/>
  <c r="AX82" i="5"/>
  <c r="AW82" i="5"/>
  <c r="AQ82" i="5"/>
  <c r="AP82" i="5"/>
  <c r="AR82" i="5" s="1"/>
  <c r="AT82" i="5" s="1"/>
  <c r="AI82" i="5"/>
  <c r="AG82" i="5"/>
  <c r="V82" i="5"/>
  <c r="R82" i="5"/>
  <c r="X82" i="5" s="1"/>
  <c r="AZ81" i="5"/>
  <c r="AX81" i="5"/>
  <c r="AW81" i="5"/>
  <c r="AQ81" i="5"/>
  <c r="AP81" i="5"/>
  <c r="AR81" i="5" s="1"/>
  <c r="AT81" i="5" s="1"/>
  <c r="AI81" i="5"/>
  <c r="AG81" i="5"/>
  <c r="V81" i="5"/>
  <c r="R81" i="5"/>
  <c r="X81" i="5" s="1"/>
  <c r="AZ80" i="5"/>
  <c r="AX80" i="5"/>
  <c r="AW80" i="5"/>
  <c r="AQ80" i="5"/>
  <c r="AP80" i="5"/>
  <c r="AR80" i="5" s="1"/>
  <c r="AT80" i="5" s="1"/>
  <c r="AI80" i="5"/>
  <c r="AG80" i="5"/>
  <c r="V80" i="5"/>
  <c r="R80" i="5"/>
  <c r="X80" i="5" s="1"/>
  <c r="AZ79" i="5"/>
  <c r="AX79" i="5"/>
  <c r="AW79" i="5"/>
  <c r="AQ79" i="5"/>
  <c r="AP79" i="5"/>
  <c r="AR79" i="5" s="1"/>
  <c r="AT79" i="5" s="1"/>
  <c r="AG79" i="5"/>
  <c r="V79" i="5"/>
  <c r="R79" i="5"/>
  <c r="X79" i="5" s="1"/>
  <c r="AZ78" i="5"/>
  <c r="AX78" i="5"/>
  <c r="AW78" i="5"/>
  <c r="AQ78" i="5"/>
  <c r="AP78" i="5"/>
  <c r="AR78" i="5" s="1"/>
  <c r="AT78" i="5" s="1"/>
  <c r="AG78" i="5"/>
  <c r="R78" i="5"/>
  <c r="AZ77" i="5"/>
  <c r="AX77" i="5"/>
  <c r="AW77" i="5"/>
  <c r="AQ77" i="5"/>
  <c r="AP77" i="5"/>
  <c r="AR77" i="5" s="1"/>
  <c r="AT77" i="5" s="1"/>
  <c r="AI77" i="5"/>
  <c r="AG77" i="5"/>
  <c r="V77" i="5"/>
  <c r="R77" i="5"/>
  <c r="X77" i="5" s="1"/>
  <c r="AZ76" i="5"/>
  <c r="AX76" i="5"/>
  <c r="AW76" i="5"/>
  <c r="AQ76" i="5"/>
  <c r="AP76" i="5"/>
  <c r="AR76" i="5" s="1"/>
  <c r="AT76" i="5" s="1"/>
  <c r="AI76" i="5"/>
  <c r="R76" i="5"/>
  <c r="AZ75" i="5"/>
  <c r="AX75" i="5"/>
  <c r="AW75" i="5"/>
  <c r="AQ75" i="5"/>
  <c r="AP75" i="5"/>
  <c r="AR75" i="5" s="1"/>
  <c r="AT75" i="5" s="1"/>
  <c r="AI75" i="5"/>
  <c r="AG75" i="5"/>
  <c r="V75" i="5"/>
  <c r="R75" i="5"/>
  <c r="X75" i="5" s="1"/>
  <c r="AZ74" i="5"/>
  <c r="AX74" i="5"/>
  <c r="AW74" i="5"/>
  <c r="AQ74" i="5"/>
  <c r="AP74" i="5"/>
  <c r="AR74" i="5" s="1"/>
  <c r="AT74" i="5" s="1"/>
  <c r="AI74" i="5"/>
  <c r="AG74" i="5"/>
  <c r="V74" i="5"/>
  <c r="R74" i="5"/>
  <c r="X74" i="5" s="1"/>
  <c r="AZ73" i="5"/>
  <c r="AX73" i="5"/>
  <c r="AW73" i="5"/>
  <c r="AQ73" i="5"/>
  <c r="AP73" i="5"/>
  <c r="AR73" i="5" s="1"/>
  <c r="AT73" i="5" s="1"/>
  <c r="AI73" i="5"/>
  <c r="V73" i="5"/>
  <c r="R73" i="5"/>
  <c r="X73" i="5" s="1"/>
  <c r="AZ72" i="5"/>
  <c r="AX72" i="5"/>
  <c r="AW72" i="5"/>
  <c r="AQ72" i="5"/>
  <c r="AP72" i="5"/>
  <c r="AR72" i="5" s="1"/>
  <c r="AT72" i="5" s="1"/>
  <c r="AI72" i="5"/>
  <c r="AG72" i="5"/>
  <c r="V72" i="5"/>
  <c r="R72" i="5"/>
  <c r="X72" i="5" s="1"/>
  <c r="AZ71" i="5"/>
  <c r="AX71" i="5"/>
  <c r="AW71" i="5"/>
  <c r="AQ71" i="5"/>
  <c r="AP71" i="5"/>
  <c r="AR71" i="5" s="1"/>
  <c r="AT71" i="5" s="1"/>
  <c r="AI71" i="5"/>
  <c r="AG71" i="5"/>
  <c r="V71" i="5"/>
  <c r="R71" i="5"/>
  <c r="X71" i="5" s="1"/>
  <c r="AZ70" i="5"/>
  <c r="AX70" i="5"/>
  <c r="AW70" i="5"/>
  <c r="AQ70" i="5"/>
  <c r="AP70" i="5"/>
  <c r="AR70" i="5" s="1"/>
  <c r="AT70" i="5" s="1"/>
  <c r="V70" i="5"/>
  <c r="R70" i="5"/>
  <c r="X70" i="5" s="1"/>
  <c r="AZ3" i="5"/>
  <c r="AX3" i="5"/>
  <c r="AW3" i="5"/>
  <c r="AQ3" i="5"/>
  <c r="AP3" i="5"/>
  <c r="AR3" i="5" s="1"/>
  <c r="AT3" i="5" s="1"/>
  <c r="AG3" i="5"/>
  <c r="V3" i="5"/>
  <c r="R3" i="5"/>
  <c r="X3" i="5" s="1"/>
  <c r="AZ2" i="5"/>
  <c r="AX2" i="5"/>
  <c r="AW2" i="5"/>
  <c r="AQ2" i="5"/>
  <c r="AP2" i="5"/>
  <c r="AR2" i="5" s="1"/>
  <c r="AT2" i="5" s="1"/>
  <c r="AI2" i="5"/>
  <c r="AG2" i="5"/>
  <c r="V2" i="5"/>
  <c r="R2" i="5"/>
  <c r="X2" i="5" s="1"/>
  <c r="AZ69" i="5"/>
  <c r="AX69" i="5"/>
  <c r="AW69" i="5"/>
  <c r="AQ69" i="5"/>
  <c r="AP69" i="5"/>
  <c r="AR69" i="5" s="1"/>
  <c r="AT69" i="5" s="1"/>
  <c r="AI69" i="5"/>
  <c r="AG69" i="5"/>
  <c r="V69" i="5"/>
  <c r="R69" i="5"/>
  <c r="X69" i="5" s="1"/>
  <c r="AZ68" i="5"/>
  <c r="AX68" i="5"/>
  <c r="AW68" i="5"/>
  <c r="AQ68" i="5"/>
  <c r="AP68" i="5"/>
  <c r="AR68" i="5" s="1"/>
  <c r="AT68" i="5" s="1"/>
  <c r="AI68" i="5"/>
  <c r="AG68" i="5"/>
  <c r="V68" i="5"/>
  <c r="R68" i="5"/>
  <c r="X68" i="5" s="1"/>
  <c r="AZ67" i="5"/>
  <c r="AX67" i="5"/>
  <c r="AW67" i="5"/>
  <c r="AQ67" i="5"/>
  <c r="AP67" i="5"/>
  <c r="AR67" i="5" s="1"/>
  <c r="AT67" i="5" s="1"/>
  <c r="AI67" i="5"/>
  <c r="AG67" i="5"/>
  <c r="V67" i="5"/>
  <c r="R67" i="5"/>
  <c r="X67" i="5" s="1"/>
  <c r="AZ66" i="5"/>
  <c r="AX66" i="5"/>
  <c r="AW66" i="5"/>
  <c r="AQ66" i="5"/>
  <c r="AP66" i="5"/>
  <c r="AR66" i="5" s="1"/>
  <c r="AT66" i="5" s="1"/>
  <c r="AI66" i="5"/>
  <c r="AG66" i="5"/>
  <c r="V66" i="5"/>
  <c r="R66" i="5"/>
  <c r="X66" i="5" s="1"/>
  <c r="AZ6" i="5"/>
  <c r="AX6" i="5"/>
  <c r="AW6" i="5"/>
  <c r="AQ6" i="5"/>
  <c r="AP6" i="5"/>
  <c r="AR6" i="5" s="1"/>
  <c r="AT6" i="5" s="1"/>
  <c r="AI6" i="5"/>
  <c r="AG6" i="5"/>
  <c r="R6" i="5"/>
  <c r="AZ5" i="5"/>
  <c r="AX5" i="5"/>
  <c r="AW5" i="5"/>
  <c r="AS5" i="5"/>
  <c r="AQ5" i="5"/>
  <c r="AP5" i="5"/>
  <c r="AR5" i="5" s="1"/>
  <c r="AN5" i="5"/>
  <c r="AI5" i="5"/>
  <c r="AG5" i="5"/>
  <c r="R5" i="5"/>
  <c r="X5" i="5" s="1"/>
  <c r="J5" i="5"/>
  <c r="AZ4" i="5"/>
  <c r="AX4" i="5"/>
  <c r="AW4" i="5"/>
  <c r="AQ4" i="5"/>
  <c r="AP4" i="5"/>
  <c r="AR4" i="5" s="1"/>
  <c r="AT4" i="5" s="1"/>
  <c r="AI4" i="5"/>
  <c r="AG4" i="5"/>
  <c r="V4" i="5"/>
  <c r="R4" i="5"/>
  <c r="X4" i="5" s="1"/>
  <c r="AZ14" i="5"/>
  <c r="AX14" i="5"/>
  <c r="AW14" i="5"/>
  <c r="AQ14" i="5"/>
  <c r="AP14" i="5"/>
  <c r="AR14" i="5" s="1"/>
  <c r="AT14" i="5" s="1"/>
  <c r="AI14" i="5"/>
  <c r="AG14" i="5"/>
  <c r="R14" i="5"/>
  <c r="AZ13" i="5"/>
  <c r="AX13" i="5"/>
  <c r="AW13" i="5"/>
  <c r="AQ13" i="5"/>
  <c r="AP13" i="5"/>
  <c r="AR13" i="5" s="1"/>
  <c r="AT13" i="5" s="1"/>
  <c r="AI13" i="5"/>
  <c r="AG13" i="5"/>
  <c r="R13" i="5"/>
  <c r="AZ17" i="5"/>
  <c r="AX17" i="5"/>
  <c r="AW17" i="5"/>
  <c r="AQ17" i="5"/>
  <c r="AP17" i="5"/>
  <c r="AR17" i="5" s="1"/>
  <c r="AT17" i="5" s="1"/>
  <c r="AI17" i="5"/>
  <c r="AG17" i="5"/>
  <c r="V17" i="5"/>
  <c r="R17" i="5"/>
  <c r="X17" i="5" s="1"/>
  <c r="AZ16" i="5"/>
  <c r="AX16" i="5"/>
  <c r="AW16" i="5"/>
  <c r="AQ16" i="5"/>
  <c r="AP16" i="5"/>
  <c r="AR16" i="5" s="1"/>
  <c r="AT16" i="5" s="1"/>
  <c r="AI16" i="5"/>
  <c r="AG16" i="5"/>
  <c r="V16" i="5"/>
  <c r="R16" i="5"/>
  <c r="X16" i="5" s="1"/>
  <c r="AZ10" i="5"/>
  <c r="AX10" i="5"/>
  <c r="AW10" i="5"/>
  <c r="AQ10" i="5"/>
  <c r="AP10" i="5"/>
  <c r="AR10" i="5" s="1"/>
  <c r="AT10" i="5" s="1"/>
  <c r="AI10" i="5"/>
  <c r="AG10" i="5"/>
  <c r="R10" i="5"/>
  <c r="AZ11" i="5"/>
  <c r="AX11" i="5"/>
  <c r="AW11" i="5"/>
  <c r="AQ11" i="5"/>
  <c r="AP11" i="5"/>
  <c r="AR11" i="5" s="1"/>
  <c r="AT11" i="5" s="1"/>
  <c r="AI11" i="5"/>
  <c r="AG11" i="5"/>
  <c r="R11" i="5"/>
  <c r="AZ7" i="5"/>
  <c r="AX7" i="5"/>
  <c r="AW7" i="5"/>
  <c r="AQ7" i="5"/>
  <c r="AP7" i="5"/>
  <c r="AR7" i="5" s="1"/>
  <c r="AT7" i="5" s="1"/>
  <c r="AI7" i="5"/>
  <c r="AG7" i="5"/>
  <c r="V7" i="5"/>
  <c r="R7" i="5"/>
  <c r="X7" i="5" s="1"/>
  <c r="AZ8" i="5"/>
  <c r="AX8" i="5"/>
  <c r="AW8" i="5"/>
  <c r="AQ8" i="5"/>
  <c r="AP8" i="5"/>
  <c r="AR8" i="5" s="1"/>
  <c r="AT8" i="5" s="1"/>
  <c r="AI8" i="5"/>
  <c r="AG8" i="5"/>
  <c r="V8" i="5"/>
  <c r="R8" i="5"/>
  <c r="X8" i="5" s="1"/>
  <c r="AZ65" i="5"/>
  <c r="AX65" i="5"/>
  <c r="AW65" i="5"/>
  <c r="AQ65" i="5"/>
  <c r="AP65" i="5"/>
  <c r="AR65" i="5" s="1"/>
  <c r="AT65" i="5" s="1"/>
  <c r="AI65" i="5"/>
  <c r="AG65" i="5"/>
  <c r="V65" i="5"/>
  <c r="R65" i="5"/>
  <c r="X65" i="5" s="1"/>
  <c r="AZ64" i="5"/>
  <c r="AX64" i="5"/>
  <c r="AW64" i="5"/>
  <c r="AQ64" i="5"/>
  <c r="AP64" i="5"/>
  <c r="AR64" i="5" s="1"/>
  <c r="AT64" i="5" s="1"/>
  <c r="AI64" i="5"/>
  <c r="AG64" i="5"/>
  <c r="V64" i="5"/>
  <c r="R64" i="5"/>
  <c r="X64" i="5" s="1"/>
  <c r="AZ63" i="5"/>
  <c r="AX63" i="5"/>
  <c r="AW63" i="5"/>
  <c r="AQ63" i="5"/>
  <c r="AP63" i="5"/>
  <c r="AR63" i="5" s="1"/>
  <c r="AT63" i="5" s="1"/>
  <c r="AI63" i="5"/>
  <c r="AG63" i="5"/>
  <c r="V63" i="5"/>
  <c r="R63" i="5"/>
  <c r="X63" i="5" s="1"/>
  <c r="AZ62" i="5"/>
  <c r="AX62" i="5"/>
  <c r="AW62" i="5"/>
  <c r="AQ62" i="5"/>
  <c r="AP62" i="5"/>
  <c r="AR62" i="5" s="1"/>
  <c r="AT62" i="5" s="1"/>
  <c r="AI62" i="5"/>
  <c r="AG62" i="5"/>
  <c r="V62" i="5"/>
  <c r="R62" i="5"/>
  <c r="X62" i="5" s="1"/>
  <c r="AZ61" i="5"/>
  <c r="AX61" i="5"/>
  <c r="AW61" i="5"/>
  <c r="AQ61" i="5"/>
  <c r="AP61" i="5"/>
  <c r="AR61" i="5" s="1"/>
  <c r="AT61" i="5" s="1"/>
  <c r="AI61" i="5"/>
  <c r="AG61" i="5"/>
  <c r="V61" i="5"/>
  <c r="R61" i="5"/>
  <c r="X61" i="5" s="1"/>
  <c r="AZ58" i="5"/>
  <c r="AX58" i="5"/>
  <c r="AW58" i="5"/>
  <c r="AQ58" i="5"/>
  <c r="AP58" i="5"/>
  <c r="AR58" i="5" s="1"/>
  <c r="AT58" i="5" s="1"/>
  <c r="AI58" i="5"/>
  <c r="AG58" i="5"/>
  <c r="V58" i="5"/>
  <c r="R58" i="5"/>
  <c r="X58" i="5" s="1"/>
  <c r="AZ60" i="5"/>
  <c r="AX60" i="5"/>
  <c r="AW60" i="5"/>
  <c r="AQ60" i="5"/>
  <c r="AP60" i="5"/>
  <c r="AR60" i="5" s="1"/>
  <c r="AT60" i="5" s="1"/>
  <c r="AG60" i="5"/>
  <c r="V60" i="5"/>
  <c r="R60" i="5"/>
  <c r="X60" i="5" s="1"/>
  <c r="AZ59" i="5"/>
  <c r="AX59" i="5"/>
  <c r="AW59" i="5"/>
  <c r="AQ59" i="5"/>
  <c r="AP59" i="5"/>
  <c r="AR59" i="5" s="1"/>
  <c r="AT59" i="5" s="1"/>
  <c r="AI59" i="5"/>
  <c r="AG59" i="5"/>
  <c r="V59" i="5"/>
  <c r="R59" i="5"/>
  <c r="X59" i="5" s="1"/>
  <c r="AZ57" i="5"/>
  <c r="AX57" i="5"/>
  <c r="AW57" i="5"/>
  <c r="AQ57" i="5"/>
  <c r="AP57" i="5"/>
  <c r="AR57" i="5" s="1"/>
  <c r="AT57" i="5" s="1"/>
  <c r="AI57" i="5"/>
  <c r="AG57" i="5"/>
  <c r="V57" i="5"/>
  <c r="R57" i="5"/>
  <c r="X57" i="5" s="1"/>
  <c r="AZ56" i="5"/>
  <c r="AX56" i="5"/>
  <c r="AW56" i="5"/>
  <c r="AQ56" i="5"/>
  <c r="AP56" i="5"/>
  <c r="AR56" i="5" s="1"/>
  <c r="AT56" i="5" s="1"/>
  <c r="AI56" i="5"/>
  <c r="AG56" i="5"/>
  <c r="V56" i="5"/>
  <c r="R56" i="5"/>
  <c r="X56" i="5" s="1"/>
  <c r="AZ55" i="5"/>
  <c r="AX55" i="5"/>
  <c r="AW55" i="5"/>
  <c r="AQ55" i="5"/>
  <c r="AP55" i="5"/>
  <c r="AR55" i="5" s="1"/>
  <c r="AT55" i="5" s="1"/>
  <c r="AI55" i="5"/>
  <c r="AG55" i="5"/>
  <c r="V55" i="5"/>
  <c r="R55" i="5"/>
  <c r="X55" i="5" s="1"/>
  <c r="AZ34" i="5"/>
  <c r="AX34" i="5"/>
  <c r="AW34" i="5"/>
  <c r="AQ34" i="5"/>
  <c r="AP34" i="5"/>
  <c r="AR34" i="5" s="1"/>
  <c r="AT34" i="5" s="1"/>
  <c r="AI34" i="5"/>
  <c r="AG34" i="5"/>
  <c r="V34" i="5"/>
  <c r="R34" i="5"/>
  <c r="X34" i="5" s="1"/>
  <c r="AZ53" i="5"/>
  <c r="AX53" i="5"/>
  <c r="AW53" i="5"/>
  <c r="AQ53" i="5"/>
  <c r="AP53" i="5"/>
  <c r="AR53" i="5" s="1"/>
  <c r="AT53" i="5" s="1"/>
  <c r="AI53" i="5"/>
  <c r="AG53" i="5"/>
  <c r="V53" i="5"/>
  <c r="R53" i="5"/>
  <c r="X53" i="5" s="1"/>
  <c r="AZ54" i="5"/>
  <c r="AX54" i="5"/>
  <c r="AW54" i="5"/>
  <c r="AQ54" i="5"/>
  <c r="AP54" i="5"/>
  <c r="AR54" i="5" s="1"/>
  <c r="AT54" i="5" s="1"/>
  <c r="AG54" i="5"/>
  <c r="V54" i="5"/>
  <c r="R54" i="5"/>
  <c r="X54" i="5" s="1"/>
  <c r="AZ52" i="5"/>
  <c r="AX52" i="5"/>
  <c r="AW52" i="5"/>
  <c r="AQ52" i="5"/>
  <c r="AP52" i="5"/>
  <c r="AR52" i="5" s="1"/>
  <c r="AT52" i="5" s="1"/>
  <c r="AI52" i="5"/>
  <c r="AG52" i="5"/>
  <c r="V52" i="5"/>
  <c r="R52" i="5"/>
  <c r="X52" i="5" s="1"/>
  <c r="AZ51" i="5"/>
  <c r="AX51" i="5"/>
  <c r="AW51" i="5"/>
  <c r="AQ51" i="5"/>
  <c r="AP51" i="5"/>
  <c r="AR51" i="5" s="1"/>
  <c r="AT51" i="5" s="1"/>
  <c r="AI51" i="5"/>
  <c r="AG51" i="5"/>
  <c r="V51" i="5"/>
  <c r="R51" i="5"/>
  <c r="X51" i="5" s="1"/>
  <c r="AZ50" i="5"/>
  <c r="AX50" i="5"/>
  <c r="AW50" i="5"/>
  <c r="AQ50" i="5"/>
  <c r="AI50" i="5"/>
  <c r="AG50" i="5"/>
  <c r="AZ49" i="5"/>
  <c r="AX49" i="5"/>
  <c r="AW49" i="5"/>
  <c r="AQ49" i="5"/>
  <c r="AP49" i="5"/>
  <c r="AR49" i="5" s="1"/>
  <c r="AT49" i="5" s="1"/>
  <c r="AI49" i="5"/>
  <c r="AG49" i="5"/>
  <c r="V49" i="5"/>
  <c r="R49" i="5"/>
  <c r="X49" i="5" s="1"/>
  <c r="AZ48" i="5"/>
  <c r="AX48" i="5"/>
  <c r="AW48" i="5"/>
  <c r="AQ48" i="5"/>
  <c r="AP48" i="5"/>
  <c r="AR48" i="5" s="1"/>
  <c r="AT48" i="5" s="1"/>
  <c r="AI48" i="5"/>
  <c r="AG48" i="5"/>
  <c r="V48" i="5"/>
  <c r="R48" i="5"/>
  <c r="X48" i="5" s="1"/>
  <c r="AZ47" i="5"/>
  <c r="AX47" i="5"/>
  <c r="AW47" i="5"/>
  <c r="AQ47" i="5"/>
  <c r="AP47" i="5"/>
  <c r="AR47" i="5" s="1"/>
  <c r="AT47" i="5" s="1"/>
  <c r="AI47" i="5"/>
  <c r="AG47" i="5"/>
  <c r="V47" i="5"/>
  <c r="R47" i="5"/>
  <c r="X47" i="5" s="1"/>
  <c r="AZ46" i="5"/>
  <c r="AX46" i="5"/>
  <c r="AW46" i="5"/>
  <c r="AQ46" i="5"/>
  <c r="AP46" i="5"/>
  <c r="AR46" i="5" s="1"/>
  <c r="AT46" i="5" s="1"/>
  <c r="AI46" i="5"/>
  <c r="AG46" i="5"/>
  <c r="V46" i="5"/>
  <c r="R46" i="5"/>
  <c r="X46" i="5" s="1"/>
  <c r="AZ45" i="5"/>
  <c r="AX45" i="5"/>
  <c r="AW45" i="5"/>
  <c r="AQ45" i="5"/>
  <c r="AP45" i="5"/>
  <c r="AR45" i="5" s="1"/>
  <c r="AT45" i="5" s="1"/>
  <c r="AI45" i="5"/>
  <c r="AG45" i="5"/>
  <c r="V45" i="5"/>
  <c r="R45" i="5"/>
  <c r="X45" i="5" s="1"/>
  <c r="AZ44" i="5"/>
  <c r="AX44" i="5"/>
  <c r="AW44" i="5"/>
  <c r="AQ44" i="5"/>
  <c r="AP44" i="5"/>
  <c r="AR44" i="5" s="1"/>
  <c r="AT44" i="5" s="1"/>
  <c r="AI44" i="5"/>
  <c r="AG44" i="5"/>
  <c r="V44" i="5"/>
  <c r="R44" i="5"/>
  <c r="X44" i="5" s="1"/>
  <c r="AZ43" i="5"/>
  <c r="AX43" i="5"/>
  <c r="AW43" i="5"/>
  <c r="AQ43" i="5"/>
  <c r="AP43" i="5"/>
  <c r="AR43" i="5" s="1"/>
  <c r="AT43" i="5" s="1"/>
  <c r="AI43" i="5"/>
  <c r="AG43" i="5"/>
  <c r="V43" i="5"/>
  <c r="R43" i="5"/>
  <c r="X43" i="5" s="1"/>
  <c r="AZ40" i="5"/>
  <c r="AX40" i="5"/>
  <c r="AW40" i="5"/>
  <c r="AQ40" i="5"/>
  <c r="AP40" i="5"/>
  <c r="AR40" i="5" s="1"/>
  <c r="AT40" i="5" s="1"/>
  <c r="AI40" i="5"/>
  <c r="AG40" i="5"/>
  <c r="V40" i="5"/>
  <c r="R40" i="5"/>
  <c r="X40" i="5" s="1"/>
  <c r="AZ41" i="5"/>
  <c r="AX41" i="5"/>
  <c r="AW41" i="5"/>
  <c r="AQ41" i="5"/>
  <c r="AP41" i="5"/>
  <c r="AR41" i="5" s="1"/>
  <c r="AT41" i="5" s="1"/>
  <c r="AI41" i="5"/>
  <c r="AG41" i="5"/>
  <c r="V41" i="5"/>
  <c r="R41" i="5"/>
  <c r="X41" i="5" s="1"/>
  <c r="AZ42" i="5"/>
  <c r="AX42" i="5"/>
  <c r="AW42" i="5"/>
  <c r="AQ42" i="5"/>
  <c r="AP42" i="5"/>
  <c r="AR42" i="5" s="1"/>
  <c r="AT42" i="5" s="1"/>
  <c r="AI42" i="5"/>
  <c r="AG42" i="5"/>
  <c r="V42" i="5"/>
  <c r="R42" i="5"/>
  <c r="X42" i="5" s="1"/>
  <c r="AZ39" i="5"/>
  <c r="AX39" i="5"/>
  <c r="AW39" i="5"/>
  <c r="AQ39" i="5"/>
  <c r="AP39" i="5"/>
  <c r="AR39" i="5" s="1"/>
  <c r="AT39" i="5" s="1"/>
  <c r="AI39" i="5"/>
  <c r="AG39" i="5"/>
  <c r="V39" i="5"/>
  <c r="R39" i="5"/>
  <c r="X39" i="5" s="1"/>
  <c r="AZ38" i="5"/>
  <c r="AX38" i="5"/>
  <c r="AW38" i="5"/>
  <c r="AQ38" i="5"/>
  <c r="AP38" i="5"/>
  <c r="AR38" i="5" s="1"/>
  <c r="AT38" i="5" s="1"/>
  <c r="AI38" i="5"/>
  <c r="AG38" i="5"/>
  <c r="V38" i="5"/>
  <c r="R38" i="5"/>
  <c r="X38" i="5" s="1"/>
  <c r="AZ37" i="5"/>
  <c r="AX37" i="5"/>
  <c r="AW37" i="5"/>
  <c r="AP37" i="5"/>
  <c r="AR37" i="5" s="1"/>
  <c r="AT37" i="5" s="1"/>
  <c r="AI37" i="5"/>
  <c r="AG37" i="5"/>
  <c r="V37" i="5"/>
  <c r="R37" i="5"/>
  <c r="X37" i="5" s="1"/>
  <c r="AZ36" i="5"/>
  <c r="AX36" i="5"/>
  <c r="AW36" i="5"/>
  <c r="AQ36" i="5"/>
  <c r="AP36" i="5"/>
  <c r="AR36" i="5" s="1"/>
  <c r="AT36" i="5" s="1"/>
  <c r="AI36" i="5"/>
  <c r="AG36" i="5"/>
  <c r="V36" i="5"/>
  <c r="R36" i="5"/>
  <c r="X36" i="5" s="1"/>
  <c r="AZ35" i="5"/>
  <c r="AX35" i="5"/>
  <c r="AW35" i="5"/>
  <c r="AQ35" i="5"/>
  <c r="AP35" i="5"/>
  <c r="AR35" i="5" s="1"/>
  <c r="AT35" i="5" s="1"/>
  <c r="AI35" i="5"/>
  <c r="AG35" i="5"/>
  <c r="V35" i="5"/>
  <c r="R35" i="5"/>
  <c r="X35" i="5" s="1"/>
  <c r="AZ33" i="5"/>
  <c r="AX33" i="5"/>
  <c r="AW33" i="5"/>
  <c r="AQ33" i="5"/>
  <c r="AP33" i="5"/>
  <c r="AR33" i="5" s="1"/>
  <c r="AT33" i="5" s="1"/>
  <c r="AI33" i="5"/>
  <c r="AG33" i="5"/>
  <c r="V33" i="5"/>
  <c r="R33" i="5"/>
  <c r="X33" i="5" s="1"/>
  <c r="AZ32" i="5"/>
  <c r="AX32" i="5"/>
  <c r="AW32" i="5"/>
  <c r="AQ32" i="5"/>
  <c r="AP32" i="5"/>
  <c r="AR32" i="5" s="1"/>
  <c r="AT32" i="5" s="1"/>
  <c r="AI32" i="5"/>
  <c r="AG32" i="5"/>
  <c r="V32" i="5"/>
  <c r="R32" i="5"/>
  <c r="X32" i="5" s="1"/>
  <c r="AZ31" i="5"/>
  <c r="AX31" i="5"/>
  <c r="AW31" i="5"/>
  <c r="AQ31" i="5"/>
  <c r="AP31" i="5"/>
  <c r="AR31" i="5" s="1"/>
  <c r="AT31" i="5" s="1"/>
  <c r="AG31" i="5"/>
  <c r="V31" i="5"/>
  <c r="R31" i="5"/>
  <c r="X31" i="5" s="1"/>
  <c r="AZ30" i="5"/>
  <c r="AX30" i="5"/>
  <c r="AW30" i="5"/>
  <c r="AQ30" i="5"/>
  <c r="AP30" i="5"/>
  <c r="AR30" i="5" s="1"/>
  <c r="AT30" i="5" s="1"/>
  <c r="AI30" i="5"/>
  <c r="AG30" i="5"/>
  <c r="V30" i="5"/>
  <c r="R30" i="5"/>
  <c r="X30" i="5" s="1"/>
  <c r="AZ29" i="5"/>
  <c r="AX29" i="5"/>
  <c r="AW29" i="5"/>
  <c r="AQ29" i="5"/>
  <c r="AP29" i="5"/>
  <c r="AR29" i="5" s="1"/>
  <c r="AT29" i="5" s="1"/>
  <c r="AI29" i="5"/>
  <c r="AG29" i="5"/>
  <c r="V29" i="5"/>
  <c r="R29" i="5"/>
  <c r="X29" i="5" s="1"/>
  <c r="AZ25" i="5"/>
  <c r="AX25" i="5"/>
  <c r="AW25" i="5"/>
  <c r="AQ25" i="5"/>
  <c r="AP25" i="5"/>
  <c r="AR25" i="5" s="1"/>
  <c r="AT25" i="5" s="1"/>
  <c r="AI25" i="5"/>
  <c r="AG25" i="5"/>
  <c r="V25" i="5"/>
  <c r="R25" i="5"/>
  <c r="X25" i="5" s="1"/>
  <c r="AX28" i="5"/>
  <c r="BA28" i="5" s="1"/>
  <c r="AW28" i="5"/>
  <c r="AQ28" i="5"/>
  <c r="AP28" i="5"/>
  <c r="AR28" i="5" s="1"/>
  <c r="AT28" i="5" s="1"/>
  <c r="AI28" i="5"/>
  <c r="AG28" i="5"/>
  <c r="V28" i="5"/>
  <c r="R28" i="5"/>
  <c r="X28" i="5" s="1"/>
  <c r="AX27" i="5"/>
  <c r="BA27" i="5" s="1"/>
  <c r="AW27" i="5"/>
  <c r="AQ27" i="5"/>
  <c r="AP27" i="5"/>
  <c r="AR27" i="5" s="1"/>
  <c r="AT27" i="5" s="1"/>
  <c r="AI27" i="5"/>
  <c r="AG27" i="5"/>
  <c r="V27" i="5"/>
  <c r="R27" i="5"/>
  <c r="X27" i="5" s="1"/>
  <c r="AZ26" i="5"/>
  <c r="AX26" i="5"/>
  <c r="AW26" i="5"/>
  <c r="AQ26" i="5"/>
  <c r="AP26" i="5"/>
  <c r="AR26" i="5" s="1"/>
  <c r="AT26" i="5" s="1"/>
  <c r="AI26" i="5"/>
  <c r="AG26" i="5"/>
  <c r="V26" i="5"/>
  <c r="R26" i="5"/>
  <c r="X26" i="5" s="1"/>
  <c r="AZ23" i="5"/>
  <c r="AX23" i="5"/>
  <c r="AW23" i="5"/>
  <c r="AQ23" i="5"/>
  <c r="AP23" i="5"/>
  <c r="AR23" i="5" s="1"/>
  <c r="AT23" i="5" s="1"/>
  <c r="AI23" i="5"/>
  <c r="AG23" i="5"/>
  <c r="V23" i="5"/>
  <c r="R23" i="5"/>
  <c r="X23" i="5" s="1"/>
  <c r="AZ24" i="5"/>
  <c r="AX24" i="5"/>
  <c r="AW24" i="5"/>
  <c r="AQ24" i="5"/>
  <c r="AP24" i="5"/>
  <c r="AR24" i="5" s="1"/>
  <c r="AT24" i="5" s="1"/>
  <c r="AI24" i="5"/>
  <c r="AG24" i="5"/>
  <c r="V24" i="5"/>
  <c r="R24" i="5"/>
  <c r="X24" i="5" s="1"/>
  <c r="AZ12" i="5"/>
  <c r="AX12" i="5"/>
  <c r="AW12" i="5"/>
  <c r="AQ12" i="5"/>
  <c r="AP12" i="5"/>
  <c r="AR12" i="5" s="1"/>
  <c r="AT12" i="5" s="1"/>
  <c r="AI12" i="5"/>
  <c r="AG12" i="5"/>
  <c r="R12" i="5"/>
  <c r="AZ21" i="5"/>
  <c r="AX21" i="5"/>
  <c r="AW21" i="5"/>
  <c r="AQ21" i="5"/>
  <c r="AP21" i="5"/>
  <c r="AR21" i="5" s="1"/>
  <c r="AT21" i="5" s="1"/>
  <c r="R21" i="5"/>
  <c r="AZ19" i="5"/>
  <c r="AX19" i="5"/>
  <c r="AW19" i="5"/>
  <c r="AQ19" i="5"/>
  <c r="AR19" i="5"/>
  <c r="AT19" i="5" s="1"/>
  <c r="AI19" i="5"/>
  <c r="AG19" i="5"/>
  <c r="R19" i="5"/>
  <c r="AZ18" i="5"/>
  <c r="AX18" i="5"/>
  <c r="AW18" i="5"/>
  <c r="AQ18" i="5"/>
  <c r="AP18" i="5"/>
  <c r="AR18" i="5" s="1"/>
  <c r="AT18" i="5" s="1"/>
  <c r="AI18" i="5"/>
  <c r="AG18" i="5"/>
  <c r="R18" i="5"/>
  <c r="AZ20" i="5"/>
  <c r="AX20" i="5"/>
  <c r="AQ20" i="5"/>
  <c r="AP20" i="5"/>
  <c r="AR20" i="5" s="1"/>
  <c r="AT20" i="5" s="1"/>
  <c r="AI20" i="5"/>
  <c r="AG20" i="5"/>
  <c r="R20" i="5"/>
  <c r="AZ15" i="5"/>
  <c r="AX15" i="5"/>
  <c r="AW15" i="5"/>
  <c r="AQ15" i="5"/>
  <c r="AP15" i="5"/>
  <c r="AR15" i="5" s="1"/>
  <c r="AT15" i="5" s="1"/>
  <c r="AI15" i="5"/>
  <c r="AG15" i="5"/>
  <c r="R15" i="5"/>
  <c r="AZ9" i="5"/>
  <c r="AX9" i="5"/>
  <c r="AW9" i="5"/>
  <c r="AQ9" i="5"/>
  <c r="AP9" i="5"/>
  <c r="AR9" i="5" s="1"/>
  <c r="AT9" i="5" s="1"/>
  <c r="AG9" i="5"/>
  <c r="R9" i="5"/>
  <c r="AZ22" i="5"/>
  <c r="AX22" i="5"/>
  <c r="AW22" i="5"/>
  <c r="AQ22" i="5"/>
  <c r="AP22" i="5"/>
  <c r="AR22" i="5" s="1"/>
  <c r="AT22" i="5" s="1"/>
  <c r="AI22" i="5"/>
  <c r="V22" i="5"/>
  <c r="R22" i="5"/>
  <c r="X22" i="5" s="1"/>
  <c r="W289" i="5" l="1"/>
  <c r="X289" i="5"/>
  <c r="W287" i="5"/>
  <c r="X287" i="5"/>
  <c r="W291" i="5"/>
  <c r="X291" i="5"/>
  <c r="W290" i="5"/>
  <c r="X290" i="5"/>
  <c r="Y50" i="5"/>
  <c r="AR211" i="5"/>
  <c r="AT211" i="5" s="1"/>
  <c r="C190" i="8" a="1"/>
  <c r="G7" i="8" a="1"/>
  <c r="BA183" i="5"/>
  <c r="W218" i="5"/>
  <c r="Y218" i="5" s="1"/>
  <c r="W214" i="5"/>
  <c r="Y214" i="5" s="1"/>
  <c r="W211" i="5"/>
  <c r="Y211" i="5" s="1"/>
  <c r="W204" i="5"/>
  <c r="Y204" i="5" s="1"/>
  <c r="W194" i="5"/>
  <c r="Y194" i="5" s="1"/>
  <c r="W184" i="5"/>
  <c r="Y184" i="5" s="1"/>
  <c r="W176" i="5"/>
  <c r="Y176" i="5" s="1"/>
  <c r="W174" i="5"/>
  <c r="Y174" i="5" s="1"/>
  <c r="W168" i="5"/>
  <c r="Y168" i="5" s="1"/>
  <c r="W166" i="5"/>
  <c r="Y166" i="5" s="1"/>
  <c r="W140" i="5"/>
  <c r="Y140" i="5" s="1"/>
  <c r="W159" i="5"/>
  <c r="Y159" i="5" s="1"/>
  <c r="W109" i="5"/>
  <c r="Y109" i="5" s="1"/>
  <c r="W152" i="5"/>
  <c r="Y152" i="5" s="1"/>
  <c r="W149" i="5"/>
  <c r="Y149" i="5" s="1"/>
  <c r="W146" i="5"/>
  <c r="Y146" i="5" s="1"/>
  <c r="W137" i="5"/>
  <c r="Y137" i="5" s="1"/>
  <c r="W129" i="5"/>
  <c r="Y129" i="5" s="1"/>
  <c r="W126" i="5"/>
  <c r="Y126" i="5" s="1"/>
  <c r="W127" i="5"/>
  <c r="Y127" i="5" s="1"/>
  <c r="W121" i="5"/>
  <c r="Y121" i="5" s="1"/>
  <c r="W119" i="5"/>
  <c r="Y119" i="5" s="1"/>
  <c r="W118" i="5"/>
  <c r="Y118" i="5" s="1"/>
  <c r="W114" i="5"/>
  <c r="Y114" i="5" s="1"/>
  <c r="W112" i="5"/>
  <c r="Y112" i="5" s="1"/>
  <c r="W110" i="5"/>
  <c r="Y110" i="5" s="1"/>
  <c r="W104" i="5"/>
  <c r="Y104" i="5" s="1"/>
  <c r="W101" i="5"/>
  <c r="Y101" i="5" s="1"/>
  <c r="W97" i="5"/>
  <c r="Y97" i="5" s="1"/>
  <c r="W93" i="5"/>
  <c r="Y93" i="5" s="1"/>
  <c r="W87" i="5"/>
  <c r="Y87" i="5" s="1"/>
  <c r="W85" i="5"/>
  <c r="Y85" i="5" s="1"/>
  <c r="W81" i="5"/>
  <c r="Y81" i="5" s="1"/>
  <c r="W71" i="5"/>
  <c r="Y71" i="5" s="1"/>
  <c r="W2" i="5"/>
  <c r="Y2" i="5" s="1"/>
  <c r="W68" i="5"/>
  <c r="Y68" i="5" s="1"/>
  <c r="W67" i="5"/>
  <c r="Y67" i="5" s="1"/>
  <c r="W4" i="5"/>
  <c r="Y4" i="5" s="1"/>
  <c r="W16" i="5"/>
  <c r="Y16" i="5" s="1"/>
  <c r="W7" i="5"/>
  <c r="Y7" i="5" s="1"/>
  <c r="W62" i="5"/>
  <c r="Y62" i="5" s="1"/>
  <c r="W58" i="5"/>
  <c r="Y58" i="5" s="1"/>
  <c r="W60" i="5"/>
  <c r="Y60" i="5" s="1"/>
  <c r="W59" i="5"/>
  <c r="Y59" i="5" s="1"/>
  <c r="W53" i="5"/>
  <c r="Y53" i="5" s="1"/>
  <c r="W54" i="5"/>
  <c r="Y54" i="5" s="1"/>
  <c r="W51" i="5"/>
  <c r="Y51" i="5" s="1"/>
  <c r="W48" i="5"/>
  <c r="Y48" i="5" s="1"/>
  <c r="W47" i="5"/>
  <c r="Y47" i="5" s="1"/>
  <c r="W40" i="5"/>
  <c r="Y40" i="5" s="1"/>
  <c r="W42" i="5"/>
  <c r="Y42" i="5" s="1"/>
  <c r="W39" i="5"/>
  <c r="Y39" i="5" s="1"/>
  <c r="W32" i="5"/>
  <c r="Y32" i="5" s="1"/>
  <c r="W31" i="5"/>
  <c r="Y31" i="5" s="1"/>
  <c r="W29" i="5"/>
  <c r="Y29" i="5" s="1"/>
  <c r="W25" i="5"/>
  <c r="Y25" i="5" s="1"/>
  <c r="W28" i="5"/>
  <c r="Y28" i="5" s="1"/>
  <c r="W27" i="5"/>
  <c r="Y27" i="5" s="1"/>
  <c r="W22" i="5"/>
  <c r="Y22" i="5" s="1"/>
  <c r="W147" i="5"/>
  <c r="Y147" i="5" s="1"/>
  <c r="W160" i="5"/>
  <c r="Y160" i="5" s="1"/>
  <c r="W167" i="5"/>
  <c r="Y167" i="5" s="1"/>
  <c r="W175" i="5"/>
  <c r="Y175" i="5" s="1"/>
  <c r="W193" i="5"/>
  <c r="Y193" i="5" s="1"/>
  <c r="W203" i="5"/>
  <c r="Y203" i="5" s="1"/>
  <c r="W219" i="5"/>
  <c r="Y219" i="5" s="1"/>
  <c r="W220" i="5"/>
  <c r="Y220" i="5" s="1"/>
  <c r="W221" i="5"/>
  <c r="Y221" i="5" s="1"/>
  <c r="W222" i="5"/>
  <c r="Y222" i="5" s="1"/>
  <c r="W223" i="5"/>
  <c r="Y223" i="5" s="1"/>
  <c r="W224" i="5"/>
  <c r="Y224" i="5" s="1"/>
  <c r="W183" i="5"/>
  <c r="Y183" i="5" s="1"/>
  <c r="W225" i="5"/>
  <c r="Y225" i="5" s="1"/>
  <c r="W226" i="5"/>
  <c r="Y226" i="5" s="1"/>
  <c r="W228" i="5"/>
  <c r="Y228" i="5" s="1"/>
  <c r="W229" i="5"/>
  <c r="Y229" i="5" s="1"/>
  <c r="W230" i="5"/>
  <c r="Y230" i="5" s="1"/>
  <c r="W254" i="5"/>
  <c r="Y254" i="5" s="1"/>
  <c r="W233" i="5"/>
  <c r="Y233" i="5" s="1"/>
  <c r="W235" i="5"/>
  <c r="Y235" i="5" s="1"/>
  <c r="W236" i="5"/>
  <c r="Y236" i="5" s="1"/>
  <c r="W237" i="5"/>
  <c r="Y237" i="5" s="1"/>
  <c r="W238" i="5"/>
  <c r="Y238" i="5" s="1"/>
  <c r="W239" i="5"/>
  <c r="Y239" i="5" s="1"/>
  <c r="W242" i="5"/>
  <c r="Y242" i="5" s="1"/>
  <c r="W243" i="5"/>
  <c r="Y243" i="5" s="1"/>
  <c r="W227" i="5"/>
  <c r="Y227" i="5" s="1"/>
  <c r="W240" i="5"/>
  <c r="Y240" i="5" s="1"/>
  <c r="W244" i="5"/>
  <c r="Y244" i="5" s="1"/>
  <c r="W247" i="5"/>
  <c r="Y247" i="5" s="1"/>
  <c r="W251" i="5"/>
  <c r="Y251" i="5" s="1"/>
  <c r="W252" i="5"/>
  <c r="Y252" i="5" s="1"/>
  <c r="W249" i="5"/>
  <c r="Y249" i="5" s="1"/>
  <c r="W253" i="5"/>
  <c r="Y253" i="5" s="1"/>
  <c r="W246" i="5"/>
  <c r="Y246" i="5" s="1"/>
  <c r="W245" i="5"/>
  <c r="Y245" i="5" s="1"/>
  <c r="W255" i="5"/>
  <c r="Y255" i="5" s="1"/>
  <c r="W259" i="5"/>
  <c r="Y259" i="5" s="1"/>
  <c r="W260" i="5"/>
  <c r="Y260" i="5" s="1"/>
  <c r="W263" i="5"/>
  <c r="Y263" i="5" s="1"/>
  <c r="W262" i="5"/>
  <c r="Y262" i="5" s="1"/>
  <c r="W264" i="5"/>
  <c r="Y264" i="5" s="1"/>
  <c r="W265" i="5"/>
  <c r="Y265" i="5" s="1"/>
  <c r="W266" i="5"/>
  <c r="Y266" i="5" s="1"/>
  <c r="W267" i="5"/>
  <c r="Y267" i="5" s="1"/>
  <c r="W248" i="5"/>
  <c r="Y248" i="5" s="1"/>
  <c r="W270" i="5"/>
  <c r="Y270" i="5" s="1"/>
  <c r="W271" i="5"/>
  <c r="Y271" i="5" s="1"/>
  <c r="W274" i="5"/>
  <c r="Y274" i="5" s="1"/>
  <c r="W282" i="5"/>
  <c r="Y282" i="5" s="1"/>
  <c r="W280" i="5"/>
  <c r="Y280" i="5" s="1"/>
  <c r="W283" i="5"/>
  <c r="Y283" i="5" s="1"/>
  <c r="W284" i="5"/>
  <c r="Y284" i="5" s="1"/>
  <c r="W286" i="5"/>
  <c r="Y286" i="5" s="1"/>
  <c r="W111" i="5"/>
  <c r="Y111" i="5" s="1"/>
  <c r="W135" i="5"/>
  <c r="Y135" i="5" s="1"/>
  <c r="W153" i="5"/>
  <c r="Y153" i="5" s="1"/>
  <c r="W231" i="5"/>
  <c r="Y231" i="5" s="1"/>
  <c r="W234" i="5"/>
  <c r="Y234" i="5" s="1"/>
  <c r="W241" i="5"/>
  <c r="Y241" i="5" s="1"/>
  <c r="W269" i="5"/>
  <c r="Y269" i="5" s="1"/>
  <c r="W272" i="5"/>
  <c r="Y272" i="5" s="1"/>
  <c r="W294" i="5"/>
  <c r="Y294" i="5" s="1"/>
  <c r="W256" i="5"/>
  <c r="Y256" i="5" s="1"/>
  <c r="W296" i="5"/>
  <c r="Y296" i="5" s="1"/>
  <c r="W298" i="5"/>
  <c r="Y298" i="5" s="1"/>
  <c r="W299" i="5"/>
  <c r="Y299" i="5" s="1"/>
  <c r="W300" i="5"/>
  <c r="Y300" i="5" s="1"/>
  <c r="W301" i="5"/>
  <c r="Y301" i="5" s="1"/>
  <c r="W302" i="5"/>
  <c r="Y302" i="5" s="1"/>
  <c r="W303" i="5"/>
  <c r="Y303" i="5" s="1"/>
  <c r="W306" i="5"/>
  <c r="Y306" i="5" s="1"/>
  <c r="W304" i="5"/>
  <c r="Y304" i="5" s="1"/>
  <c r="W307" i="5"/>
  <c r="Y307" i="5" s="1"/>
  <c r="W309" i="5"/>
  <c r="Y309" i="5" s="1"/>
  <c r="W310" i="5"/>
  <c r="Y310" i="5" s="1"/>
  <c r="W312" i="5"/>
  <c r="Y312" i="5" s="1"/>
  <c r="W275" i="5"/>
  <c r="Y275" i="5" s="1"/>
  <c r="W313" i="5"/>
  <c r="Y313" i="5" s="1"/>
  <c r="W314" i="5"/>
  <c r="Y314" i="5" s="1"/>
  <c r="W315" i="5"/>
  <c r="Y315" i="5" s="1"/>
  <c r="W316" i="5"/>
  <c r="Y316" i="5" s="1"/>
  <c r="W317" i="5"/>
  <c r="Y317" i="5" s="1"/>
  <c r="W320" i="5"/>
  <c r="Y320" i="5" s="1"/>
  <c r="W319" i="5"/>
  <c r="Y319" i="5" s="1"/>
  <c r="W321" i="5"/>
  <c r="Y321" i="5" s="1"/>
  <c r="W322" i="5"/>
  <c r="Y322" i="5" s="1"/>
  <c r="W323" i="5"/>
  <c r="Y323" i="5" s="1"/>
  <c r="W324" i="5"/>
  <c r="Y324" i="5" s="1"/>
  <c r="W326" i="5"/>
  <c r="Y326" i="5" s="1"/>
  <c r="W327" i="5"/>
  <c r="Y327" i="5" s="1"/>
  <c r="W328" i="5"/>
  <c r="Y328" i="5" s="1"/>
  <c r="W329" i="5"/>
  <c r="Y329" i="5" s="1"/>
  <c r="W325" i="5"/>
  <c r="Y325" i="5" s="1"/>
  <c r="W331" i="5"/>
  <c r="Y331" i="5" s="1"/>
  <c r="W330" i="5"/>
  <c r="Y330" i="5" s="1"/>
  <c r="W332" i="5"/>
  <c r="Y332" i="5" s="1"/>
  <c r="W333" i="5"/>
  <c r="Y333" i="5" s="1"/>
  <c r="W334" i="5"/>
  <c r="Y334" i="5" s="1"/>
  <c r="W335" i="5"/>
  <c r="Y335" i="5" s="1"/>
  <c r="W337" i="5"/>
  <c r="Y337" i="5" s="1"/>
  <c r="W336" i="5"/>
  <c r="Y336" i="5" s="1"/>
  <c r="W338" i="5"/>
  <c r="Y338" i="5" s="1"/>
  <c r="W339" i="5"/>
  <c r="Y339" i="5" s="1"/>
  <c r="W340" i="5"/>
  <c r="Y340" i="5" s="1"/>
  <c r="W341" i="5"/>
  <c r="Y341" i="5" s="1"/>
  <c r="W342" i="5"/>
  <c r="Y342" i="5" s="1"/>
  <c r="W343" i="5"/>
  <c r="Y343" i="5" s="1"/>
  <c r="W344" i="5"/>
  <c r="Y344" i="5" s="1"/>
  <c r="W346" i="5"/>
  <c r="Y346" i="5" s="1"/>
  <c r="W372" i="5"/>
  <c r="Y372" i="5" s="1"/>
  <c r="W416" i="5"/>
  <c r="Y416" i="5" s="1"/>
  <c r="W417" i="5"/>
  <c r="Y417" i="5" s="1"/>
  <c r="W418" i="5"/>
  <c r="Y418" i="5" s="1"/>
  <c r="W419" i="5"/>
  <c r="Y419" i="5" s="1"/>
  <c r="W420" i="5"/>
  <c r="Y420" i="5" s="1"/>
  <c r="W421" i="5"/>
  <c r="Y421" i="5" s="1"/>
  <c r="W422" i="5"/>
  <c r="Y422" i="5" s="1"/>
  <c r="W423" i="5"/>
  <c r="Y423" i="5" s="1"/>
  <c r="W424" i="5"/>
  <c r="Y424" i="5" s="1"/>
  <c r="W425" i="5"/>
  <c r="Y425" i="5" s="1"/>
  <c r="W426" i="5"/>
  <c r="Y426" i="5" s="1"/>
  <c r="W427" i="5"/>
  <c r="Y427" i="5" s="1"/>
  <c r="W428" i="5"/>
  <c r="Y428" i="5" s="1"/>
  <c r="W429" i="5"/>
  <c r="Y429" i="5" s="1"/>
  <c r="W430" i="5"/>
  <c r="Y430" i="5" s="1"/>
  <c r="W431" i="5"/>
  <c r="Y431" i="5" s="1"/>
  <c r="W432" i="5"/>
  <c r="Y432" i="5" s="1"/>
  <c r="W433" i="5"/>
  <c r="Y433" i="5" s="1"/>
  <c r="W434" i="5"/>
  <c r="Y434" i="5" s="1"/>
  <c r="W435" i="5"/>
  <c r="Y435" i="5" s="1"/>
  <c r="W436" i="5"/>
  <c r="Y436" i="5" s="1"/>
  <c r="W437" i="5"/>
  <c r="Y437" i="5" s="1"/>
  <c r="W438" i="5"/>
  <c r="Y438" i="5" s="1"/>
  <c r="W439" i="5"/>
  <c r="Y439" i="5" s="1"/>
  <c r="W440" i="5"/>
  <c r="Y440" i="5" s="1"/>
  <c r="W441" i="5"/>
  <c r="Y441" i="5" s="1"/>
  <c r="W442" i="5"/>
  <c r="Y442" i="5" s="1"/>
  <c r="W443" i="5"/>
  <c r="Y443" i="5" s="1"/>
  <c r="W444" i="5"/>
  <c r="Y444" i="5" s="1"/>
  <c r="W445" i="5"/>
  <c r="Y445" i="5" s="1"/>
  <c r="W446" i="5"/>
  <c r="Y446" i="5" s="1"/>
  <c r="W447" i="5"/>
  <c r="Y447" i="5" s="1"/>
  <c r="W448" i="5"/>
  <c r="Y448" i="5" s="1"/>
  <c r="W449" i="5"/>
  <c r="Y449" i="5" s="1"/>
  <c r="W450" i="5"/>
  <c r="Y450" i="5" s="1"/>
  <c r="W451" i="5"/>
  <c r="Y451" i="5" s="1"/>
  <c r="W452" i="5"/>
  <c r="Y452" i="5" s="1"/>
  <c r="W453" i="5"/>
  <c r="Y453" i="5" s="1"/>
  <c r="W454" i="5"/>
  <c r="Y454" i="5" s="1"/>
  <c r="W456" i="5"/>
  <c r="Y456" i="5" s="1"/>
  <c r="W457" i="5"/>
  <c r="Y457" i="5" s="1"/>
  <c r="W458" i="5"/>
  <c r="Y458" i="5" s="1"/>
  <c r="W459" i="5"/>
  <c r="Y459" i="5" s="1"/>
  <c r="W460" i="5"/>
  <c r="Y460" i="5" s="1"/>
  <c r="W461" i="5"/>
  <c r="Y461" i="5" s="1"/>
  <c r="W462" i="5"/>
  <c r="Y462" i="5" s="1"/>
  <c r="W463" i="5"/>
  <c r="Y463" i="5" s="1"/>
  <c r="W464" i="5"/>
  <c r="Y464" i="5" s="1"/>
  <c r="W465" i="5"/>
  <c r="Y465" i="5" s="1"/>
  <c r="W466" i="5"/>
  <c r="Y466" i="5" s="1"/>
  <c r="W467" i="5"/>
  <c r="Y467" i="5" s="1"/>
  <c r="W468" i="5"/>
  <c r="Y468" i="5" s="1"/>
  <c r="W469" i="5"/>
  <c r="Y469" i="5" s="1"/>
  <c r="W470" i="5"/>
  <c r="Y470" i="5" s="1"/>
  <c r="W471" i="5"/>
  <c r="Y471" i="5" s="1"/>
  <c r="W472" i="5"/>
  <c r="Y472" i="5" s="1"/>
  <c r="W473" i="5"/>
  <c r="Y473" i="5" s="1"/>
  <c r="W474" i="5"/>
  <c r="Y474" i="5" s="1"/>
  <c r="W475" i="5"/>
  <c r="Y475" i="5" s="1"/>
  <c r="W476" i="5"/>
  <c r="Y476" i="5" s="1"/>
  <c r="W477" i="5"/>
  <c r="Y477" i="5" s="1"/>
  <c r="W478" i="5"/>
  <c r="Y478" i="5" s="1"/>
  <c r="W479" i="5"/>
  <c r="Y479" i="5" s="1"/>
  <c r="W480" i="5"/>
  <c r="Y480" i="5" s="1"/>
  <c r="W481" i="5"/>
  <c r="Y481" i="5" s="1"/>
  <c r="W482" i="5"/>
  <c r="Y482" i="5" s="1"/>
  <c r="W483" i="5"/>
  <c r="Y483" i="5" s="1"/>
  <c r="W484" i="5"/>
  <c r="Y484" i="5" s="1"/>
  <c r="W485" i="5"/>
  <c r="Y485" i="5" s="1"/>
  <c r="W486" i="5"/>
  <c r="Y486" i="5" s="1"/>
  <c r="W487" i="5"/>
  <c r="Y487" i="5" s="1"/>
  <c r="W488" i="5"/>
  <c r="Y488" i="5" s="1"/>
  <c r="W489" i="5"/>
  <c r="Y489" i="5" s="1"/>
  <c r="W490" i="5"/>
  <c r="Y490" i="5" s="1"/>
  <c r="W491" i="5"/>
  <c r="Y491" i="5" s="1"/>
  <c r="W492" i="5"/>
  <c r="Y492" i="5" s="1"/>
  <c r="W493" i="5"/>
  <c r="Y493" i="5" s="1"/>
  <c r="W494" i="5"/>
  <c r="Y494" i="5" s="1"/>
  <c r="W495" i="5"/>
  <c r="Y495" i="5" s="1"/>
  <c r="W496" i="5"/>
  <c r="Y496" i="5" s="1"/>
  <c r="W497" i="5"/>
  <c r="Y497" i="5" s="1"/>
  <c r="W498" i="5"/>
  <c r="Y498" i="5" s="1"/>
  <c r="W499" i="5"/>
  <c r="Y499" i="5" s="1"/>
  <c r="W500" i="5"/>
  <c r="Y500" i="5" s="1"/>
  <c r="W501" i="5"/>
  <c r="Y501" i="5" s="1"/>
  <c r="W502" i="5"/>
  <c r="Y502" i="5" s="1"/>
  <c r="W503" i="5"/>
  <c r="Y503" i="5" s="1"/>
  <c r="W504" i="5"/>
  <c r="Y504" i="5" s="1"/>
  <c r="W505" i="5"/>
  <c r="Y505" i="5" s="1"/>
  <c r="W506" i="5"/>
  <c r="Y506" i="5" s="1"/>
  <c r="W507" i="5"/>
  <c r="Y507" i="5" s="1"/>
  <c r="W508" i="5"/>
  <c r="Y508" i="5" s="1"/>
  <c r="W509" i="5"/>
  <c r="Y509" i="5" s="1"/>
  <c r="W510" i="5"/>
  <c r="Y510" i="5" s="1"/>
  <c r="W511" i="5"/>
  <c r="Y511" i="5" s="1"/>
  <c r="W512" i="5"/>
  <c r="Y512" i="5" s="1"/>
  <c r="W513" i="5"/>
  <c r="Y513" i="5" s="1"/>
  <c r="W514" i="5"/>
  <c r="Y514" i="5" s="1"/>
  <c r="W515" i="5"/>
  <c r="Y515" i="5" s="1"/>
  <c r="W516" i="5"/>
  <c r="Y516" i="5" s="1"/>
  <c r="W517" i="5"/>
  <c r="Y517" i="5" s="1"/>
  <c r="W518" i="5"/>
  <c r="Y518" i="5" s="1"/>
  <c r="W519" i="5"/>
  <c r="Y519" i="5" s="1"/>
  <c r="W520" i="5"/>
  <c r="Y520" i="5" s="1"/>
  <c r="W521" i="5"/>
  <c r="Y521" i="5" s="1"/>
  <c r="W522" i="5"/>
  <c r="Y522" i="5" s="1"/>
  <c r="W523" i="5"/>
  <c r="Y523" i="5" s="1"/>
  <c r="W524" i="5"/>
  <c r="Y524" i="5" s="1"/>
  <c r="W525" i="5"/>
  <c r="Y525" i="5" s="1"/>
  <c r="W526" i="5"/>
  <c r="Y526" i="5" s="1"/>
  <c r="W527" i="5"/>
  <c r="Y527" i="5" s="1"/>
  <c r="W528" i="5"/>
  <c r="Y528" i="5" s="1"/>
  <c r="W529" i="5"/>
  <c r="Y529" i="5" s="1"/>
  <c r="W530" i="5"/>
  <c r="Y530" i="5" s="1"/>
  <c r="W531" i="5"/>
  <c r="Y531" i="5" s="1"/>
  <c r="W532" i="5"/>
  <c r="Y532" i="5" s="1"/>
  <c r="W533" i="5"/>
  <c r="Y533" i="5" s="1"/>
  <c r="W534" i="5"/>
  <c r="Y534" i="5" s="1"/>
  <c r="W535" i="5"/>
  <c r="Y535" i="5" s="1"/>
  <c r="W536" i="5"/>
  <c r="Y536" i="5" s="1"/>
  <c r="W537" i="5"/>
  <c r="Y537" i="5" s="1"/>
  <c r="W538" i="5"/>
  <c r="Y538" i="5" s="1"/>
  <c r="W539" i="5"/>
  <c r="Y539" i="5" s="1"/>
  <c r="W540" i="5"/>
  <c r="Y540" i="5" s="1"/>
  <c r="W541" i="5"/>
  <c r="Y541" i="5" s="1"/>
  <c r="W542" i="5"/>
  <c r="Y542" i="5" s="1"/>
  <c r="W543" i="5"/>
  <c r="Y543" i="5" s="1"/>
  <c r="W544" i="5"/>
  <c r="Y544" i="5" s="1"/>
  <c r="W545" i="5"/>
  <c r="Y545" i="5" s="1"/>
  <c r="W546" i="5"/>
  <c r="Y546" i="5" s="1"/>
  <c r="W547" i="5"/>
  <c r="Y547" i="5" s="1"/>
  <c r="W548" i="5"/>
  <c r="Y548" i="5" s="1"/>
  <c r="W549" i="5"/>
  <c r="Y549" i="5" s="1"/>
  <c r="W550" i="5"/>
  <c r="Y550" i="5" s="1"/>
  <c r="W551" i="5"/>
  <c r="Y551" i="5" s="1"/>
  <c r="W552" i="5"/>
  <c r="Y552" i="5" s="1"/>
  <c r="W553" i="5"/>
  <c r="Y553" i="5" s="1"/>
  <c r="W554" i="5"/>
  <c r="Y554" i="5" s="1"/>
  <c r="W555" i="5"/>
  <c r="Y555" i="5" s="1"/>
  <c r="W556" i="5"/>
  <c r="Y556" i="5" s="1"/>
  <c r="W557" i="5"/>
  <c r="Y557" i="5" s="1"/>
  <c r="W558" i="5"/>
  <c r="Y558" i="5" s="1"/>
  <c r="W559" i="5"/>
  <c r="Y559" i="5" s="1"/>
  <c r="W560" i="5"/>
  <c r="Y560" i="5" s="1"/>
  <c r="W561" i="5"/>
  <c r="Y561" i="5" s="1"/>
  <c r="W562" i="5"/>
  <c r="Y562" i="5" s="1"/>
  <c r="W563" i="5"/>
  <c r="Y563" i="5" s="1"/>
  <c r="W564" i="5"/>
  <c r="Y564" i="5" s="1"/>
  <c r="W565" i="5"/>
  <c r="Y565" i="5" s="1"/>
  <c r="W566" i="5"/>
  <c r="Y566" i="5" s="1"/>
  <c r="W567" i="5"/>
  <c r="Y567" i="5" s="1"/>
  <c r="W568" i="5"/>
  <c r="Y568" i="5" s="1"/>
  <c r="W569" i="5"/>
  <c r="Y569" i="5" s="1"/>
  <c r="W570" i="5"/>
  <c r="Y570" i="5" s="1"/>
  <c r="W571" i="5"/>
  <c r="Y571" i="5" s="1"/>
  <c r="W572" i="5"/>
  <c r="Y572" i="5" s="1"/>
  <c r="W573" i="5"/>
  <c r="Y573" i="5" s="1"/>
  <c r="W574" i="5"/>
  <c r="Y574" i="5" s="1"/>
  <c r="W575" i="5"/>
  <c r="Y575" i="5" s="1"/>
  <c r="W576" i="5"/>
  <c r="Y576" i="5" s="1"/>
  <c r="W577" i="5"/>
  <c r="Y577" i="5" s="1"/>
  <c r="W578" i="5"/>
  <c r="Y578" i="5" s="1"/>
  <c r="W579" i="5"/>
  <c r="Y579" i="5" s="1"/>
  <c r="W580" i="5"/>
  <c r="Y580" i="5" s="1"/>
  <c r="W581" i="5"/>
  <c r="Y581" i="5" s="1"/>
  <c r="W582" i="5"/>
  <c r="Y582" i="5" s="1"/>
  <c r="W583" i="5"/>
  <c r="Y583" i="5" s="1"/>
  <c r="W584" i="5"/>
  <c r="Y584" i="5" s="1"/>
  <c r="W585" i="5"/>
  <c r="Y585" i="5" s="1"/>
  <c r="W586" i="5"/>
  <c r="Y586" i="5" s="1"/>
  <c r="W587" i="5"/>
  <c r="Y587" i="5" s="1"/>
  <c r="W588" i="5"/>
  <c r="Y588" i="5" s="1"/>
  <c r="W589" i="5"/>
  <c r="Y589" i="5" s="1"/>
  <c r="W590" i="5"/>
  <c r="Y590" i="5" s="1"/>
  <c r="W591" i="5"/>
  <c r="Y591" i="5" s="1"/>
  <c r="W592" i="5"/>
  <c r="Y592" i="5" s="1"/>
  <c r="W593" i="5"/>
  <c r="Y593" i="5" s="1"/>
  <c r="W594" i="5"/>
  <c r="Y594" i="5" s="1"/>
  <c r="W595" i="5"/>
  <c r="Y595" i="5" s="1"/>
  <c r="W596" i="5"/>
  <c r="Y596" i="5" s="1"/>
  <c r="W597" i="5"/>
  <c r="Y597" i="5" s="1"/>
  <c r="W598" i="5"/>
  <c r="Y598" i="5" s="1"/>
  <c r="W599" i="5"/>
  <c r="Y599" i="5" s="1"/>
  <c r="W600" i="5"/>
  <c r="Y600" i="5" s="1"/>
  <c r="W601" i="5"/>
  <c r="Y601" i="5" s="1"/>
  <c r="W602" i="5"/>
  <c r="Y602" i="5" s="1"/>
  <c r="W603" i="5"/>
  <c r="Y603" i="5" s="1"/>
  <c r="W604" i="5"/>
  <c r="Y604" i="5" s="1"/>
  <c r="W605" i="5"/>
  <c r="Y605" i="5" s="1"/>
  <c r="W606" i="5"/>
  <c r="Y606" i="5" s="1"/>
  <c r="W607" i="5"/>
  <c r="Y607" i="5" s="1"/>
  <c r="W608" i="5"/>
  <c r="Y608" i="5" s="1"/>
  <c r="W609" i="5"/>
  <c r="Y609" i="5" s="1"/>
  <c r="W610" i="5"/>
  <c r="Y610" i="5" s="1"/>
  <c r="W611" i="5"/>
  <c r="Y611" i="5" s="1"/>
  <c r="W612" i="5"/>
  <c r="Y612" i="5" s="1"/>
  <c r="W613" i="5"/>
  <c r="Y613" i="5" s="1"/>
  <c r="W614" i="5"/>
  <c r="Y614" i="5" s="1"/>
  <c r="W615" i="5"/>
  <c r="Y615" i="5" s="1"/>
  <c r="W616" i="5"/>
  <c r="Y616" i="5" s="1"/>
  <c r="W617" i="5"/>
  <c r="Y617" i="5" s="1"/>
  <c r="W618" i="5"/>
  <c r="Y618" i="5" s="1"/>
  <c r="W619" i="5"/>
  <c r="Y619" i="5" s="1"/>
  <c r="W620" i="5"/>
  <c r="Y620" i="5" s="1"/>
  <c r="W621" i="5"/>
  <c r="Y621" i="5" s="1"/>
  <c r="W622" i="5"/>
  <c r="Y622" i="5" s="1"/>
  <c r="W623" i="5"/>
  <c r="Y623" i="5" s="1"/>
  <c r="W624" i="5"/>
  <c r="Y624" i="5" s="1"/>
  <c r="W625" i="5"/>
  <c r="Y625" i="5" s="1"/>
  <c r="W626" i="5"/>
  <c r="Y626" i="5" s="1"/>
  <c r="W82" i="5"/>
  <c r="Y82" i="5" s="1"/>
  <c r="W94" i="5"/>
  <c r="Y94" i="5" s="1"/>
  <c r="W103" i="5"/>
  <c r="Y103" i="5" s="1"/>
  <c r="W182" i="5"/>
  <c r="Y182" i="5" s="1"/>
  <c r="W192" i="5"/>
  <c r="Y192" i="5" s="1"/>
  <c r="W202" i="5"/>
  <c r="Y202" i="5" s="1"/>
  <c r="W250" i="5"/>
  <c r="Y250" i="5" s="1"/>
  <c r="W273" i="5"/>
  <c r="Y273" i="5" s="1"/>
  <c r="W281" i="5"/>
  <c r="Y281" i="5" s="1"/>
  <c r="W347" i="5"/>
  <c r="Y347" i="5" s="1"/>
  <c r="W348" i="5"/>
  <c r="Y348" i="5" s="1"/>
  <c r="W349" i="5"/>
  <c r="Y349" i="5" s="1"/>
  <c r="W350" i="5"/>
  <c r="Y350" i="5" s="1"/>
  <c r="W351" i="5"/>
  <c r="Y351" i="5" s="1"/>
  <c r="W455" i="5"/>
  <c r="Y455" i="5" s="1"/>
  <c r="W70" i="5"/>
  <c r="Y70" i="5" s="1"/>
  <c r="W88" i="5"/>
  <c r="Y88" i="5" s="1"/>
  <c r="W185" i="5"/>
  <c r="Y185" i="5" s="1"/>
  <c r="W195" i="5"/>
  <c r="Y195" i="5" s="1"/>
  <c r="W205" i="5"/>
  <c r="Y205" i="5" s="1"/>
  <c r="W170" i="5"/>
  <c r="Y170" i="5" s="1"/>
  <c r="W207" i="5"/>
  <c r="Y207" i="5" s="1"/>
  <c r="X18" i="5"/>
  <c r="W18" i="5"/>
  <c r="W91" i="5"/>
  <c r="Y91" i="5" s="1"/>
  <c r="W105" i="5"/>
  <c r="Y105" i="5" s="1"/>
  <c r="W124" i="5"/>
  <c r="Y124" i="5" s="1"/>
  <c r="W132" i="5"/>
  <c r="Y132" i="5" s="1"/>
  <c r="W141" i="5"/>
  <c r="Y141" i="5" s="1"/>
  <c r="W143" i="5"/>
  <c r="Y143" i="5" s="1"/>
  <c r="W156" i="5"/>
  <c r="Y156" i="5" s="1"/>
  <c r="W163" i="5"/>
  <c r="Y163" i="5" s="1"/>
  <c r="W171" i="5"/>
  <c r="Y171" i="5" s="1"/>
  <c r="W179" i="5"/>
  <c r="Y179" i="5" s="1"/>
  <c r="W188" i="5"/>
  <c r="Y188" i="5" s="1"/>
  <c r="W199" i="5"/>
  <c r="Y199" i="5" s="1"/>
  <c r="W208" i="5"/>
  <c r="Y208" i="5" s="1"/>
  <c r="W217" i="5"/>
  <c r="Y217" i="5" s="1"/>
  <c r="X12" i="5"/>
  <c r="W12" i="5"/>
  <c r="W34" i="5"/>
  <c r="Y34" i="5" s="1"/>
  <c r="W98" i="5"/>
  <c r="Y98" i="5" s="1"/>
  <c r="W106" i="5"/>
  <c r="Y106" i="5" s="1"/>
  <c r="W95" i="5"/>
  <c r="Y95" i="5" s="1"/>
  <c r="W169" i="5"/>
  <c r="Y169" i="5" s="1"/>
  <c r="W177" i="5"/>
  <c r="Y177" i="5" s="1"/>
  <c r="W99" i="5"/>
  <c r="Y99" i="5" s="1"/>
  <c r="W115" i="5"/>
  <c r="Y115" i="5" s="1"/>
  <c r="W155" i="5"/>
  <c r="Y155" i="5" s="1"/>
  <c r="W178" i="5"/>
  <c r="Y178" i="5" s="1"/>
  <c r="X21" i="5"/>
  <c r="W21" i="5"/>
  <c r="W36" i="5"/>
  <c r="Y36" i="5" s="1"/>
  <c r="W56" i="5"/>
  <c r="Y56" i="5" s="1"/>
  <c r="X6" i="5"/>
  <c r="W6" i="5"/>
  <c r="W116" i="5"/>
  <c r="Y116" i="5" s="1"/>
  <c r="X15" i="5"/>
  <c r="W15" i="5"/>
  <c r="X20" i="5"/>
  <c r="W20" i="5"/>
  <c r="W26" i="5"/>
  <c r="Y26" i="5" s="1"/>
  <c r="W37" i="5"/>
  <c r="Y37" i="5" s="1"/>
  <c r="W38" i="5"/>
  <c r="Y38" i="5" s="1"/>
  <c r="W46" i="5"/>
  <c r="Y46" i="5" s="1"/>
  <c r="W57" i="5"/>
  <c r="Y57" i="5" s="1"/>
  <c r="W8" i="5"/>
  <c r="Y8" i="5" s="1"/>
  <c r="W66" i="5"/>
  <c r="Y66" i="5" s="1"/>
  <c r="W77" i="5"/>
  <c r="Y77" i="5" s="1"/>
  <c r="W78" i="5"/>
  <c r="X78" i="5"/>
  <c r="W79" i="5"/>
  <c r="Y79" i="5" s="1"/>
  <c r="W80" i="5"/>
  <c r="Y80" i="5" s="1"/>
  <c r="W92" i="5"/>
  <c r="Y92" i="5" s="1"/>
  <c r="W100" i="5"/>
  <c r="Y100" i="5" s="1"/>
  <c r="W108" i="5"/>
  <c r="Y108" i="5" s="1"/>
  <c r="W117" i="5"/>
  <c r="Y117" i="5" s="1"/>
  <c r="W125" i="5"/>
  <c r="Y125" i="5" s="1"/>
  <c r="W133" i="5"/>
  <c r="Y133" i="5" s="1"/>
  <c r="W144" i="5"/>
  <c r="Y144" i="5" s="1"/>
  <c r="W150" i="5"/>
  <c r="Y150" i="5" s="1"/>
  <c r="W157" i="5"/>
  <c r="Y157" i="5" s="1"/>
  <c r="W164" i="5"/>
  <c r="Y164" i="5" s="1"/>
  <c r="W172" i="5"/>
  <c r="Y172" i="5" s="1"/>
  <c r="W180" i="5"/>
  <c r="Y180" i="5" s="1"/>
  <c r="W189" i="5"/>
  <c r="Y189" i="5" s="1"/>
  <c r="W200" i="5"/>
  <c r="Y200" i="5" s="1"/>
  <c r="W209" i="5"/>
  <c r="Y209" i="5" s="1"/>
  <c r="W3" i="5"/>
  <c r="Y3" i="5" s="1"/>
  <c r="W72" i="5"/>
  <c r="Y72" i="5" s="1"/>
  <c r="W122" i="5"/>
  <c r="Y122" i="5" s="1"/>
  <c r="W215" i="5"/>
  <c r="Y215" i="5" s="1"/>
  <c r="W24" i="5"/>
  <c r="Y24" i="5" s="1"/>
  <c r="W35" i="5"/>
  <c r="Y35" i="5" s="1"/>
  <c r="W44" i="5"/>
  <c r="Y44" i="5" s="1"/>
  <c r="W73" i="5"/>
  <c r="Y73" i="5" s="1"/>
  <c r="W89" i="5"/>
  <c r="Y89" i="5" s="1"/>
  <c r="W142" i="5"/>
  <c r="Y142" i="5" s="1"/>
  <c r="W23" i="5"/>
  <c r="Y23" i="5" s="1"/>
  <c r="W45" i="5"/>
  <c r="Y45" i="5" s="1"/>
  <c r="X76" i="5"/>
  <c r="W76" i="5"/>
  <c r="W90" i="5"/>
  <c r="Y90" i="5" s="1"/>
  <c r="X9" i="5"/>
  <c r="W9" i="5"/>
  <c r="W11" i="5"/>
  <c r="X11" i="5"/>
  <c r="X10" i="5"/>
  <c r="W10" i="5"/>
  <c r="W134" i="5"/>
  <c r="Y134" i="5" s="1"/>
  <c r="W145" i="5"/>
  <c r="Y145" i="5" s="1"/>
  <c r="W151" i="5"/>
  <c r="Y151" i="5" s="1"/>
  <c r="W158" i="5"/>
  <c r="Y158" i="5" s="1"/>
  <c r="W165" i="5"/>
  <c r="Y165" i="5" s="1"/>
  <c r="W173" i="5"/>
  <c r="Y173" i="5" s="1"/>
  <c r="W181" i="5"/>
  <c r="Y181" i="5" s="1"/>
  <c r="W191" i="5"/>
  <c r="Y191" i="5" s="1"/>
  <c r="W201" i="5"/>
  <c r="Y201" i="5" s="1"/>
  <c r="W210" i="5"/>
  <c r="Y210" i="5" s="1"/>
  <c r="W33" i="5"/>
  <c r="Y33" i="5" s="1"/>
  <c r="W43" i="5"/>
  <c r="Y43" i="5" s="1"/>
  <c r="W130" i="5"/>
  <c r="Y130" i="5" s="1"/>
  <c r="W148" i="5"/>
  <c r="Y148" i="5" s="1"/>
  <c r="W64" i="5"/>
  <c r="Y64" i="5" s="1"/>
  <c r="W74" i="5"/>
  <c r="Y74" i="5" s="1"/>
  <c r="W107" i="5"/>
  <c r="Y107" i="5" s="1"/>
  <c r="W139" i="5"/>
  <c r="Y139" i="5" s="1"/>
  <c r="W216" i="5"/>
  <c r="Y216" i="5" s="1"/>
  <c r="X19" i="5"/>
  <c r="W19" i="5"/>
  <c r="W65" i="5"/>
  <c r="Y65" i="5" s="1"/>
  <c r="W75" i="5"/>
  <c r="Y75" i="5" s="1"/>
  <c r="W63" i="5"/>
  <c r="Y63" i="5" s="1"/>
  <c r="W138" i="5"/>
  <c r="Y138" i="5" s="1"/>
  <c r="W154" i="5"/>
  <c r="Y154" i="5" s="1"/>
  <c r="W161" i="5"/>
  <c r="Y161" i="5" s="1"/>
  <c r="W55" i="5"/>
  <c r="Y55" i="5" s="1"/>
  <c r="W123" i="5"/>
  <c r="Y123" i="5" s="1"/>
  <c r="W131" i="5"/>
  <c r="Y131" i="5" s="1"/>
  <c r="W162" i="5"/>
  <c r="Y162" i="5" s="1"/>
  <c r="W186" i="5"/>
  <c r="Y186" i="5" s="1"/>
  <c r="W197" i="5"/>
  <c r="Y197" i="5" s="1"/>
  <c r="W30" i="5"/>
  <c r="Y30" i="5" s="1"/>
  <c r="W41" i="5"/>
  <c r="Y41" i="5" s="1"/>
  <c r="W49" i="5"/>
  <c r="Y49" i="5" s="1"/>
  <c r="W52" i="5"/>
  <c r="Y52" i="5" s="1"/>
  <c r="W61" i="5"/>
  <c r="Y61" i="5" s="1"/>
  <c r="W17" i="5"/>
  <c r="Y17" i="5" s="1"/>
  <c r="W13" i="5"/>
  <c r="X13" i="5"/>
  <c r="W14" i="5"/>
  <c r="X14" i="5"/>
  <c r="W69" i="5"/>
  <c r="Y69" i="5" s="1"/>
  <c r="W83" i="5"/>
  <c r="Y83" i="5" s="1"/>
  <c r="X84" i="5"/>
  <c r="W84" i="5"/>
  <c r="W86" i="5"/>
  <c r="Y86" i="5" s="1"/>
  <c r="W96" i="5"/>
  <c r="Y96" i="5" s="1"/>
  <c r="W102" i="5"/>
  <c r="Y102" i="5" s="1"/>
  <c r="W113" i="5"/>
  <c r="Y113" i="5" s="1"/>
  <c r="W120" i="5"/>
  <c r="Y120" i="5" s="1"/>
  <c r="W128" i="5"/>
  <c r="Y128" i="5" s="1"/>
  <c r="W136" i="5"/>
  <c r="Y136" i="5" s="1"/>
  <c r="W213" i="5"/>
  <c r="Y213" i="5" s="1"/>
  <c r="W352" i="5"/>
  <c r="Y352" i="5" s="1"/>
  <c r="W353" i="5"/>
  <c r="Y353" i="5" s="1"/>
  <c r="W354" i="5"/>
  <c r="Y354" i="5" s="1"/>
  <c r="W355" i="5"/>
  <c r="Y355" i="5" s="1"/>
  <c r="W356" i="5"/>
  <c r="Y356" i="5" s="1"/>
  <c r="W357" i="5"/>
  <c r="Y357" i="5" s="1"/>
  <c r="W358" i="5"/>
  <c r="Y358" i="5" s="1"/>
  <c r="W359" i="5"/>
  <c r="Y359" i="5" s="1"/>
  <c r="W360" i="5"/>
  <c r="Y360" i="5" s="1"/>
  <c r="W361" i="5"/>
  <c r="Y361" i="5" s="1"/>
  <c r="W362" i="5"/>
  <c r="Y362" i="5" s="1"/>
  <c r="W363" i="5"/>
  <c r="Y363" i="5" s="1"/>
  <c r="W364" i="5"/>
  <c r="Y364" i="5" s="1"/>
  <c r="W365" i="5"/>
  <c r="Y365" i="5" s="1"/>
  <c r="W366" i="5"/>
  <c r="Y366" i="5" s="1"/>
  <c r="W367" i="5"/>
  <c r="Y367" i="5" s="1"/>
  <c r="W368" i="5"/>
  <c r="Y368" i="5" s="1"/>
  <c r="W369" i="5"/>
  <c r="Y369" i="5" s="1"/>
  <c r="W370" i="5"/>
  <c r="Y370" i="5" s="1"/>
  <c r="W371" i="5"/>
  <c r="Y371" i="5" s="1"/>
  <c r="W373" i="5"/>
  <c r="Y373" i="5" s="1"/>
  <c r="W374" i="5"/>
  <c r="Y374" i="5" s="1"/>
  <c r="W375" i="5"/>
  <c r="Y375" i="5" s="1"/>
  <c r="W376" i="5"/>
  <c r="Y376" i="5" s="1"/>
  <c r="W377" i="5"/>
  <c r="Y377" i="5" s="1"/>
  <c r="W378" i="5"/>
  <c r="Y378" i="5" s="1"/>
  <c r="W379" i="5"/>
  <c r="Y379" i="5" s="1"/>
  <c r="W380" i="5"/>
  <c r="Y380" i="5" s="1"/>
  <c r="W381" i="5"/>
  <c r="Y381" i="5" s="1"/>
  <c r="W382" i="5"/>
  <c r="Y382" i="5" s="1"/>
  <c r="W383" i="5"/>
  <c r="Y383" i="5" s="1"/>
  <c r="W384" i="5"/>
  <c r="Y384" i="5" s="1"/>
  <c r="W385" i="5"/>
  <c r="Y385" i="5" s="1"/>
  <c r="W386" i="5"/>
  <c r="Y386" i="5" s="1"/>
  <c r="W387" i="5"/>
  <c r="Y387" i="5" s="1"/>
  <c r="W388" i="5"/>
  <c r="Y388" i="5" s="1"/>
  <c r="W389" i="5"/>
  <c r="Y389" i="5" s="1"/>
  <c r="W390" i="5"/>
  <c r="Y390" i="5" s="1"/>
  <c r="W391" i="5"/>
  <c r="Y391" i="5" s="1"/>
  <c r="W392" i="5"/>
  <c r="Y392" i="5" s="1"/>
  <c r="W393" i="5"/>
  <c r="Y393" i="5" s="1"/>
  <c r="W394" i="5"/>
  <c r="Y394" i="5" s="1"/>
  <c r="W395" i="5"/>
  <c r="Y395" i="5" s="1"/>
  <c r="W396" i="5"/>
  <c r="Y396" i="5" s="1"/>
  <c r="W397" i="5"/>
  <c r="Y397" i="5" s="1"/>
  <c r="W398" i="5"/>
  <c r="Y398" i="5" s="1"/>
  <c r="W399" i="5"/>
  <c r="Y399" i="5" s="1"/>
  <c r="W400" i="5"/>
  <c r="Y400" i="5" s="1"/>
  <c r="W401" i="5"/>
  <c r="Y401" i="5" s="1"/>
  <c r="W402" i="5"/>
  <c r="Y402" i="5" s="1"/>
  <c r="W403" i="5"/>
  <c r="Y403" i="5" s="1"/>
  <c r="W404" i="5"/>
  <c r="Y404" i="5" s="1"/>
  <c r="W405" i="5"/>
  <c r="Y405" i="5" s="1"/>
  <c r="W406" i="5"/>
  <c r="Y406" i="5" s="1"/>
  <c r="W407" i="5"/>
  <c r="Y407" i="5" s="1"/>
  <c r="W408" i="5"/>
  <c r="Y408" i="5" s="1"/>
  <c r="W409" i="5"/>
  <c r="Y409" i="5" s="1"/>
  <c r="W410" i="5"/>
  <c r="Y410" i="5" s="1"/>
  <c r="W411" i="5"/>
  <c r="Y411" i="5" s="1"/>
  <c r="W412" i="5"/>
  <c r="Y412" i="5" s="1"/>
  <c r="W413" i="5"/>
  <c r="Y413" i="5" s="1"/>
  <c r="W414" i="5"/>
  <c r="Y414" i="5" s="1"/>
  <c r="W415" i="5"/>
  <c r="Y415" i="5" s="1"/>
  <c r="BA16" i="5"/>
  <c r="AT5" i="5"/>
  <c r="BA6" i="5"/>
  <c r="BA61" i="5"/>
  <c r="BA7" i="5"/>
  <c r="BA5" i="5"/>
  <c r="BA107" i="5"/>
  <c r="BA9" i="5"/>
  <c r="BA11" i="5"/>
  <c r="BA192" i="5"/>
  <c r="BA30" i="5"/>
  <c r="BA134" i="5"/>
  <c r="BA203" i="5"/>
  <c r="BA20" i="5"/>
  <c r="BA56" i="5"/>
  <c r="BA59" i="5"/>
  <c r="BA73" i="5"/>
  <c r="BA75" i="5"/>
  <c r="BA77" i="5"/>
  <c r="BA126" i="5"/>
  <c r="BA174" i="5"/>
  <c r="BA213" i="5"/>
  <c r="BA66" i="5"/>
  <c r="BA89" i="5"/>
  <c r="BA146" i="5"/>
  <c r="BA197" i="5"/>
  <c r="BA41" i="5"/>
  <c r="BA46" i="5"/>
  <c r="BA48" i="5"/>
  <c r="BA57" i="5"/>
  <c r="BA118" i="5"/>
  <c r="BA167" i="5"/>
  <c r="BA19" i="5"/>
  <c r="BA29" i="5"/>
  <c r="BA31" i="5"/>
  <c r="BA85" i="5"/>
  <c r="BA96" i="5"/>
  <c r="BA103" i="5"/>
  <c r="BA147" i="5"/>
  <c r="BA207" i="5"/>
  <c r="BA211" i="5"/>
  <c r="BA23" i="5"/>
  <c r="BA10" i="5"/>
  <c r="BA142" i="5"/>
  <c r="BA178" i="5"/>
  <c r="BA13" i="5"/>
  <c r="BA122" i="5"/>
  <c r="BA138" i="5"/>
  <c r="BA156" i="5"/>
  <c r="BA18" i="5"/>
  <c r="BA14" i="5"/>
  <c r="BA3" i="5"/>
  <c r="BA111" i="5"/>
  <c r="BA99" i="5"/>
  <c r="BA32" i="5"/>
  <c r="BA8" i="5"/>
  <c r="BA159" i="5"/>
  <c r="BA94" i="5"/>
  <c r="BA95" i="5"/>
  <c r="BA127" i="5"/>
  <c r="BA55" i="5"/>
  <c r="BA64" i="5"/>
  <c r="BA81" i="5"/>
  <c r="BA21" i="5"/>
  <c r="BA24" i="5"/>
  <c r="BA38" i="5"/>
  <c r="BA42" i="5"/>
  <c r="BA67" i="5"/>
  <c r="BA78" i="5"/>
  <c r="BA112" i="5"/>
  <c r="BA54" i="5"/>
  <c r="BA2" i="5"/>
  <c r="BA71" i="5"/>
  <c r="BA164" i="5"/>
  <c r="BA58" i="5"/>
  <c r="BA63" i="5"/>
  <c r="BA4" i="5"/>
  <c r="BA72" i="5"/>
  <c r="BA102" i="5"/>
  <c r="BA135" i="5"/>
  <c r="BA141" i="5"/>
  <c r="BA145" i="5"/>
  <c r="BA175" i="5"/>
  <c r="BA40" i="5"/>
  <c r="BA22" i="5"/>
  <c r="BA33" i="5"/>
  <c r="BA53" i="5"/>
  <c r="BA60" i="5"/>
  <c r="BA65" i="5"/>
  <c r="BA74" i="5"/>
  <c r="BA130" i="5"/>
  <c r="BA154" i="5"/>
  <c r="BA86" i="5"/>
  <c r="BA119" i="5"/>
  <c r="BA109" i="5"/>
  <c r="BA161" i="5"/>
  <c r="BA44" i="5"/>
  <c r="BA68" i="5"/>
  <c r="BA169" i="5"/>
  <c r="BA182" i="5"/>
  <c r="BA82" i="5"/>
  <c r="BA91" i="5"/>
  <c r="BA90" i="5"/>
  <c r="BA105" i="5"/>
  <c r="BA115" i="5"/>
  <c r="BA123" i="5"/>
  <c r="BA131" i="5"/>
  <c r="BA139" i="5"/>
  <c r="BA158" i="5"/>
  <c r="BA162" i="5"/>
  <c r="BA165" i="5"/>
  <c r="BA186" i="5"/>
  <c r="BA193" i="5"/>
  <c r="BA144" i="5"/>
  <c r="BA168" i="5"/>
  <c r="BA202" i="5"/>
  <c r="BA34" i="5"/>
  <c r="BA149" i="5"/>
  <c r="BA157" i="5"/>
  <c r="BA25" i="5"/>
  <c r="BA37" i="5"/>
  <c r="BA76" i="5"/>
  <c r="BA12" i="5"/>
  <c r="BA26" i="5"/>
  <c r="BA36" i="5"/>
  <c r="BA160" i="5"/>
  <c r="BA171" i="5"/>
  <c r="BA179" i="5"/>
  <c r="BA188" i="5"/>
  <c r="BA199" i="5"/>
  <c r="BA208" i="5"/>
  <c r="BA15" i="5"/>
  <c r="BA35" i="5"/>
  <c r="BA50" i="5"/>
  <c r="BA62" i="5"/>
  <c r="BA17" i="5"/>
  <c r="BA39" i="5"/>
  <c r="BA47" i="5"/>
  <c r="BA51" i="5"/>
  <c r="BA69" i="5"/>
  <c r="BA148" i="5"/>
  <c r="BA151" i="5"/>
  <c r="BA140" i="5"/>
  <c r="BA172" i="5"/>
  <c r="BA176" i="5"/>
  <c r="BA180" i="5"/>
  <c r="BA184" i="5"/>
  <c r="BA189" i="5"/>
  <c r="BA194" i="5"/>
  <c r="BA200" i="5"/>
  <c r="BA204" i="5"/>
  <c r="BA209" i="5"/>
  <c r="BA45" i="5"/>
  <c r="BA49" i="5"/>
  <c r="W5" i="5"/>
  <c r="Y5" i="5" s="1"/>
  <c r="BA70" i="5"/>
  <c r="BA80" i="5"/>
  <c r="BA84" i="5"/>
  <c r="BA88" i="5"/>
  <c r="BA93" i="5"/>
  <c r="BA98" i="5"/>
  <c r="BA101" i="5"/>
  <c r="BA106" i="5"/>
  <c r="BA110" i="5"/>
  <c r="BA114" i="5"/>
  <c r="BA117" i="5"/>
  <c r="BA121" i="5"/>
  <c r="BA125" i="5"/>
  <c r="BA129" i="5"/>
  <c r="BA133" i="5"/>
  <c r="BA137" i="5"/>
  <c r="BA150" i="5"/>
  <c r="BA153" i="5"/>
  <c r="BA163" i="5"/>
  <c r="BA166" i="5"/>
  <c r="BA170" i="5"/>
  <c r="BA52" i="5"/>
  <c r="BA79" i="5"/>
  <c r="BA83" i="5"/>
  <c r="BA87" i="5"/>
  <c r="BA92" i="5"/>
  <c r="BA97" i="5"/>
  <c r="BA100" i="5"/>
  <c r="BA104" i="5"/>
  <c r="BA108" i="5"/>
  <c r="BA113" i="5"/>
  <c r="BA116" i="5"/>
  <c r="BA120" i="5"/>
  <c r="BA124" i="5"/>
  <c r="BA128" i="5"/>
  <c r="BA132" i="5"/>
  <c r="BA136" i="5"/>
  <c r="BA143" i="5"/>
  <c r="BA152" i="5"/>
  <c r="BA155" i="5"/>
  <c r="BA43" i="5"/>
  <c r="BA173" i="5"/>
  <c r="BA177" i="5"/>
  <c r="BA181" i="5"/>
  <c r="BA185" i="5"/>
  <c r="BA191" i="5"/>
  <c r="BA195" i="5"/>
  <c r="BA201" i="5"/>
  <c r="BA205" i="5"/>
  <c r="BA210" i="5"/>
  <c r="Y287" i="5" l="1"/>
  <c r="Y291" i="5"/>
  <c r="Y289" i="5"/>
  <c r="Y290" i="5"/>
  <c r="Y9" i="5"/>
  <c r="Y6" i="5"/>
  <c r="Y12" i="5"/>
  <c r="Y18" i="5"/>
  <c r="Y10" i="5"/>
  <c r="Y20" i="5"/>
  <c r="Y19" i="5"/>
  <c r="Y78" i="5"/>
  <c r="Y11" i="5"/>
  <c r="Y13" i="5"/>
  <c r="Y76" i="5"/>
  <c r="Y84" i="5"/>
  <c r="Y21" i="5"/>
  <c r="Y15" i="5"/>
  <c r="Y14" i="5"/>
  <c r="C189" i="8" a="1"/>
  <c r="H76" i="8" a="1"/>
  <c r="H82" i="8" a="1"/>
  <c r="H48" i="8" a="1"/>
  <c r="H16" i="8" a="1"/>
  <c r="H38" i="8" a="1"/>
  <c r="H26" i="8" a="1"/>
  <c r="H36" i="8" a="1"/>
  <c r="H45" i="8" a="1"/>
  <c r="H55" i="8" a="1"/>
  <c r="H64" i="8" a="1"/>
  <c r="H74" i="8" a="1"/>
  <c r="H18" i="8" a="1"/>
  <c r="H27" i="8" a="1"/>
  <c r="H37" i="8" a="1"/>
  <c r="H46" i="8" a="1"/>
  <c r="H56" i="8" a="1"/>
  <c r="H66" i="8" a="1"/>
  <c r="H75" i="8" a="1"/>
  <c r="H28" i="8" a="1"/>
  <c r="H57" i="8" a="1"/>
  <c r="H67" i="8" a="1"/>
  <c r="H20" i="8" a="1"/>
  <c r="H30" i="8" a="1"/>
  <c r="H39" i="8" a="1"/>
  <c r="H49" i="8" a="1"/>
  <c r="H58" i="8" a="1"/>
  <c r="H68" i="8" a="1"/>
  <c r="H78" i="8" a="1"/>
  <c r="H12" i="8" a="1"/>
  <c r="H21" i="8" a="1"/>
  <c r="H31" i="8" a="1"/>
  <c r="H40" i="8" a="1"/>
  <c r="H50" i="8" a="1"/>
  <c r="H60" i="8" a="1"/>
  <c r="H69" i="8" a="1"/>
  <c r="H79" i="8" a="1"/>
  <c r="H13" i="8" a="1"/>
  <c r="H22" i="8" a="1"/>
  <c r="H32" i="8" a="1"/>
  <c r="H42" i="8" a="1"/>
  <c r="H51" i="8" a="1"/>
  <c r="H61" i="8" a="1"/>
  <c r="H70" i="8" a="1"/>
  <c r="H80" i="8" a="1"/>
  <c r="H14" i="8" a="1"/>
  <c r="H33" i="8" a="1"/>
  <c r="H43" i="8" a="1"/>
  <c r="H52" i="8" a="1"/>
  <c r="H62" i="8" a="1"/>
  <c r="H72" i="8" a="1"/>
  <c r="H81" i="8" a="1"/>
  <c r="H19" i="8" a="1"/>
  <c r="H24" i="8" a="1"/>
  <c r="H15" i="8" a="1"/>
  <c r="H25" i="8" a="1"/>
  <c r="H34" i="8" a="1"/>
  <c r="H44" i="8" a="1"/>
  <c r="H54" i="8" a="1"/>
  <c r="H63" i="8" a="1"/>
  <c r="H73" i="8" a="1"/>
  <c r="C190" i="8" l="1"/>
  <c r="C189" i="8"/>
  <c r="C188" i="8"/>
  <c r="C187" i="8"/>
  <c r="F181" i="8"/>
  <c r="E181" i="8"/>
  <c r="F180" i="8"/>
  <c r="E180" i="8"/>
  <c r="F179" i="8"/>
  <c r="E179" i="8"/>
  <c r="F178" i="8"/>
  <c r="E178" i="8"/>
  <c r="F177" i="8"/>
  <c r="E177" i="8"/>
  <c r="F175" i="8"/>
  <c r="E175" i="8"/>
  <c r="F174" i="8"/>
  <c r="E174" i="8"/>
  <c r="F173" i="8"/>
  <c r="E173" i="8"/>
  <c r="F172" i="8"/>
  <c r="E172" i="8"/>
  <c r="F171" i="8"/>
  <c r="E171" i="8"/>
  <c r="F169" i="8"/>
  <c r="E169" i="8"/>
  <c r="F168" i="8"/>
  <c r="E168" i="8"/>
  <c r="F167" i="8"/>
  <c r="E167" i="8"/>
  <c r="F166" i="8"/>
  <c r="E166" i="8"/>
  <c r="F165" i="8"/>
  <c r="E165" i="8"/>
  <c r="F163" i="8"/>
  <c r="E163" i="8"/>
  <c r="F162" i="8"/>
  <c r="E162" i="8"/>
  <c r="F161" i="8"/>
  <c r="E161" i="8"/>
  <c r="F160" i="8"/>
  <c r="E160" i="8"/>
  <c r="F159" i="8"/>
  <c r="E159" i="8"/>
  <c r="F157" i="8"/>
  <c r="E157" i="8"/>
  <c r="F156" i="8"/>
  <c r="E156" i="8"/>
  <c r="F155" i="8"/>
  <c r="E155" i="8"/>
  <c r="F154" i="8"/>
  <c r="E154" i="8"/>
  <c r="F153" i="8"/>
  <c r="E153" i="8"/>
  <c r="F151" i="8"/>
  <c r="E151" i="8"/>
  <c r="F150" i="8"/>
  <c r="E150" i="8"/>
  <c r="F149" i="8"/>
  <c r="E149" i="8"/>
  <c r="F148" i="8"/>
  <c r="E148" i="8"/>
  <c r="F147" i="8"/>
  <c r="E147" i="8"/>
  <c r="F145" i="8"/>
  <c r="E145" i="8"/>
  <c r="F144" i="8"/>
  <c r="E144" i="8"/>
  <c r="F143" i="8"/>
  <c r="E143" i="8"/>
  <c r="F142" i="8"/>
  <c r="E142" i="8"/>
  <c r="F141" i="8"/>
  <c r="E141" i="8"/>
  <c r="F139" i="8"/>
  <c r="E139" i="8"/>
  <c r="F138" i="8"/>
  <c r="E138" i="8"/>
  <c r="F137" i="8"/>
  <c r="E137" i="8"/>
  <c r="F136" i="8"/>
  <c r="E136" i="8"/>
  <c r="F135" i="8"/>
  <c r="E135" i="8"/>
  <c r="F133" i="8"/>
  <c r="E133" i="8"/>
  <c r="F132" i="8"/>
  <c r="E132" i="8"/>
  <c r="F131" i="8"/>
  <c r="E131" i="8"/>
  <c r="F130" i="8"/>
  <c r="E130" i="8"/>
  <c r="F129" i="8"/>
  <c r="E129" i="8"/>
  <c r="F127" i="8"/>
  <c r="E127" i="8"/>
  <c r="F126" i="8"/>
  <c r="E126" i="8"/>
  <c r="F125" i="8"/>
  <c r="E125" i="8"/>
  <c r="F124" i="8"/>
  <c r="E124" i="8"/>
  <c r="F123" i="8"/>
  <c r="E123" i="8"/>
  <c r="F121" i="8"/>
  <c r="E121" i="8"/>
  <c r="F120" i="8"/>
  <c r="E120" i="8"/>
  <c r="F119" i="8"/>
  <c r="E119" i="8"/>
  <c r="F118" i="8"/>
  <c r="E118" i="8"/>
  <c r="F117" i="8"/>
  <c r="E117" i="8"/>
  <c r="F115" i="8"/>
  <c r="E115" i="8"/>
  <c r="F114" i="8"/>
  <c r="E114" i="8"/>
  <c r="F113" i="8"/>
  <c r="E113" i="8"/>
  <c r="F112" i="8"/>
  <c r="E112" i="8"/>
  <c r="F111" i="8"/>
  <c r="E111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I92" i="8"/>
  <c r="I91" i="8"/>
  <c r="I90" i="8"/>
  <c r="D90" i="8"/>
  <c r="C90" i="8"/>
  <c r="I89" i="8"/>
  <c r="D89" i="8"/>
  <c r="C89" i="8"/>
  <c r="H88" i="8"/>
  <c r="I88" i="8" s="1" a="1"/>
  <c r="D88" i="8"/>
  <c r="C88" i="8"/>
  <c r="H82" i="8"/>
  <c r="G82" i="8"/>
  <c r="F82" i="8"/>
  <c r="E82" i="8"/>
  <c r="H81" i="8"/>
  <c r="G81" i="8"/>
  <c r="F81" i="8"/>
  <c r="E81" i="8"/>
  <c r="H80" i="8"/>
  <c r="G80" i="8"/>
  <c r="F80" i="8"/>
  <c r="E80" i="8"/>
  <c r="H79" i="8"/>
  <c r="G79" i="8"/>
  <c r="F79" i="8"/>
  <c r="E79" i="8"/>
  <c r="H78" i="8"/>
  <c r="G78" i="8"/>
  <c r="F78" i="8"/>
  <c r="E78" i="8"/>
  <c r="H76" i="8"/>
  <c r="G76" i="8"/>
  <c r="F76" i="8"/>
  <c r="E76" i="8"/>
  <c r="H75" i="8"/>
  <c r="G75" i="8"/>
  <c r="F75" i="8"/>
  <c r="E75" i="8"/>
  <c r="H74" i="8"/>
  <c r="G74" i="8"/>
  <c r="F74" i="8"/>
  <c r="E74" i="8"/>
  <c r="H73" i="8"/>
  <c r="G73" i="8"/>
  <c r="F73" i="8"/>
  <c r="E73" i="8"/>
  <c r="H72" i="8"/>
  <c r="G72" i="8"/>
  <c r="F72" i="8"/>
  <c r="E72" i="8"/>
  <c r="H70" i="8"/>
  <c r="G70" i="8"/>
  <c r="F70" i="8"/>
  <c r="E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4" i="8"/>
  <c r="G64" i="8"/>
  <c r="F64" i="8"/>
  <c r="E64" i="8"/>
  <c r="H63" i="8"/>
  <c r="G63" i="8"/>
  <c r="F63" i="8"/>
  <c r="E63" i="8"/>
  <c r="H62" i="8"/>
  <c r="G62" i="8"/>
  <c r="F62" i="8"/>
  <c r="E62" i="8"/>
  <c r="H61" i="8"/>
  <c r="G61" i="8"/>
  <c r="F61" i="8"/>
  <c r="E61" i="8"/>
  <c r="H60" i="8"/>
  <c r="G60" i="8"/>
  <c r="F60" i="8"/>
  <c r="E60" i="8"/>
  <c r="H58" i="8"/>
  <c r="G58" i="8"/>
  <c r="F58" i="8"/>
  <c r="E58" i="8"/>
  <c r="H57" i="8"/>
  <c r="G57" i="8"/>
  <c r="F57" i="8"/>
  <c r="E57" i="8"/>
  <c r="H56" i="8"/>
  <c r="G56" i="8"/>
  <c r="F56" i="8"/>
  <c r="E56" i="8"/>
  <c r="H55" i="8"/>
  <c r="G55" i="8"/>
  <c r="F55" i="8"/>
  <c r="E55" i="8"/>
  <c r="H54" i="8"/>
  <c r="G54" i="8"/>
  <c r="F54" i="8"/>
  <c r="E54" i="8"/>
  <c r="H52" i="8"/>
  <c r="G52" i="8"/>
  <c r="F52" i="8"/>
  <c r="E52" i="8"/>
  <c r="H51" i="8"/>
  <c r="G51" i="8"/>
  <c r="F51" i="8"/>
  <c r="E51" i="8"/>
  <c r="H50" i="8"/>
  <c r="G50" i="8"/>
  <c r="F50" i="8"/>
  <c r="E50" i="8"/>
  <c r="H49" i="8"/>
  <c r="G49" i="8"/>
  <c r="F49" i="8"/>
  <c r="E49" i="8"/>
  <c r="H48" i="8"/>
  <c r="G48" i="8"/>
  <c r="F48" i="8"/>
  <c r="E48" i="8"/>
  <c r="H46" i="8"/>
  <c r="G46" i="8"/>
  <c r="F46" i="8"/>
  <c r="E46" i="8"/>
  <c r="H45" i="8"/>
  <c r="G45" i="8"/>
  <c r="F45" i="8"/>
  <c r="E45" i="8"/>
  <c r="H44" i="8"/>
  <c r="G44" i="8"/>
  <c r="F44" i="8"/>
  <c r="E44" i="8"/>
  <c r="H43" i="8"/>
  <c r="G43" i="8"/>
  <c r="F43" i="8"/>
  <c r="E43" i="8"/>
  <c r="H42" i="8"/>
  <c r="G42" i="8"/>
  <c r="F42" i="8"/>
  <c r="E42" i="8"/>
  <c r="H40" i="8"/>
  <c r="G40" i="8"/>
  <c r="F40" i="8"/>
  <c r="E40" i="8"/>
  <c r="H39" i="8"/>
  <c r="G39" i="8"/>
  <c r="F39" i="8"/>
  <c r="E39" i="8"/>
  <c r="H38" i="8"/>
  <c r="G38" i="8"/>
  <c r="F38" i="8"/>
  <c r="E38" i="8"/>
  <c r="H37" i="8"/>
  <c r="G37" i="8"/>
  <c r="F37" i="8"/>
  <c r="E37" i="8"/>
  <c r="H36" i="8"/>
  <c r="G36" i="8"/>
  <c r="F36" i="8"/>
  <c r="E36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6" i="8"/>
  <c r="G16" i="8"/>
  <c r="F16" i="8"/>
  <c r="E16" i="8"/>
  <c r="H15" i="8"/>
  <c r="G15" i="8"/>
  <c r="F15" i="8"/>
  <c r="E15" i="8"/>
  <c r="H14" i="8"/>
  <c r="G14" i="8"/>
  <c r="F14" i="8"/>
  <c r="E14" i="8"/>
  <c r="H13" i="8"/>
  <c r="G13" i="8"/>
  <c r="F13" i="8"/>
  <c r="E13" i="8"/>
  <c r="H12" i="8"/>
  <c r="G12" i="8"/>
  <c r="F12" i="8"/>
  <c r="E12" i="8"/>
  <c r="E8" i="8"/>
  <c r="C8" i="8"/>
  <c r="J7" i="8"/>
  <c r="G7" i="8"/>
  <c r="E7" i="8"/>
  <c r="C7" i="8"/>
  <c r="J2" i="8"/>
  <c r="J1" i="8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P237" i="7"/>
  <c r="O237" i="7"/>
  <c r="N237" i="7"/>
  <c r="M237" i="7"/>
  <c r="L237" i="7"/>
  <c r="K237" i="7"/>
  <c r="J237" i="7"/>
  <c r="I237" i="7"/>
  <c r="H237" i="7"/>
  <c r="G237" i="7"/>
  <c r="F237" i="7"/>
  <c r="D237" i="7"/>
  <c r="C237" i="7"/>
  <c r="B222" i="7"/>
  <c r="C219" i="7"/>
  <c r="F212" i="7"/>
  <c r="E212" i="7"/>
  <c r="D212" i="7"/>
  <c r="C212" i="7"/>
  <c r="F211" i="7"/>
  <c r="E211" i="7"/>
  <c r="D211" i="7"/>
  <c r="C211" i="7"/>
  <c r="F210" i="7"/>
  <c r="E210" i="7"/>
  <c r="D210" i="7"/>
  <c r="C210" i="7"/>
  <c r="F209" i="7"/>
  <c r="E209" i="7"/>
  <c r="D209" i="7"/>
  <c r="C209" i="7"/>
  <c r="F208" i="7"/>
  <c r="E208" i="7"/>
  <c r="D208" i="7"/>
  <c r="C208" i="7"/>
  <c r="F204" i="7"/>
  <c r="E204" i="7"/>
  <c r="D204" i="7"/>
  <c r="C204" i="7"/>
  <c r="F203" i="7"/>
  <c r="E203" i="7"/>
  <c r="D203" i="7"/>
  <c r="C203" i="7"/>
  <c r="F202" i="7"/>
  <c r="E202" i="7"/>
  <c r="D202" i="7"/>
  <c r="C202" i="7"/>
  <c r="F201" i="7"/>
  <c r="E201" i="7"/>
  <c r="D201" i="7"/>
  <c r="C201" i="7"/>
  <c r="F200" i="7"/>
  <c r="E200" i="7"/>
  <c r="D200" i="7"/>
  <c r="C200" i="7"/>
  <c r="F196" i="7"/>
  <c r="E196" i="7"/>
  <c r="D196" i="7"/>
  <c r="C196" i="7"/>
  <c r="F195" i="7"/>
  <c r="E195" i="7"/>
  <c r="D195" i="7"/>
  <c r="C195" i="7"/>
  <c r="F194" i="7"/>
  <c r="E194" i="7"/>
  <c r="D194" i="7"/>
  <c r="C194" i="7"/>
  <c r="F193" i="7"/>
  <c r="E193" i="7"/>
  <c r="D193" i="7"/>
  <c r="C193" i="7"/>
  <c r="F192" i="7"/>
  <c r="E192" i="7"/>
  <c r="D192" i="7"/>
  <c r="C192" i="7"/>
  <c r="F188" i="7"/>
  <c r="E188" i="7"/>
  <c r="D188" i="7"/>
  <c r="C188" i="7"/>
  <c r="F187" i="7"/>
  <c r="E187" i="7"/>
  <c r="D187" i="7"/>
  <c r="C187" i="7"/>
  <c r="F186" i="7"/>
  <c r="E186" i="7"/>
  <c r="D186" i="7"/>
  <c r="C186" i="7"/>
  <c r="F185" i="7"/>
  <c r="E185" i="7"/>
  <c r="D185" i="7"/>
  <c r="C185" i="7"/>
  <c r="F184" i="7"/>
  <c r="E184" i="7"/>
  <c r="D184" i="7"/>
  <c r="C184" i="7"/>
  <c r="F180" i="7"/>
  <c r="E180" i="7"/>
  <c r="D180" i="7"/>
  <c r="C180" i="7"/>
  <c r="F179" i="7"/>
  <c r="E179" i="7"/>
  <c r="D179" i="7"/>
  <c r="C179" i="7"/>
  <c r="F178" i="7"/>
  <c r="E178" i="7"/>
  <c r="D178" i="7"/>
  <c r="C178" i="7"/>
  <c r="F177" i="7"/>
  <c r="E177" i="7"/>
  <c r="D177" i="7"/>
  <c r="C177" i="7"/>
  <c r="F176" i="7"/>
  <c r="E176" i="7"/>
  <c r="D176" i="7"/>
  <c r="C176" i="7"/>
  <c r="F172" i="7"/>
  <c r="E172" i="7"/>
  <c r="D172" i="7"/>
  <c r="C172" i="7"/>
  <c r="F171" i="7"/>
  <c r="E171" i="7"/>
  <c r="D171" i="7"/>
  <c r="C171" i="7"/>
  <c r="F170" i="7"/>
  <c r="E170" i="7"/>
  <c r="D170" i="7"/>
  <c r="C170" i="7"/>
  <c r="F169" i="7"/>
  <c r="E169" i="7"/>
  <c r="D169" i="7"/>
  <c r="C169" i="7"/>
  <c r="F168" i="7"/>
  <c r="E168" i="7"/>
  <c r="D168" i="7"/>
  <c r="C168" i="7"/>
  <c r="F164" i="7"/>
  <c r="E164" i="7"/>
  <c r="D164" i="7"/>
  <c r="C164" i="7"/>
  <c r="F163" i="7"/>
  <c r="E163" i="7"/>
  <c r="D163" i="7"/>
  <c r="C163" i="7"/>
  <c r="F162" i="7"/>
  <c r="E162" i="7"/>
  <c r="D162" i="7"/>
  <c r="C162" i="7"/>
  <c r="F161" i="7"/>
  <c r="E161" i="7"/>
  <c r="D161" i="7"/>
  <c r="C161" i="7"/>
  <c r="F160" i="7"/>
  <c r="E160" i="7"/>
  <c r="D160" i="7"/>
  <c r="C160" i="7"/>
  <c r="F156" i="7"/>
  <c r="E156" i="7"/>
  <c r="D156" i="7"/>
  <c r="C156" i="7"/>
  <c r="F155" i="7"/>
  <c r="E155" i="7"/>
  <c r="D155" i="7"/>
  <c r="C155" i="7"/>
  <c r="F154" i="7"/>
  <c r="E154" i="7"/>
  <c r="D154" i="7"/>
  <c r="C154" i="7"/>
  <c r="F153" i="7"/>
  <c r="E153" i="7"/>
  <c r="D153" i="7"/>
  <c r="C153" i="7"/>
  <c r="F152" i="7"/>
  <c r="E152" i="7"/>
  <c r="D152" i="7"/>
  <c r="C152" i="7"/>
  <c r="D146" i="7"/>
  <c r="C146" i="7"/>
  <c r="B139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B116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B103" i="7"/>
  <c r="F97" i="7"/>
  <c r="E97" i="7"/>
  <c r="F96" i="7"/>
  <c r="E96" i="7"/>
  <c r="F95" i="7"/>
  <c r="E95" i="7"/>
  <c r="F94" i="7"/>
  <c r="E94" i="7"/>
  <c r="F93" i="7"/>
  <c r="E93" i="7"/>
  <c r="F91" i="7"/>
  <c r="E91" i="7"/>
  <c r="F90" i="7"/>
  <c r="E90" i="7"/>
  <c r="F89" i="7"/>
  <c r="E89" i="7"/>
  <c r="F88" i="7"/>
  <c r="E88" i="7"/>
  <c r="F87" i="7"/>
  <c r="E87" i="7"/>
  <c r="F85" i="7"/>
  <c r="E85" i="7"/>
  <c r="F84" i="7"/>
  <c r="E84" i="7"/>
  <c r="F83" i="7"/>
  <c r="E83" i="7"/>
  <c r="F82" i="7"/>
  <c r="E82" i="7"/>
  <c r="F81" i="7"/>
  <c r="E81" i="7"/>
  <c r="F79" i="7"/>
  <c r="E79" i="7"/>
  <c r="F78" i="7"/>
  <c r="E78" i="7"/>
  <c r="F77" i="7"/>
  <c r="E77" i="7"/>
  <c r="F76" i="7"/>
  <c r="E76" i="7"/>
  <c r="F75" i="7"/>
  <c r="E75" i="7"/>
  <c r="F73" i="7"/>
  <c r="E73" i="7"/>
  <c r="F72" i="7"/>
  <c r="E72" i="7"/>
  <c r="F71" i="7"/>
  <c r="E71" i="7"/>
  <c r="F70" i="7"/>
  <c r="E70" i="7"/>
  <c r="F69" i="7"/>
  <c r="E69" i="7"/>
  <c r="F67" i="7"/>
  <c r="E67" i="7"/>
  <c r="F66" i="7"/>
  <c r="E66" i="7"/>
  <c r="F65" i="7"/>
  <c r="E65" i="7"/>
  <c r="F64" i="7"/>
  <c r="E64" i="7"/>
  <c r="F63" i="7"/>
  <c r="E63" i="7"/>
  <c r="F61" i="7"/>
  <c r="E61" i="7"/>
  <c r="F60" i="7"/>
  <c r="E60" i="7"/>
  <c r="F59" i="7"/>
  <c r="E59" i="7"/>
  <c r="F58" i="7"/>
  <c r="E58" i="7"/>
  <c r="F57" i="7"/>
  <c r="E57" i="7"/>
  <c r="F55" i="7"/>
  <c r="E55" i="7"/>
  <c r="F54" i="7"/>
  <c r="E54" i="7"/>
  <c r="F53" i="7"/>
  <c r="E53" i="7"/>
  <c r="F52" i="7"/>
  <c r="E52" i="7"/>
  <c r="F51" i="7"/>
  <c r="E51" i="7"/>
  <c r="F49" i="7"/>
  <c r="E49" i="7"/>
  <c r="F48" i="7"/>
  <c r="E48" i="7"/>
  <c r="F47" i="7"/>
  <c r="E47" i="7"/>
  <c r="F46" i="7"/>
  <c r="E46" i="7"/>
  <c r="F45" i="7"/>
  <c r="E45" i="7"/>
  <c r="F43" i="7"/>
  <c r="E43" i="7"/>
  <c r="F42" i="7"/>
  <c r="E42" i="7"/>
  <c r="F41" i="7"/>
  <c r="E41" i="7"/>
  <c r="F40" i="7"/>
  <c r="E40" i="7"/>
  <c r="F39" i="7"/>
  <c r="E39" i="7"/>
  <c r="F37" i="7"/>
  <c r="E37" i="7"/>
  <c r="F36" i="7"/>
  <c r="E36" i="7"/>
  <c r="F35" i="7"/>
  <c r="E35" i="7"/>
  <c r="F34" i="7"/>
  <c r="E34" i="7"/>
  <c r="F33" i="7"/>
  <c r="E33" i="7"/>
  <c r="F31" i="7"/>
  <c r="E31" i="7"/>
  <c r="F30" i="7"/>
  <c r="E30" i="7"/>
  <c r="F29" i="7"/>
  <c r="E29" i="7"/>
  <c r="F28" i="7"/>
  <c r="E28" i="7"/>
  <c r="F27" i="7"/>
  <c r="E27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E7" i="7"/>
  <c r="C7" i="7"/>
  <c r="E86" i="7" l="1"/>
  <c r="C222" i="7" a="1"/>
  <c r="L231" i="7" s="1"/>
  <c r="G8" i="8"/>
  <c r="G29" i="8"/>
  <c r="G41" i="8"/>
  <c r="G65" i="8"/>
  <c r="G77" i="8"/>
  <c r="G53" i="8"/>
  <c r="G35" i="8" s="1"/>
  <c r="G17" i="8" s="1"/>
  <c r="E50" i="7"/>
  <c r="E22" i="7"/>
  <c r="E21" i="7" s="1"/>
  <c r="E20" i="7" s="1"/>
  <c r="E19" i="7" s="1"/>
  <c r="E18" i="7" s="1"/>
  <c r="E17" i="7" s="1"/>
  <c r="E16" i="7" s="1"/>
  <c r="E15" i="7" s="1"/>
  <c r="E14" i="7" s="1"/>
  <c r="E13" i="7" s="1"/>
  <c r="E12" i="7" s="1"/>
  <c r="G7" i="7" s="1"/>
  <c r="F50" i="7"/>
  <c r="F74" i="7"/>
  <c r="F98" i="7"/>
  <c r="C23" i="7"/>
  <c r="D188" i="8"/>
  <c r="E74" i="7"/>
  <c r="F83" i="8"/>
  <c r="K246" i="7"/>
  <c r="E246" i="7"/>
  <c r="N246" i="7"/>
  <c r="E38" i="7"/>
  <c r="E62" i="7"/>
  <c r="F38" i="7"/>
  <c r="F62" i="7"/>
  <c r="F86" i="7"/>
  <c r="G23" i="8"/>
  <c r="G47" i="8"/>
  <c r="G59" i="8"/>
  <c r="G71" i="8"/>
  <c r="G83" i="8"/>
  <c r="E44" i="7"/>
  <c r="E68" i="7"/>
  <c r="E92" i="7"/>
  <c r="E146" i="7"/>
  <c r="F44" i="7"/>
  <c r="F32" i="7" s="1"/>
  <c r="F68" i="7"/>
  <c r="F92" i="7"/>
  <c r="E98" i="7"/>
  <c r="E134" i="7"/>
  <c r="E133" i="7" s="1"/>
  <c r="E132" i="7" s="1"/>
  <c r="E131" i="7" s="1"/>
  <c r="E130" i="7" s="1"/>
  <c r="E134" i="8"/>
  <c r="E158" i="8"/>
  <c r="E32" i="7"/>
  <c r="E56" i="7"/>
  <c r="E80" i="7"/>
  <c r="D139" i="7" a="1"/>
  <c r="D139" i="7" s="1"/>
  <c r="C139" i="7" a="1"/>
  <c r="C139" i="7" s="1"/>
  <c r="D187" i="8"/>
  <c r="D23" i="7"/>
  <c r="E11" i="7"/>
  <c r="F56" i="7"/>
  <c r="F80" i="7"/>
  <c r="D116" i="7" a="1"/>
  <c r="D116" i="7" s="1"/>
  <c r="C116" i="7" a="1"/>
  <c r="C116" i="7" s="1"/>
  <c r="D246" i="7"/>
  <c r="D107" i="8"/>
  <c r="F116" i="8"/>
  <c r="F140" i="8"/>
  <c r="I88" i="8"/>
  <c r="J88" i="8" s="1"/>
  <c r="E129" i="7" s="1"/>
  <c r="E128" i="7" s="1"/>
  <c r="E127" i="7" s="1"/>
  <c r="E126" i="7" s="1"/>
  <c r="E125" i="7" s="1"/>
  <c r="E124" i="7" s="1"/>
  <c r="E123" i="7" s="1"/>
  <c r="E122" i="7" s="1"/>
  <c r="E121" i="7" s="1"/>
  <c r="E120" i="7" s="1"/>
  <c r="E119" i="7" s="1"/>
  <c r="E118" i="7" s="1"/>
  <c r="E117" i="7" s="1"/>
  <c r="E111" i="7" s="1"/>
  <c r="E110" i="7" s="1"/>
  <c r="E109" i="7" s="1"/>
  <c r="E108" i="7" s="1"/>
  <c r="E107" i="7" s="1"/>
  <c r="E106" i="7" s="1"/>
  <c r="E105" i="7" s="1"/>
  <c r="E104" i="7" s="1"/>
  <c r="J92" i="8"/>
  <c r="J91" i="8"/>
  <c r="E23" i="8"/>
  <c r="H23" i="8"/>
  <c r="H35" i="8"/>
  <c r="E35" i="8"/>
  <c r="H47" i="8"/>
  <c r="E47" i="8"/>
  <c r="E59" i="8"/>
  <c r="H59" i="8"/>
  <c r="H71" i="8"/>
  <c r="E71" i="8"/>
  <c r="E83" i="8"/>
  <c r="H83" i="8"/>
  <c r="F77" i="8"/>
  <c r="F71" i="8" s="1"/>
  <c r="F59" i="8" s="1"/>
  <c r="F53" i="8" s="1"/>
  <c r="F47" i="8" s="1"/>
  <c r="F41" i="8" s="1"/>
  <c r="F35" i="8" s="1"/>
  <c r="F29" i="8" s="1"/>
  <c r="F23" i="8" s="1"/>
  <c r="F17" i="8" s="1"/>
  <c r="J89" i="8"/>
  <c r="E17" i="8"/>
  <c r="H17" i="8"/>
  <c r="H29" i="8"/>
  <c r="E29" i="8"/>
  <c r="E41" i="8"/>
  <c r="H41" i="8"/>
  <c r="H53" i="8"/>
  <c r="E53" i="8"/>
  <c r="H65" i="8"/>
  <c r="E65" i="8"/>
  <c r="E77" i="8"/>
  <c r="H77" i="8"/>
  <c r="F65" i="8"/>
  <c r="J90" i="8"/>
  <c r="J246" i="7"/>
  <c r="I246" i="7" s="1"/>
  <c r="F246" i="7" s="1"/>
  <c r="D91" i="8"/>
  <c r="F128" i="8"/>
  <c r="F152" i="8"/>
  <c r="F176" i="8"/>
  <c r="E182" i="8"/>
  <c r="C246" i="7"/>
  <c r="L246" i="7"/>
  <c r="F134" i="8"/>
  <c r="F158" i="8"/>
  <c r="F182" i="8"/>
  <c r="C107" i="8"/>
  <c r="E101" i="8" s="1"/>
  <c r="E116" i="8"/>
  <c r="E140" i="8"/>
  <c r="E164" i="8"/>
  <c r="M246" i="7"/>
  <c r="F164" i="8"/>
  <c r="G246" i="7"/>
  <c r="E122" i="8"/>
  <c r="E146" i="8"/>
  <c r="E170" i="8"/>
  <c r="O246" i="7"/>
  <c r="H246" i="7"/>
  <c r="P246" i="7"/>
  <c r="F122" i="8"/>
  <c r="F146" i="8"/>
  <c r="F170" i="8"/>
  <c r="C91" i="8"/>
  <c r="E91" i="8" s="1"/>
  <c r="E128" i="8"/>
  <c r="E152" i="8"/>
  <c r="E176" i="8"/>
  <c r="D103" i="7" a="1"/>
  <c r="D103" i="7" s="1"/>
  <c r="D112" i="7" s="1"/>
  <c r="C103" i="7" a="1"/>
  <c r="C103" i="7" s="1"/>
  <c r="P231" i="7" l="1"/>
  <c r="I231" i="7"/>
  <c r="D231" i="7"/>
  <c r="N231" i="7"/>
  <c r="H231" i="7"/>
  <c r="M231" i="7"/>
  <c r="C222" i="7"/>
  <c r="C231" i="7" s="1"/>
  <c r="E231" i="7"/>
  <c r="G231" i="7"/>
  <c r="C221" i="7" s="1" a="1"/>
  <c r="C221" i="7" s="1"/>
  <c r="O231" i="7"/>
  <c r="F231" i="7"/>
  <c r="K231" i="7"/>
  <c r="J231" i="7"/>
  <c r="E23" i="7"/>
  <c r="G84" i="8"/>
  <c r="E105" i="8"/>
  <c r="E96" i="8"/>
  <c r="E103" i="8"/>
  <c r="E90" i="8"/>
  <c r="F99" i="7"/>
  <c r="C135" i="7"/>
  <c r="E135" i="7" s="1"/>
  <c r="E116" i="7"/>
  <c r="E99" i="7"/>
  <c r="E106" i="8"/>
  <c r="E102" i="8"/>
  <c r="F84" i="8"/>
  <c r="F183" i="8"/>
  <c r="D135" i="7" s="1"/>
  <c r="E84" i="8"/>
  <c r="H84" i="8"/>
  <c r="E183" i="8"/>
  <c r="E95" i="8"/>
  <c r="E107" i="8"/>
  <c r="E97" i="8"/>
  <c r="E104" i="8"/>
  <c r="E99" i="8"/>
  <c r="E88" i="8"/>
  <c r="E89" i="8"/>
  <c r="E100" i="8"/>
  <c r="E98" i="8"/>
  <c r="E103" i="7"/>
  <c r="E139" i="7" s="1" a="1"/>
  <c r="E139" i="7" s="1"/>
  <c r="C112" i="7"/>
  <c r="E1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tc={03E43738-A40B-4586-91E8-289C1B2C6968}</author>
    <author>Bruno Matheus</author>
    <author>tc={1E786413-5586-4671-9AFB-713BC6AC0199}</author>
    <author>tc={EC6D3763-EF96-430B-8FEB-4AFB6A3F20A6}</author>
    <author>tc={D989DD4E-00F9-4528-B132-16D833507A2C}</author>
    <author>tc={B6E03D18-38F6-4388-824E-D14EBF0A87D5}</author>
    <author>tc={E9D9DCE0-8D39-4CDD-B6A4-B997A9EBC44A}</author>
    <author>tc={54A48704-4BA8-4D00-9170-C3A614C4DE31}</author>
    <author>tc={4EEA14E4-86B3-4FFF-B164-B90C2909072D}</author>
    <author>tc={B9E03057-AD62-4CA9-8E40-307EE4853F1B}</author>
    <author>tc={9230CEA7-5927-4021-9BEC-EA0FB0829669}</author>
    <author>tc={95655931-5FD5-4C9A-9136-49B4F2F8EABE}</author>
    <author>tc={645B2816-3DF1-4170-BA7F-3022DD9809A3}</author>
    <author>tc={88B4F4C9-1678-476E-B02E-A41FDCBD7FED}</author>
    <author>tc={4D0167A6-3952-4B76-A175-6CDCC4CE2767}</author>
    <author>tc={C4E062DC-6D1B-4B7E-8118-7203B61A9298}</author>
    <author>tc={00529547-E66B-4996-BECC-7B76681F3D33}</author>
    <author>tc={0BE58D25-9AB6-4F02-9E3E-A9E6967BA28B}</author>
    <author>tc={9D033C1D-FB12-460F-AF69-ACACB57542A8}</author>
    <author>tc={7810B9DE-8C58-487D-B317-A2E7D5E54053}</author>
    <author>tc={2C134721-61F5-4B46-A2B6-DC541A5E58CC}</author>
    <author>tc={CC57861B-587F-4B70-9D8D-66687CAEB1C1}</author>
    <author>tc={55F7FF40-86B1-4FD8-8E70-8A256329F84D}</author>
    <author>tc={300C450C-2D3C-48A4-AAAD-C078373E5060}</author>
    <author>tc={6B955C3B-6DD4-451C-B3A5-9071ADC1E1EB}</author>
    <author>tc={66E13C51-7A01-4730-8E0E-A3A0E59F9198}</author>
  </authors>
  <commentList>
    <comment ref="AF3" authorId="0" shapeId="0" xr:uid="{28DABA36-37D4-4F99-9E21-AB7101FFD744}">
      <text>
        <r>
          <rPr>
            <b/>
            <sz val="9"/>
            <color indexed="81"/>
            <rFont val="Segoe UI"/>
            <family val="2"/>
          </rPr>
          <t>PV 400   COLETADO DIA 26/03  HSC-MG DN1 1/2"</t>
        </r>
      </text>
    </comment>
    <comment ref="AJ3" authorId="1" shapeId="0" xr:uid="{03E43738-A40B-4586-91E8-289C1B2C69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Cte/fatura emitida em Março. </t>
      </text>
    </comment>
    <comment ref="AH9" authorId="2" shapeId="0" xr:uid="{A8E65E89-DB61-4388-9BBA-2B8EF606AAA2}">
      <text>
        <r>
          <rPr>
            <sz val="9"/>
            <color indexed="81"/>
            <rFont val="Segoe UI"/>
            <family val="2"/>
          </rPr>
          <t xml:space="preserve">
OT: 140
ROTA SUDESTE
BAKER
TRIDENT
ETC....
</t>
        </r>
      </text>
    </comment>
    <comment ref="AI9" authorId="2" shapeId="0" xr:uid="{E9964166-F4BE-493C-94A9-43A0E38024C7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J9" authorId="2" shapeId="0" xr:uid="{CD3C1407-AED9-4B58-978D-3518717E358B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O18" authorId="3" shapeId="0" xr:uid="{1E786413-5586-4671-9AFB-713BC6AC01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entrega possui agendamento, com data disponível apenas em 23/01/2026.</t>
      </text>
    </comment>
    <comment ref="G19" authorId="4" shapeId="0" xr:uid="{EC6D3763-EF96-430B-8FEB-4AFB6A3F20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Estamos aguardando o pedido revisado com o CNPJ correto.</t>
      </text>
    </comment>
    <comment ref="AF19" authorId="5" shapeId="0" xr:uid="{D989DD4E-00F9-4528-B132-16D833507A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7259 RECUSA DE RECEBIMENTO EM 16 01  CNPJ DIVERGENTE
Responder:
    Meisner   levou em 23/03/2026</t>
      </text>
    </comment>
    <comment ref="AO24" authorId="6" shapeId="0" xr:uid="{B6E03D18-38F6-4388-824E-D14EBF0A87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entrega possui agendamento, com data disponível apenas em 21/01/2026.</t>
      </text>
    </comment>
    <comment ref="G42" authorId="7" shapeId="0" xr:uid="{E9D9DCE0-8D39-4CDD-B6A4-B997A9EBC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duplicado para troca de NFe.</t>
      </text>
    </comment>
    <comment ref="AD42" authorId="8" shapeId="0" xr:uid="{54A48704-4BA8-4D00-9170-C3A614C4DE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NFe anterior 7382.</t>
      </text>
    </comment>
    <comment ref="G60" authorId="9" shapeId="0" xr:uid="{4EEA14E4-86B3-4FFF-B164-B90C290907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Considerar a data de entrega acordada via e-mail com o cliente e não o pedido oficial. </t>
      </text>
    </comment>
    <comment ref="AJ60" authorId="10" shapeId="0" xr:uid="{B9E03057-AD62-4CA9-8E40-307EE4853F1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Cte/fatura emitida em Fevereiro. </t>
      </text>
    </comment>
    <comment ref="AF62" authorId="11" shapeId="0" xr:uid="{9230CEA7-5927-4021-9BEC-EA0FB08296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BETO LEVOU ATÉ A TRANSPORTADORA 09/02  TECNOLOG somente esta nota, a NF7326 FICOU NA EXPEDIÇÃO aguardando coleta pela TECNOLOG?</t>
      </text>
    </comment>
    <comment ref="AD64" authorId="12" shapeId="0" xr:uid="{95655931-5FD5-4C9A-9136-49B4F2F8EA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NFe em substituição a nota 7326.</t>
      </text>
    </comment>
    <comment ref="AF66" authorId="13" shapeId="0" xr:uid="{645B2816-3DF1-4170-BA7F-3022DD9809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4pipe</t>
      </text>
    </comment>
    <comment ref="AG70" authorId="14" shapeId="0" xr:uid="{88B4F4C9-1678-476E-B02E-A41FDCBD7F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alterado para modalidade FOB devido a necessidade do cliente.</t>
      </text>
    </comment>
    <comment ref="AG73" authorId="15" shapeId="0" xr:uid="{4D0167A6-3952-4B76-A175-6CDCC4CE27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alterado para modalidade FOB devido a necessidade do cliente.</t>
      </text>
    </comment>
    <comment ref="AG76" authorId="16" shapeId="0" xr:uid="{C4E062DC-6D1B-4B7E-8118-7203B61A92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CIF, alterado para FOB. </t>
      </text>
    </comment>
    <comment ref="I81" authorId="17" shapeId="0" xr:uid="{00529547-E66B-4996-BECC-7B76681F3D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02/03 - ALTERADO NO PEDIDO PARA 10/03 PELO COMERCIAL NO DIA 23/03 ATRAVES DE EMAIL</t>
      </text>
    </comment>
    <comment ref="T81" authorId="18" shapeId="0" xr:uid="{0BE58D25-9AB6-4F02-9E3E-A9E6967BA28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20/02
REV 24/02 = 26/02
</t>
      </text>
    </comment>
    <comment ref="AF83" authorId="19" shapeId="0" xr:uid="{9D033C1D-FB12-460F-AF69-ACACB57542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4pipe</t>
      </text>
    </comment>
    <comment ref="T86" authorId="20" shapeId="0" xr:uid="{7810B9DE-8C58-487D-B317-A2E7D5E540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20/02
REV 24/02 = 26/02
</t>
      </text>
    </comment>
    <comment ref="AF86" authorId="21" shapeId="0" xr:uid="{2C134721-61F5-4B46-A2B6-DC541A5E58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RODONAVES NÃO COLETOU (27/02  CIF) VISTO MATERIAL NÃO ESTAR PRONTO NA EXPEDIÇÃO     somente coletou o PV 308     ENTREGA CIF</t>
      </text>
    </comment>
    <comment ref="AF109" authorId="0" shapeId="0" xr:uid="{8F2356A9-B88B-491F-B0A7-B8D97CD1F20A}">
      <text>
        <r>
          <rPr>
            <b/>
            <sz val="9"/>
            <color indexed="81"/>
            <rFont val="Segoe UI"/>
            <family val="2"/>
          </rPr>
          <t>MEISNER LEVOU ATÉ TRANSPORTADRA  19/03/2026</t>
        </r>
      </text>
    </comment>
    <comment ref="AF130" authorId="22" shapeId="0" xr:uid="{CC57861B-587F-4B70-9D8D-66687CAEB1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PRIMEIRO ENVIO DIA 13/03
Responder:
    SEGUNDO ENVIO DIA 31/03 (BETO)
Responder:
    TERCEIRO ENVIO DIA 01/04 (BETO)</t>
      </text>
    </comment>
    <comment ref="AF151" authorId="23" shapeId="0" xr:uid="{55F7FF40-86B1-4FD8-8E70-8A256329F8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LEVOU NA TRANSP EM SP</t>
      </text>
    </comment>
    <comment ref="AF259" authorId="24" shapeId="0" xr:uid="{300C450C-2D3C-48A4-AAAD-C078373E50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2º envio dia 12 de junho 2026</t>
      </text>
    </comment>
    <comment ref="I328" authorId="2" shapeId="0" xr:uid="{CE9B6B76-AC94-43EF-B660-E7CF4874C72E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ver de 20/07 para 23/07alinhamento pcp x comercial 17/07
</t>
        </r>
      </text>
    </comment>
    <comment ref="I355" authorId="25" shapeId="0" xr:uid="{6B955C3B-6DD4-451C-B3A5-9071ADC1E1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Revisar a partir de 20/07 - alinhamento engenhaeria e comercial (elder)</t>
      </text>
    </comment>
    <comment ref="I358" authorId="26" shapeId="0" xr:uid="{66E13C51-7A01-4730-8E0E-A3A0E59F91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acordada para entrega de 03/08 para 04/08 no cliente, entre jose carlos e cliente. Devido a volta de férias coletiva Danfoss e tambem devido a instabilidade Totvs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<sst xmlns="http://schemas.openxmlformats.org/spreadsheetml/2006/main" count="8029" uniqueCount="1231">
  <si>
    <t>CLIENTE</t>
  </si>
  <si>
    <t>VENDEDOR</t>
  </si>
  <si>
    <t>TIPO
DE PEDIDO</t>
  </si>
  <si>
    <t>CONTRATO</t>
  </si>
  <si>
    <t>PEDIDO COMPRA 
CLIENTE</t>
  </si>
  <si>
    <t>PROPOSTA</t>
  </si>
  <si>
    <t>Nº PEDIDO
TOTVS</t>
  </si>
  <si>
    <t>DATA 
INCLUSÃO
PEDIDO</t>
  </si>
  <si>
    <t>DATA
SOLICITADA
ENTREGA</t>
  </si>
  <si>
    <t>PRAZO TOTAL
(DIAS CORRIDOS)</t>
  </si>
  <si>
    <t>MODALIDADE
FRETE</t>
  </si>
  <si>
    <t>PAIS</t>
  </si>
  <si>
    <t>ESTADO</t>
  </si>
  <si>
    <t>CIDADE</t>
  </si>
  <si>
    <t>STATUS DO 
PEDIDO
(INFORMAÇÕES)</t>
  </si>
  <si>
    <t>VALOR TOTAL 
PEDIDO</t>
  </si>
  <si>
    <t>CRITICIDADE</t>
  </si>
  <si>
    <t>STATUS
PRODUÇÃO</t>
  </si>
  <si>
    <t>PREVISÃO DE LIBERAÇÃO (PCP)</t>
  </si>
  <si>
    <t>DATA EFETIVA DE LIBERAÇÃO
(PCP)</t>
  </si>
  <si>
    <t>DATA
SOLICITADA
NO CLIENTE OU RETIRA</t>
  </si>
  <si>
    <t>PRAZO COMERCIAL
DIAS CORRIDOS</t>
  </si>
  <si>
    <t>LEAD TIME PRODUÇÃO (INCLUSÃO X LIBERAÇÃO)
DIAS CORRIDOS</t>
  </si>
  <si>
    <t>ATRASO / ANTECIPAÇÃO
LT PRODUCAO X PRAZO TOTAL DEMANDA</t>
  </si>
  <si>
    <t>CUSTO
PRODUÇÃO REAL
(MP/SERVIÇOS)</t>
  </si>
  <si>
    <t>TÉRMINO SEMANAL
(CENÁRIO REAL)
PCP</t>
  </si>
  <si>
    <t>DATA EMISSÃO
NF</t>
  </si>
  <si>
    <t>VALOR NF
EMITIDA</t>
  </si>
  <si>
    <t>Nº NF</t>
  </si>
  <si>
    <t>STATUS
LOGISTICA</t>
  </si>
  <si>
    <t>DATA
PEDIDO
EXPEDIDO</t>
  </si>
  <si>
    <t>TRANSPORTADORA (CIF)</t>
  </si>
  <si>
    <t>CUSTO FRETE
PREVISTO</t>
  </si>
  <si>
    <t>CUSTO FRETE
FINAL</t>
  </si>
  <si>
    <t xml:space="preserve">CUSTO DO FRETE SOBRE A NOTA </t>
  </si>
  <si>
    <t>DATA PREVISTA
ENTREGA (CIF)
COLETA (FOB)
(TRANSPORTE)</t>
  </si>
  <si>
    <t>DATA  REAL
ENTREGA /
COLETA</t>
  </si>
  <si>
    <t>LEAD TIME 
FRETE
(SAIDA X CHEGADA)</t>
  </si>
  <si>
    <r>
      <rPr>
        <b/>
        <sz val="22"/>
        <color theme="1"/>
        <rFont val="Aptos Narrow"/>
        <family val="2"/>
        <scheme val="minor"/>
      </rPr>
      <t>OTD</t>
    </r>
    <r>
      <rPr>
        <b/>
        <sz val="10"/>
        <color theme="1"/>
        <rFont val="Aptos Narrow"/>
        <family val="2"/>
        <scheme val="minor"/>
      </rPr>
      <t xml:space="preserve"> 
(On-Time Delivery)
*ENTREGA NO PRAZO*</t>
    </r>
  </si>
  <si>
    <t>DATA 
SOLICITADA
CLIENTE</t>
  </si>
  <si>
    <t>DATA 
ENTREGUE
CLIENTE</t>
  </si>
  <si>
    <r>
      <rPr>
        <b/>
        <sz val="14"/>
        <color theme="1"/>
        <rFont val="Aptos Narrow"/>
        <family val="2"/>
        <scheme val="minor"/>
      </rPr>
      <t>LEAD TIME COMERCIAL</t>
    </r>
    <r>
      <rPr>
        <b/>
        <sz val="10"/>
        <color theme="1"/>
        <rFont val="Aptos Narrow"/>
        <family val="2"/>
        <scheme val="minor"/>
      </rPr>
      <t xml:space="preserve">
(ENTREGA NO CLIENTE
 OU RETIRADA)
*DIAS CORRIDOS *</t>
    </r>
  </si>
  <si>
    <r>
      <rPr>
        <b/>
        <sz val="14"/>
        <color theme="1"/>
        <rFont val="Aptos Narrow"/>
        <family val="2"/>
        <scheme val="minor"/>
      </rPr>
      <t>LEAD TIME OPERAÇÃO</t>
    </r>
    <r>
      <rPr>
        <b/>
        <sz val="10"/>
        <color theme="1"/>
        <rFont val="Aptos Narrow"/>
        <family val="2"/>
        <scheme val="minor"/>
      </rPr>
      <t xml:space="preserve">
(ENTREGA NO CLIENTE
 OU RETIRADA)
* DIAS CORRIDOS *</t>
    </r>
  </si>
  <si>
    <t>DIAS ATRASO
OU
ANTECIPAÇÃO
* DIAS CORRIDOS *</t>
  </si>
  <si>
    <t>OBS</t>
  </si>
  <si>
    <t>Status Final do Pedido
(ALINHAMENTO)</t>
  </si>
  <si>
    <t>CUSTO PRODUÇÃO
(MP E SERVIÇOS)</t>
  </si>
  <si>
    <t>CUSTO
HH</t>
  </si>
  <si>
    <t>CUSTO FRETE
(CIF)</t>
  </si>
  <si>
    <t>CUSTO TOTAL
= PRODUÇÃO + HH + FRETE</t>
  </si>
  <si>
    <t>ECBSEA</t>
  </si>
  <si>
    <t>Elder</t>
  </si>
  <si>
    <t>Emergencial</t>
  </si>
  <si>
    <t>-</t>
  </si>
  <si>
    <t>QE2025-0140-1 -</t>
  </si>
  <si>
    <t>FOB</t>
  </si>
  <si>
    <t>BRASIL</t>
  </si>
  <si>
    <t>RJ</t>
  </si>
  <si>
    <t>SÃO JOÃO DA BARRA</t>
  </si>
  <si>
    <t>OK</t>
  </si>
  <si>
    <t>Alta</t>
  </si>
  <si>
    <t>FINALIZADO</t>
  </si>
  <si>
    <t>SEMANA 04 / JAN / 2026</t>
  </si>
  <si>
    <t>Entregue / Coletado</t>
  </si>
  <si>
    <t>4PIPE HIDROPIG - ENGENHARIA INDUSTRIAL LTDA</t>
  </si>
  <si>
    <t>SIM</t>
  </si>
  <si>
    <t>MARS MEXICO</t>
  </si>
  <si>
    <t>Mateus - Exportação</t>
  </si>
  <si>
    <t xml:space="preserve"> QE2025-0053-01</t>
  </si>
  <si>
    <t>2 (SERVIÇOS)</t>
  </si>
  <si>
    <t>CIF</t>
  </si>
  <si>
    <t>MEXICO</t>
  </si>
  <si>
    <t>EX</t>
  </si>
  <si>
    <t>TOLUCA</t>
  </si>
  <si>
    <t>SEMANA 03 / JAN / 2026</t>
  </si>
  <si>
    <t>TSA LOGISTICA LTDA</t>
  </si>
  <si>
    <t>SUBSEA7</t>
  </si>
  <si>
    <t>Elias</t>
  </si>
  <si>
    <t>Pedido Padrão</t>
  </si>
  <si>
    <t>QOG2025-0248</t>
  </si>
  <si>
    <t>106(261)</t>
  </si>
  <si>
    <t>ES</t>
  </si>
  <si>
    <t>ANCHIETA</t>
  </si>
  <si>
    <t>NOVEMBRO/2025</t>
  </si>
  <si>
    <t>FELKA TRANSPORTES E LOGISTICA LIMITADA</t>
  </si>
  <si>
    <t xml:space="preserve">PERENCO </t>
  </si>
  <si>
    <t xml:space="preserve"> QOG2025-0259-7</t>
  </si>
  <si>
    <t>MACAÉ</t>
  </si>
  <si>
    <t>DEZEMBRO/2025</t>
  </si>
  <si>
    <t>EXPRESSO PREDILETO TRANSPORTES, LOGISTIC</t>
  </si>
  <si>
    <t>DANFOSS</t>
  </si>
  <si>
    <t>José Carlos</t>
  </si>
  <si>
    <t>SP</t>
  </si>
  <si>
    <t>GUARATINGUETA</t>
  </si>
  <si>
    <t>Baixa</t>
  </si>
  <si>
    <t>CATTALINI</t>
  </si>
  <si>
    <t>Isaias</t>
  </si>
  <si>
    <t>113/2023</t>
  </si>
  <si>
    <t>PR</t>
  </si>
  <si>
    <t>PARANAGUA</t>
  </si>
  <si>
    <t>Média</t>
  </si>
  <si>
    <t>SEMANA 02 / JAN / 2026</t>
  </si>
  <si>
    <t>RODONAVES TRANSPORTES ENCOM LTDA</t>
  </si>
  <si>
    <t>NÃO</t>
  </si>
  <si>
    <t>atraso maxbor</t>
  </si>
  <si>
    <t>CRÍTICO</t>
  </si>
  <si>
    <t xml:space="preserve">TOTAL EP DO BRASIL </t>
  </si>
  <si>
    <t>4PIPE000014</t>
  </si>
  <si>
    <t>184/235</t>
  </si>
  <si>
    <t>CAJU</t>
  </si>
  <si>
    <t>D&amp;D INGENIERIA CONSTRUCCION</t>
  </si>
  <si>
    <t xml:space="preserve">0412-25   </t>
  </si>
  <si>
    <t>4PIPE000096</t>
  </si>
  <si>
    <t>CHILE</t>
  </si>
  <si>
    <t>PROVIDENCIA</t>
  </si>
  <si>
    <t>TRANS-FERRARI TRANSPORTE E LOGISTICA LTD</t>
  </si>
  <si>
    <t>ATENÇÃO</t>
  </si>
  <si>
    <t>VOPAK SANTOS</t>
  </si>
  <si>
    <t xml:space="preserve">P6913483  </t>
  </si>
  <si>
    <t xml:space="preserve">4PIPE000152 </t>
  </si>
  <si>
    <t>192 (226)</t>
  </si>
  <si>
    <t>SANTOS</t>
  </si>
  <si>
    <t>BAKER HUGHES</t>
  </si>
  <si>
    <t>NITERÓI</t>
  </si>
  <si>
    <t>PETROBRAS MACAÉ</t>
  </si>
  <si>
    <t>4PIPE000097</t>
  </si>
  <si>
    <t>SEMANA 01 / JAN / 2026</t>
  </si>
  <si>
    <t>EMPRESA DE TRANSPORTES MARTINS LTDA</t>
  </si>
  <si>
    <t xml:space="preserve">BAKER HUGHES </t>
  </si>
  <si>
    <t>ATRASO PRODUÇÃO DEVIDO A PAUSA DO RECESSO FIM DE ANO.</t>
  </si>
  <si>
    <t>208 /424</t>
  </si>
  <si>
    <t>CUBATÃO</t>
  </si>
  <si>
    <t>recusa na entrega em janeiro /// entrega feita em março /// prazo entrega ajustado na gestao para não prejudicar o OTD</t>
  </si>
  <si>
    <t>TRANSPETRO CARAGUA</t>
  </si>
  <si>
    <t>Reforma</t>
  </si>
  <si>
    <t>N/A</t>
  </si>
  <si>
    <t>comunicação produção (liderança x operação), impactando planejamento realizado... Discutir com lideres causa x plano de ação</t>
  </si>
  <si>
    <t>ERAM</t>
  </si>
  <si>
    <t>4PIPE00078</t>
  </si>
  <si>
    <t>ARGENTINA</t>
  </si>
  <si>
    <t>BUENOS AIRES</t>
  </si>
  <si>
    <t>SEMANA 04 / FEV / 2026</t>
  </si>
  <si>
    <t>TRANSPORTES VITANGELO MUNHOZ LOGISTICA</t>
  </si>
  <si>
    <t>NOVELIS</t>
  </si>
  <si>
    <t>4PIPE000141</t>
  </si>
  <si>
    <t>PINDAMONHANGABA</t>
  </si>
  <si>
    <t>NOVELIS DO BRASIL LTDA.</t>
  </si>
  <si>
    <t>BAKER</t>
  </si>
  <si>
    <t>OIL STATES</t>
  </si>
  <si>
    <t xml:space="preserve">060385-2  </t>
  </si>
  <si>
    <t>4PIPE000177</t>
  </si>
  <si>
    <t>THS TRANSPORTE E LOGISTICA LTDA - EPP</t>
  </si>
  <si>
    <t>REVISAR CUSTOS PRODUÇÃO/COMERCIAL</t>
  </si>
  <si>
    <t>LOGUM</t>
  </si>
  <si>
    <t>4PIPE000157</t>
  </si>
  <si>
    <t>CUMBICA</t>
  </si>
  <si>
    <t>LOGUM LOGISTICA S A</t>
  </si>
  <si>
    <t>AURORA</t>
  </si>
  <si>
    <t>4PIPE000187</t>
  </si>
  <si>
    <t>SC</t>
  </si>
  <si>
    <t>ABELARDO LUZ</t>
  </si>
  <si>
    <t xml:space="preserve">VENDA CUSTO BAIXO </t>
  </si>
  <si>
    <t>ULTRACARGO</t>
  </si>
  <si>
    <t>Saulo</t>
  </si>
  <si>
    <t xml:space="preserve">4PIPE000190 </t>
  </si>
  <si>
    <t>PE</t>
  </si>
  <si>
    <t>IPOJUCA</t>
  </si>
  <si>
    <t>RODONAVES TRANSPORTES MULTIMODAL LTDA</t>
  </si>
  <si>
    <t xml:space="preserve">4PIPE000181 </t>
  </si>
  <si>
    <t>CHAPECÓ</t>
  </si>
  <si>
    <t>CARMO ENERGY</t>
  </si>
  <si>
    <t>Rui</t>
  </si>
  <si>
    <t>4PIPE000184</t>
  </si>
  <si>
    <t>SE</t>
  </si>
  <si>
    <t>JAPARATUBA</t>
  </si>
  <si>
    <t>GRU AVIAT CARGO EXPRESS TRANSPORTES LTDA</t>
  </si>
  <si>
    <t>3R BRAVA</t>
  </si>
  <si>
    <t>4PIPE000171</t>
  </si>
  <si>
    <t>RN</t>
  </si>
  <si>
    <t>MOSSÓRO</t>
  </si>
  <si>
    <t>AVIAT CARGO EXPRESS TRANSPORTES LTDA</t>
  </si>
  <si>
    <t>PERENCO</t>
  </si>
  <si>
    <t xml:space="preserve"> 4PIPE000168-1</t>
  </si>
  <si>
    <t xml:space="preserve">4PIPE000183 </t>
  </si>
  <si>
    <t>3R BRAVA BAHIA</t>
  </si>
  <si>
    <t xml:space="preserve">4PIPE000126 </t>
  </si>
  <si>
    <t>BA</t>
  </si>
  <si>
    <t>SÃO FRANCISCO DO CONDE</t>
  </si>
  <si>
    <t>MODULAR TRANSPORTES LTDA</t>
  </si>
  <si>
    <t>TRANSPETRO CAMAÇARI</t>
  </si>
  <si>
    <t>CAMAÇARI</t>
  </si>
  <si>
    <t>CUSTO BAIXO VENDA</t>
  </si>
  <si>
    <t>PETRORECONCAVO</t>
  </si>
  <si>
    <t>RAJAN TRANSPORTES COMERCIO E INDUSTRIA</t>
  </si>
  <si>
    <t>ROSADO</t>
  </si>
  <si>
    <t>SACOR</t>
  </si>
  <si>
    <t>4PIPE000199</t>
  </si>
  <si>
    <t>DUQUE DE CAXIAS</t>
  </si>
  <si>
    <t>WHITEFLY TRR</t>
  </si>
  <si>
    <t>4PIPE000207</t>
  </si>
  <si>
    <t>SEMANA 01 / FEV / 2026</t>
  </si>
  <si>
    <t>BRASPRESS TRANSPORTES URGENTES LTDA</t>
  </si>
  <si>
    <t>PIPEWAY</t>
  </si>
  <si>
    <t>4PIPE000193-1</t>
  </si>
  <si>
    <t>SÃO CRISTOVÃO</t>
  </si>
  <si>
    <t>SISTEMIG</t>
  </si>
  <si>
    <t>4PIPE000164-3</t>
  </si>
  <si>
    <t>237/318</t>
  </si>
  <si>
    <t>MG</t>
  </si>
  <si>
    <t>MONTES CLAROS</t>
  </si>
  <si>
    <t>JEFERSON PIPE</t>
  </si>
  <si>
    <t>4PIPE000201-1</t>
  </si>
  <si>
    <t>SÃO PAULO</t>
  </si>
  <si>
    <t>SEACREST</t>
  </si>
  <si>
    <t xml:space="preserve">4PIPE000153-1 </t>
  </si>
  <si>
    <t>SÃO MATEUS</t>
  </si>
  <si>
    <t xml:space="preserve">RAJAN TRANSPORTES COMERCIO E INDUSTRIA </t>
  </si>
  <si>
    <t>DELP</t>
  </si>
  <si>
    <t>4PIPE000179-3</t>
  </si>
  <si>
    <t>VESPASIANO</t>
  </si>
  <si>
    <t>GS SERVIÇOS</t>
  </si>
  <si>
    <t>4PIPE000158</t>
  </si>
  <si>
    <t>JUNDIAI</t>
  </si>
  <si>
    <t>SANDRO BORRIELO</t>
  </si>
  <si>
    <t>4PIPE000055</t>
  </si>
  <si>
    <t>TRANSPETRO SCS</t>
  </si>
  <si>
    <t>4PIPE000197</t>
  </si>
  <si>
    <t>SÃO CAETANO DO SUL</t>
  </si>
  <si>
    <t>OCYAN E MOTA ENGIL</t>
  </si>
  <si>
    <t>PO821</t>
  </si>
  <si>
    <t>4PIPE000209</t>
  </si>
  <si>
    <t>SEMANA 02 / FEV / 2026</t>
  </si>
  <si>
    <t>o</t>
  </si>
  <si>
    <t>PEDRA AGROINDUSTRIAL</t>
  </si>
  <si>
    <t>6200046875 / 6200046929</t>
  </si>
  <si>
    <t>4PIPE000206</t>
  </si>
  <si>
    <t>NOVA INDEPENDENCIA</t>
  </si>
  <si>
    <t>TE LOG LOGISTICA LTDA</t>
  </si>
  <si>
    <t>SEMANA 03 / FEV / 2026</t>
  </si>
  <si>
    <t>TECMASTER</t>
  </si>
  <si>
    <t>AF 008</t>
  </si>
  <si>
    <t>4PIPE000216-1</t>
  </si>
  <si>
    <t>AL</t>
  </si>
  <si>
    <t>MACEIÓ</t>
  </si>
  <si>
    <t>4PIPE000214</t>
  </si>
  <si>
    <t>TECNOLOG TRANSPORTE RODO AEREO E LOGISTI</t>
  </si>
  <si>
    <t>TRANSPETRO MAUA</t>
  </si>
  <si>
    <t>4PIPE000222</t>
  </si>
  <si>
    <t>MAÚA</t>
  </si>
  <si>
    <t>PETROBRAS TRANSPORTE S.A - TRANSPETRO</t>
  </si>
  <si>
    <t>imprevisto envase pig. Impacto minimo planejamento realizar.... Discutir com lideres causa x plano de ação</t>
  </si>
  <si>
    <t>TRANSPETRO PAULINIA</t>
  </si>
  <si>
    <t>PAULINIA</t>
  </si>
  <si>
    <t>BRF</t>
  </si>
  <si>
    <t>4PIPE000226-1</t>
  </si>
  <si>
    <t>RS</t>
  </si>
  <si>
    <t>MARAU</t>
  </si>
  <si>
    <t>ALFA TRANSPORTES EIRELI</t>
  </si>
  <si>
    <t>PANDENOR</t>
  </si>
  <si>
    <t>4PIPE000095-1</t>
  </si>
  <si>
    <t>SAAE</t>
  </si>
  <si>
    <t>07 2025</t>
  </si>
  <si>
    <t>4PIPE000235</t>
  </si>
  <si>
    <t>ITABIRA</t>
  </si>
  <si>
    <t>PERBRAS</t>
  </si>
  <si>
    <t>4PIPE000221</t>
  </si>
  <si>
    <t>CARMÓPOLIS</t>
  </si>
  <si>
    <t>3R BRAVA POTIGUAR</t>
  </si>
  <si>
    <t>4PIPE000125-1</t>
  </si>
  <si>
    <t>TRIDENT ENERGY</t>
  </si>
  <si>
    <t>4PIPE000210</t>
  </si>
  <si>
    <t>REFINARIA RIOGRANDENSE</t>
  </si>
  <si>
    <t>4PIPE000239</t>
  </si>
  <si>
    <t>RIO GRANDE</t>
  </si>
  <si>
    <t>JAPKS LOGISTICA E TRANSPORTES LTDA</t>
  </si>
  <si>
    <t>TRANSPETRO RJ</t>
  </si>
  <si>
    <t>OXITENO</t>
  </si>
  <si>
    <t>4PIPE000249</t>
  </si>
  <si>
    <t>TREMEMBÉ</t>
  </si>
  <si>
    <t>PETROBRÁS MACAE</t>
  </si>
  <si>
    <t>TSC SUBSEA</t>
  </si>
  <si>
    <t xml:space="preserve">26-5003943606  </t>
  </si>
  <si>
    <t>4PIPE000240</t>
  </si>
  <si>
    <t>NILVANIA BERNARDO DA SILVA TRANSPORTES L</t>
  </si>
  <si>
    <t>DOW BRASIL</t>
  </si>
  <si>
    <t>4PIPE000255</t>
  </si>
  <si>
    <t>CANDEIAS</t>
  </si>
  <si>
    <t>EXPRESS LOGISTICA LTDA</t>
  </si>
  <si>
    <t>4PIPE000238--1</t>
  </si>
  <si>
    <t>4PIPE000248</t>
  </si>
  <si>
    <t>4PIPE000256</t>
  </si>
  <si>
    <t>ENEVA</t>
  </si>
  <si>
    <t>Sem executivo</t>
  </si>
  <si>
    <t>4PIPE000220</t>
  </si>
  <si>
    <t>MA</t>
  </si>
  <si>
    <t>SANTO ANTONIO DOS ALPES</t>
  </si>
  <si>
    <t>TRANSPORTES DELLA VOLPE S A COMERCIO E I</t>
  </si>
  <si>
    <t>FHS CONSTRUTORA</t>
  </si>
  <si>
    <t>4PIPE000227</t>
  </si>
  <si>
    <t>CE</t>
  </si>
  <si>
    <t>FORTALEZA</t>
  </si>
  <si>
    <t>NTS</t>
  </si>
  <si>
    <t>4PIPE000192-1</t>
  </si>
  <si>
    <t>TAUBATÉ</t>
  </si>
  <si>
    <t>SEMANA 02 / MAR / 2026</t>
  </si>
  <si>
    <t>NOVA TRANSPORTADORA DO SUDESTE S/A - NTS</t>
  </si>
  <si>
    <t>Atraso produção - metalmecanica + serviços</t>
  </si>
  <si>
    <t>TRANSPETRO</t>
  </si>
  <si>
    <t>4PIPE000270</t>
  </si>
  <si>
    <t>4PIPE000262</t>
  </si>
  <si>
    <t>GUATEMBU</t>
  </si>
  <si>
    <t>CANOAS</t>
  </si>
  <si>
    <t>RODONAVES TRANSPORTES E ENCOMENDAS LTDA</t>
  </si>
  <si>
    <t>ROSEN GROUP</t>
  </si>
  <si>
    <t>4PIPE000257</t>
  </si>
  <si>
    <t>RIO DE JANEIRO</t>
  </si>
  <si>
    <t>RAPHAEL VITOR CARDOSO DE BARR</t>
  </si>
  <si>
    <t>ICONIC</t>
  </si>
  <si>
    <t>O6 35190</t>
  </si>
  <si>
    <t>4PIPE000084-1</t>
  </si>
  <si>
    <t xml:space="preserve">844/846   </t>
  </si>
  <si>
    <t>4PIPE000246</t>
  </si>
  <si>
    <t>JAMEF TRANSPORTES LTDA</t>
  </si>
  <si>
    <t>SANTO ANTONIO DOS LOPES</t>
  </si>
  <si>
    <t>JOETEC</t>
  </si>
  <si>
    <t>4PIPE000250-1</t>
  </si>
  <si>
    <t>JOETEC COMERCIO, MONTAGEM E MAN DE MAQU</t>
  </si>
  <si>
    <t>PLANNER</t>
  </si>
  <si>
    <t>4PIPE000167</t>
  </si>
  <si>
    <t>TATUI</t>
  </si>
  <si>
    <t>PLANERR COMERCIO DE FERRAMENTAS E MANUTENCAO LTDA</t>
  </si>
  <si>
    <t>HEXION</t>
  </si>
  <si>
    <t>QIG2025-0184</t>
  </si>
  <si>
    <t>CORITIBA</t>
  </si>
  <si>
    <t>EFITRANS TRANSPORTES LTDA.</t>
  </si>
  <si>
    <t>CNO</t>
  </si>
  <si>
    <t>OC153610</t>
  </si>
  <si>
    <t>4PIPE000267</t>
  </si>
  <si>
    <t>ITAGUAI</t>
  </si>
  <si>
    <t>GAET SERVICOS E TRANSPORTES LTDA</t>
  </si>
  <si>
    <t>ACRILEX</t>
  </si>
  <si>
    <t>4PIPE000271</t>
  </si>
  <si>
    <t xml:space="preserve">SÃO BERNARDO </t>
  </si>
  <si>
    <t>ACRILEX TINTAS ESPECIAIS S.A.</t>
  </si>
  <si>
    <t>4PIPE000282</t>
  </si>
  <si>
    <t>SEMANA 01 / MAR / 2026</t>
  </si>
  <si>
    <t>CORSAN</t>
  </si>
  <si>
    <t>4PIPE000195 - 1</t>
  </si>
  <si>
    <t>LT OPERAÇÃO ARRISCADO DEVIDO AO PRAZO MATERIA PRIMA AMINO PARA PRODUÇÃO DAS ESPUMAS</t>
  </si>
  <si>
    <t>BASTECK</t>
  </si>
  <si>
    <t>4PIPE000288</t>
  </si>
  <si>
    <t>GUARAPUAVA</t>
  </si>
  <si>
    <t>4PIPE000279</t>
  </si>
  <si>
    <t>ORIGEM</t>
  </si>
  <si>
    <t>4PIPE000224</t>
  </si>
  <si>
    <t>PILAR</t>
  </si>
  <si>
    <t>ENGIE</t>
  </si>
  <si>
    <t xml:space="preserve">OC31773ESOM  </t>
  </si>
  <si>
    <t>4PIPE000266</t>
  </si>
  <si>
    <t>ARARACRUZ</t>
  </si>
  <si>
    <t>LT EXTENSO PRODUÇÃO DO PU</t>
  </si>
  <si>
    <t>JP CARGO TRANSPORTES E LOGISTICA LTDA</t>
  </si>
  <si>
    <t xml:space="preserve">4PIPE000251-1 </t>
  </si>
  <si>
    <t>GUARAREMA</t>
  </si>
  <si>
    <t>NOVA TRANSP. DO SUDESTE</t>
  </si>
  <si>
    <t>4PIPE000274</t>
  </si>
  <si>
    <t>VOLTA REDONDA</t>
  </si>
  <si>
    <t>4PIPE000259-2</t>
  </si>
  <si>
    <t>PA</t>
  </si>
  <si>
    <t>BARCARENA</t>
  </si>
  <si>
    <t>REVISAO PRAZO COMERCIAL = REGIAO NORTE (PARA)
REVISAR CIF DE 30 DIAS PARA 50 DIAS
OU FOB 30 DIAS</t>
  </si>
  <si>
    <t>PROSERTEC</t>
  </si>
  <si>
    <t>PERU</t>
  </si>
  <si>
    <t>LIMA</t>
  </si>
  <si>
    <t>DHL EXPRESS (BRASIL) LTDA</t>
  </si>
  <si>
    <t>ENGEAR</t>
  </si>
  <si>
    <t>4PIPE000245</t>
  </si>
  <si>
    <t>PB</t>
  </si>
  <si>
    <t>JOÃO PESSOA</t>
  </si>
  <si>
    <t>SEMANA 04 / MAR / 2026</t>
  </si>
  <si>
    <t>OLAM</t>
  </si>
  <si>
    <t>4PIPE000263-1</t>
  </si>
  <si>
    <t>ILHÉUS</t>
  </si>
  <si>
    <t>TRANSTDEX CARGAS RODOVIARIAS</t>
  </si>
  <si>
    <t>ARGUS</t>
  </si>
  <si>
    <t>4PIPE000234-1</t>
  </si>
  <si>
    <t>EMIRADOS ARABES</t>
  </si>
  <si>
    <t>ABU DHABI</t>
  </si>
  <si>
    <t>SEMANA 03 / MAR / 2026</t>
  </si>
  <si>
    <t xml:space="preserve">LT ALTO PRODUCAO - VOLUME PARALELO COM OXITENO </t>
  </si>
  <si>
    <t>JEFFERSON PIPE</t>
  </si>
  <si>
    <t xml:space="preserve">4PIPE000303 </t>
  </si>
  <si>
    <t>4PIPE000301</t>
  </si>
  <si>
    <t xml:space="preserve">FOB </t>
  </si>
  <si>
    <t>TSL</t>
  </si>
  <si>
    <t>4PIPE000297</t>
  </si>
  <si>
    <t>RODOMAC TRANSPORTES E LOGISTICA LTDA</t>
  </si>
  <si>
    <t xml:space="preserve">4PIPE000252-01 </t>
  </si>
  <si>
    <t>BA.LOG LOGISTICA E LOCACAO LTDA</t>
  </si>
  <si>
    <t>4PIPE000300</t>
  </si>
  <si>
    <t>XAXIM</t>
  </si>
  <si>
    <t>SYNGENTA</t>
  </si>
  <si>
    <t>MOTO HELP ENTREGAS RAPIDAS EIRELI</t>
  </si>
  <si>
    <t>POJUCA</t>
  </si>
  <si>
    <t>RAJAN TRANSPORTES COMERCIO E INDUSTRIA L</t>
  </si>
  <si>
    <t xml:space="preserve">4PIPE000305 </t>
  </si>
  <si>
    <t>4PIPE000306</t>
  </si>
  <si>
    <t>JEFERSON PIPE INFRAESTRUTURA LTDA</t>
  </si>
  <si>
    <t>PETROBRÁS</t>
  </si>
  <si>
    <t>4PIPE000127-4</t>
  </si>
  <si>
    <t>LUA NOVA</t>
  </si>
  <si>
    <t>4PIPE000316</t>
  </si>
  <si>
    <t>CARAMBA</t>
  </si>
  <si>
    <t>4PIPE000277</t>
  </si>
  <si>
    <t>4PIPE000312</t>
  </si>
  <si>
    <t>4PIPE000208-1</t>
  </si>
  <si>
    <t>ANDEAN</t>
  </si>
  <si>
    <t xml:space="preserve">4PIPE000151-02 </t>
  </si>
  <si>
    <t>SANTIAGO</t>
  </si>
  <si>
    <t>CLEMEX TRANSPORTES LTDA</t>
  </si>
  <si>
    <t>BRAÇOS</t>
  </si>
  <si>
    <t>4PIPE000320</t>
  </si>
  <si>
    <t>RIO DAS FLORES</t>
  </si>
  <si>
    <t>OC32641ESOM</t>
  </si>
  <si>
    <t>4PIPE000290</t>
  </si>
  <si>
    <t>ARACAJU</t>
  </si>
  <si>
    <t>atraso logistica</t>
  </si>
  <si>
    <t>4PIPE000309</t>
  </si>
  <si>
    <t>4PIPE000254</t>
  </si>
  <si>
    <t>BRASKEM</t>
  </si>
  <si>
    <t>4PIPE000324</t>
  </si>
  <si>
    <t>D.L. CARGO LOGISTICA LTDA</t>
  </si>
  <si>
    <t>NITEROI</t>
  </si>
  <si>
    <t>SEMANA 02 / ABR / 2026</t>
  </si>
  <si>
    <t>4PIPE000323-1</t>
  </si>
  <si>
    <t>SATISFACAO EM LOGISTICA LTDA EPP</t>
  </si>
  <si>
    <t>405 (01)</t>
  </si>
  <si>
    <t>JWM SOLUCOES LOGISTICAS LTDA</t>
  </si>
  <si>
    <t>405 (02)</t>
  </si>
  <si>
    <t>TECHNIP FMC</t>
  </si>
  <si>
    <t>482397TSB</t>
  </si>
  <si>
    <t>QOG2025-0216-01</t>
  </si>
  <si>
    <t>SEMANA 04 / ABR / 2026</t>
  </si>
  <si>
    <t>PRIO</t>
  </si>
  <si>
    <t>4PIPE000302-02</t>
  </si>
  <si>
    <t>FRS BOGO TRANSPORTES LTDA</t>
  </si>
  <si>
    <t>CPA TERMINAL</t>
  </si>
  <si>
    <t>4PIPE000293-1</t>
  </si>
  <si>
    <t>SEMANA 03 / ABR / 2026</t>
  </si>
  <si>
    <t>ELDER JOSE GROCHOLSKI</t>
  </si>
  <si>
    <t>atraso borracha maxbor</t>
  </si>
  <si>
    <t>MARQUES E BEZERRA</t>
  </si>
  <si>
    <t xml:space="preserve">4PIPE000319-1 </t>
  </si>
  <si>
    <t xml:space="preserve">BRIX CARGO </t>
  </si>
  <si>
    <t>DATA REAL 4/5 OTD OK /// AGENDAMENTO DISPONIVEL 6/5</t>
  </si>
  <si>
    <t>MARS</t>
  </si>
  <si>
    <t>4PIPE000280</t>
  </si>
  <si>
    <t>413/008</t>
  </si>
  <si>
    <t>SEMANA 01 / ABR / 2026</t>
  </si>
  <si>
    <t>TRANSX TRANSPORTES LTDA</t>
  </si>
  <si>
    <t>GRANEL</t>
  </si>
  <si>
    <t>4PIPE000285 -1</t>
  </si>
  <si>
    <t>ENGIE (AMOSTRA)</t>
  </si>
  <si>
    <t>4PIPE000336-1</t>
  </si>
  <si>
    <t>VESPACIANO</t>
  </si>
  <si>
    <t>4PIPE000317</t>
  </si>
  <si>
    <t>SERAFINA CORREA</t>
  </si>
  <si>
    <t>4PIPE000328rev2</t>
  </si>
  <si>
    <t xml:space="preserve"> Duque de Caxias</t>
  </si>
  <si>
    <t>RIOGRANDENSE</t>
  </si>
  <si>
    <t>4PIPE000338</t>
  </si>
  <si>
    <t>CESAN</t>
  </si>
  <si>
    <t>4PIPE000233</t>
  </si>
  <si>
    <t>CARIACICA</t>
  </si>
  <si>
    <t>4PIPE000302</t>
  </si>
  <si>
    <t>atraso PRODUCAO</t>
  </si>
  <si>
    <t>DRILLCON</t>
  </si>
  <si>
    <t>RODOPESO TRANSPORTES ESPECIAIS LTDA</t>
  </si>
  <si>
    <t>JAPERI</t>
  </si>
  <si>
    <t>ARACRUZ</t>
  </si>
  <si>
    <t>ATRASO ACIONAMENTO TRANSPORTE</t>
  </si>
  <si>
    <t>RAIZEN</t>
  </si>
  <si>
    <t>4PIPE00034701</t>
  </si>
  <si>
    <t>4PIPE00034702</t>
  </si>
  <si>
    <t>VERSÁTIL</t>
  </si>
  <si>
    <t>4PIPE000327</t>
  </si>
  <si>
    <t>AM</t>
  </si>
  <si>
    <t>Manaus</t>
  </si>
  <si>
    <t>CARGOCENTER AGENCIA DE CARGAS LTDA</t>
  </si>
  <si>
    <t>Gerdau</t>
  </si>
  <si>
    <t>OURO BRANCO</t>
  </si>
  <si>
    <t>AUTOLOG SOLUCOES LOGISTICAS INTEGRADAS S</t>
  </si>
  <si>
    <t>RIBEIRÃO PRETO</t>
  </si>
  <si>
    <t>4PIPE000351</t>
  </si>
  <si>
    <t>4PIPE000350</t>
  </si>
  <si>
    <t>484136TVT</t>
  </si>
  <si>
    <t>4PIPE000356rev01</t>
  </si>
  <si>
    <t>VITÓRIA</t>
  </si>
  <si>
    <t>EMPRESA BRASILEIRA DE CORREIOS E TELEGRA</t>
  </si>
  <si>
    <t>4PIPE000352</t>
  </si>
  <si>
    <t>São José dos Campos</t>
  </si>
  <si>
    <t>4PIOE000359</t>
  </si>
  <si>
    <t>Macaé</t>
  </si>
  <si>
    <t>BA.LOG LOGISTICA E LOCAÇÃO LTDA</t>
  </si>
  <si>
    <t>BRAÇOS &amp; CONSTRUÇÕES</t>
  </si>
  <si>
    <t>4PIPE000364REV01</t>
  </si>
  <si>
    <t>BRACOS CONSTRUCOES E INSTALACOES DE DUTO</t>
  </si>
  <si>
    <t>QCT2025-0034</t>
  </si>
  <si>
    <t>SPARTA 300</t>
  </si>
  <si>
    <t>SILVES</t>
  </si>
  <si>
    <t>RR MUNARETTO TRANSPORTES LTDA</t>
  </si>
  <si>
    <t>MORKEN BOL</t>
  </si>
  <si>
    <t>4PIPE000255REV01</t>
  </si>
  <si>
    <t>BOLIVIA</t>
  </si>
  <si>
    <t xml:space="preserve"> Santa Cruz de la Sierra</t>
  </si>
  <si>
    <t xml:space="preserve">4PIPE000339REV01 </t>
  </si>
  <si>
    <t>34.716,87</t>
  </si>
  <si>
    <t xml:space="preserve">TRANSPORTES DELLA VOLPE S.A </t>
  </si>
  <si>
    <t>MASTERFOODS</t>
  </si>
  <si>
    <t>4PIPE000354</t>
  </si>
  <si>
    <t>TRANSX TRANSPORTES</t>
  </si>
  <si>
    <t>SÃO FRANCISCO DO SUL</t>
  </si>
  <si>
    <t xml:space="preserve">484269TVT </t>
  </si>
  <si>
    <t>4PIPE000353REV01</t>
  </si>
  <si>
    <t>VITORIA</t>
  </si>
  <si>
    <t>TECNOLOG TRANSPORTE RODO AEREO E LOGISTICA</t>
  </si>
  <si>
    <t>4PIPE000056</t>
  </si>
  <si>
    <t>SALVADOR</t>
  </si>
  <si>
    <t>TRANS BARONNE TRANSPORTES LTDA</t>
  </si>
  <si>
    <t>4PIPE000135</t>
  </si>
  <si>
    <t>492/1</t>
  </si>
  <si>
    <t>CONSORCIO OCYAN</t>
  </si>
  <si>
    <t xml:space="preserve">MGBC-OCYME-4PIPE-043-2026 </t>
  </si>
  <si>
    <t>PO935</t>
  </si>
  <si>
    <t xml:space="preserve">4PIPE000289-08 </t>
  </si>
  <si>
    <t>SEMANA 04 / MAI / 2026</t>
  </si>
  <si>
    <t xml:space="preserve">4PIPE HIDROPIG ENGENHARIA INDUSTRIAL LTDA </t>
  </si>
  <si>
    <t>ERAM - YPF</t>
  </si>
  <si>
    <t>ALPHA CARGO TRANSPORTES LTDA</t>
  </si>
  <si>
    <t>4PIPE000377</t>
  </si>
  <si>
    <t>SEMANA 03 / MAI / 2026</t>
  </si>
  <si>
    <t>FILIAL EXPRESSO TGA</t>
  </si>
  <si>
    <t>TRANSPETRO - RS</t>
  </si>
  <si>
    <t>SEMANA 02 / MAI / 2026</t>
  </si>
  <si>
    <t>049/051/053/054</t>
  </si>
  <si>
    <t xml:space="preserve">EXPRESSO TGA </t>
  </si>
  <si>
    <t>TRANSPETRO - BA</t>
  </si>
  <si>
    <t>4PIPE000374</t>
  </si>
  <si>
    <t>MORKEN EC</t>
  </si>
  <si>
    <t>MK-E- 451</t>
  </si>
  <si>
    <t>QE2025-0097-02</t>
  </si>
  <si>
    <t>EQUADOR</t>
  </si>
  <si>
    <t>MORKEN CL</t>
  </si>
  <si>
    <t>4PIPE000369</t>
  </si>
  <si>
    <t>MATA DE SAO JOAO</t>
  </si>
  <si>
    <t>ENGIE CE</t>
  </si>
  <si>
    <t>OC33417ESOM</t>
  </si>
  <si>
    <t xml:space="preserve">4PIPE000378 </t>
  </si>
  <si>
    <t>MARACANAÚ</t>
  </si>
  <si>
    <t>SEMANA 01 / MAI / 2026</t>
  </si>
  <si>
    <t>FERRAZ SOLUÇÕES</t>
  </si>
  <si>
    <t>4PIPE000337-1</t>
  </si>
  <si>
    <t>RR MUNARETO TRANSPORTES</t>
  </si>
  <si>
    <t>4PIPE000373-1</t>
  </si>
  <si>
    <t xml:space="preserve">NTS </t>
  </si>
  <si>
    <t>GUARATINGUENTA</t>
  </si>
  <si>
    <t>AMOSTRA</t>
  </si>
  <si>
    <t>4PIPE000399</t>
  </si>
  <si>
    <t>PATRUS TRANSPORTES</t>
  </si>
  <si>
    <t>27/05/2026</t>
  </si>
  <si>
    <t>PETROBRAS</t>
  </si>
  <si>
    <t>IMBOASSICA</t>
  </si>
  <si>
    <t>OCEANICA</t>
  </si>
  <si>
    <t>4PIPE000138REV01</t>
  </si>
  <si>
    <t>RIO DAS OSTRAS</t>
  </si>
  <si>
    <t>ATRASO PCP + LOGISTICA</t>
  </si>
  <si>
    <t>MOSSORÓ</t>
  </si>
  <si>
    <t>SÃO JOSÉ DOS CAMPOS</t>
  </si>
  <si>
    <t>SAMARCO</t>
  </si>
  <si>
    <t>4PIPE000372</t>
  </si>
  <si>
    <t>MARIANA</t>
  </si>
  <si>
    <t>ONESUBSEA</t>
  </si>
  <si>
    <t>SÃO JOSE DOS PINHAIS</t>
  </si>
  <si>
    <t>EFITRANS TRANSPORTES LTDA</t>
  </si>
  <si>
    <t>4PIPE000390</t>
  </si>
  <si>
    <t>SEMANA 02 / JUN / 2026</t>
  </si>
  <si>
    <t>*</t>
  </si>
  <si>
    <t>TRANS-FERRARI TRANSPORTE E LOGISTICALTDA</t>
  </si>
  <si>
    <t>4PIPE HIDROPIG - ENGENHARIA INDUSTRIAL L</t>
  </si>
  <si>
    <t>PETROSYNERGY</t>
  </si>
  <si>
    <t>4PIPE000362rev001</t>
  </si>
  <si>
    <t>MACEIO</t>
  </si>
  <si>
    <t>4PIPE000386rev01</t>
  </si>
  <si>
    <t>IGUÁ</t>
  </si>
  <si>
    <t>4PIPE000381</t>
  </si>
  <si>
    <t>VOTH</t>
  </si>
  <si>
    <t>4PIPE000406</t>
  </si>
  <si>
    <t>GUARAPARI</t>
  </si>
  <si>
    <t xml:space="preserve">VOTH MONTAGEM E MANUTENÇÃO </t>
  </si>
  <si>
    <t>INTECH</t>
  </si>
  <si>
    <t xml:space="preserve">IN0012604POH00000018 </t>
  </si>
  <si>
    <t>4PIPE000395-3</t>
  </si>
  <si>
    <t>ATIBAIA</t>
  </si>
  <si>
    <t>SPIECAPAG INTECH</t>
  </si>
  <si>
    <t>4PIPE000005</t>
  </si>
  <si>
    <t>12 / 564</t>
  </si>
  <si>
    <t>MOJI MIRIM</t>
  </si>
  <si>
    <t>ELVIN</t>
  </si>
  <si>
    <t>HPS 0035-25-02</t>
  </si>
  <si>
    <t>FRANCO DA ROCHA</t>
  </si>
  <si>
    <t>EM PRODUÇÃO</t>
  </si>
  <si>
    <t>SEMANA 05 / SET / 2026</t>
  </si>
  <si>
    <t>SERV</t>
  </si>
  <si>
    <t>Serviço</t>
  </si>
  <si>
    <t xml:space="preserve">SHERWIN-WILLIAMS </t>
  </si>
  <si>
    <t>4PIPE000402</t>
  </si>
  <si>
    <t>TABÃO DA SERRA</t>
  </si>
  <si>
    <t>CORREIOS</t>
  </si>
  <si>
    <t>4PIPE000333</t>
  </si>
  <si>
    <t>Serviços</t>
  </si>
  <si>
    <t>4PIPE000366-01</t>
  </si>
  <si>
    <t>PORTO-AÇU</t>
  </si>
  <si>
    <t>OCYAN S.A.</t>
  </si>
  <si>
    <t>PO53788</t>
  </si>
  <si>
    <t>4PIPE000414-0</t>
  </si>
  <si>
    <t>NF 18</t>
  </si>
  <si>
    <t>OCP SOLUTIONS</t>
  </si>
  <si>
    <t>MARROCOS</t>
  </si>
  <si>
    <t>SEMANA 04 / NOV / 2026</t>
  </si>
  <si>
    <t>3R BAHIA</t>
  </si>
  <si>
    <t xml:space="preserve">4PIPE000275 </t>
  </si>
  <si>
    <t>SÃO FRACISCO DO CONDE</t>
  </si>
  <si>
    <t>16/569</t>
  </si>
  <si>
    <t>17/570</t>
  </si>
  <si>
    <t>SEMANA 01 / JUN / 2026</t>
  </si>
  <si>
    <t xml:space="preserve"> </t>
  </si>
  <si>
    <t>00067 / 00068</t>
  </si>
  <si>
    <t>TECBRASIL</t>
  </si>
  <si>
    <t>633/2026</t>
  </si>
  <si>
    <t>4PIPE000357</t>
  </si>
  <si>
    <t>DOM JOAQUIM</t>
  </si>
  <si>
    <t xml:space="preserve">AJ CARGO </t>
  </si>
  <si>
    <t>578/1</t>
  </si>
  <si>
    <t>SEMANA 04 / JUN / 2026</t>
  </si>
  <si>
    <t>ATRASO MP = DESVIO BLOCO ESPUMA DINATEC</t>
  </si>
  <si>
    <t>40.976,64</t>
  </si>
  <si>
    <t>TECNOLOG TRANSPORTES RODO AEREO E LOGISTICO</t>
  </si>
  <si>
    <t>16/06/2026</t>
  </si>
  <si>
    <t>LEAD</t>
  </si>
  <si>
    <t>4PIPE000334</t>
  </si>
  <si>
    <t>NIGERIA</t>
  </si>
  <si>
    <t>TRANSPORTES YASMIN ARMAZENAGEM E LOGISTICA</t>
  </si>
  <si>
    <t>PRAZO CURTO COMERCIAL</t>
  </si>
  <si>
    <t>4PIPE000385-1</t>
  </si>
  <si>
    <t>582/1</t>
  </si>
  <si>
    <t>TRIUNFO</t>
  </si>
  <si>
    <t>4PIPE000437</t>
  </si>
  <si>
    <t>BA.LOG LOGISTICA E LOCAÇÃO</t>
  </si>
  <si>
    <t>2654,84</t>
  </si>
  <si>
    <t>Raizen</t>
  </si>
  <si>
    <t xml:space="preserve">4PIPE000429-01 </t>
  </si>
  <si>
    <t xml:space="preserve"> RIO DE JANEIRO</t>
  </si>
  <si>
    <t>TEXCAL</t>
  </si>
  <si>
    <t>4PIPE000425</t>
  </si>
  <si>
    <t>SERRA</t>
  </si>
  <si>
    <t>LCF TRANSPORTES LTDA</t>
  </si>
  <si>
    <t>22.320,05</t>
  </si>
  <si>
    <t xml:space="preserve">4 PIPE HIDROPIG - ENGENHARIA </t>
  </si>
  <si>
    <t xml:space="preserve">OC33995ESOM </t>
  </si>
  <si>
    <t xml:space="preserve">4PIPE000417rev01 </t>
  </si>
  <si>
    <t>MACAIBA</t>
  </si>
  <si>
    <t xml:space="preserve">TECNOLOG TRANSPORTE RODO AEREO E LOGISTICA </t>
  </si>
  <si>
    <t>29/06/2026</t>
  </si>
  <si>
    <t>ATRASO PCP</t>
  </si>
  <si>
    <t>PETROCOQUE</t>
  </si>
  <si>
    <t>4PIPE000430</t>
  </si>
  <si>
    <t>ROTEX TRANSPORTADORA LTDA</t>
  </si>
  <si>
    <t>Em trânsito</t>
  </si>
  <si>
    <t>15/07/2026</t>
  </si>
  <si>
    <t>ECB MOTA ENGIL</t>
  </si>
  <si>
    <t>IBI0041130</t>
  </si>
  <si>
    <t>4PIPE000436</t>
  </si>
  <si>
    <t>SEMANA 03 / JUN / 2026</t>
  </si>
  <si>
    <t>TRANSPORTADORA MARTINS GOMES LTDA</t>
  </si>
  <si>
    <t>4PIPE000450</t>
  </si>
  <si>
    <t>12.251,33</t>
  </si>
  <si>
    <t xml:space="preserve">TGA LOGISTICA E TRANSPORTES </t>
  </si>
  <si>
    <t>EQUIPSEA</t>
  </si>
  <si>
    <t>4PIPE000443</t>
  </si>
  <si>
    <t>PIRACICABA</t>
  </si>
  <si>
    <t>10.679,83</t>
  </si>
  <si>
    <t>16/07/2026</t>
  </si>
  <si>
    <t>CBL</t>
  </si>
  <si>
    <t xml:space="preserve">4PIPE000409 </t>
  </si>
  <si>
    <t>SPARTA</t>
  </si>
  <si>
    <t>AMAZONAS</t>
  </si>
  <si>
    <t>7279,85</t>
  </si>
  <si>
    <t>18.868,00</t>
  </si>
  <si>
    <t>115.398,23</t>
  </si>
  <si>
    <t>REVISAO PRAZO POR EMAIL - DEVIDO A AGENDAMENTO</t>
  </si>
  <si>
    <t>PO54377</t>
  </si>
  <si>
    <t>4PIPE000414-04</t>
  </si>
  <si>
    <t>SEMANA 05 / JUL / 2026</t>
  </si>
  <si>
    <t>4PIPE000422</t>
  </si>
  <si>
    <t>ESTUDO DE PIGABILIDADE</t>
  </si>
  <si>
    <t>4PIPE000407</t>
  </si>
  <si>
    <t>7877,69</t>
  </si>
  <si>
    <t>EMPRESA DE TRANSPORTES MARTINS</t>
  </si>
  <si>
    <t>485472TVT</t>
  </si>
  <si>
    <t>4PIPE000444</t>
  </si>
  <si>
    <t>MATA DE SÃO JOÃO</t>
  </si>
  <si>
    <t>6.097,04</t>
  </si>
  <si>
    <t>4PIPE000463</t>
  </si>
  <si>
    <t>81.174,30</t>
  </si>
  <si>
    <t>24/07/2026</t>
  </si>
  <si>
    <t>ATRASO PRODUÇÃO</t>
  </si>
  <si>
    <t>SUVINIl</t>
  </si>
  <si>
    <t>4PIPE000454</t>
  </si>
  <si>
    <t>SÃO BERNARDO DO CAMPO</t>
  </si>
  <si>
    <t xml:space="preserve">TRANSPORTADORA RAJAN </t>
  </si>
  <si>
    <t>4PIPE000382</t>
  </si>
  <si>
    <t>4PIPE000462</t>
  </si>
  <si>
    <t>75.328,46</t>
  </si>
  <si>
    <t>5.690,08</t>
  </si>
  <si>
    <t>PROINOX</t>
  </si>
  <si>
    <t>4PIPE000455-1</t>
  </si>
  <si>
    <t>SEMANA 01 / JUL / 2026</t>
  </si>
  <si>
    <t>9.180,00</t>
  </si>
  <si>
    <t>685/2026</t>
  </si>
  <si>
    <t xml:space="preserve">4PIPE000357-87-LOC </t>
  </si>
  <si>
    <t>MINERAÇÃO CURIMBABA</t>
  </si>
  <si>
    <t>4PIPE000458</t>
  </si>
  <si>
    <t>POÇOS DE CALDA</t>
  </si>
  <si>
    <t>2580,76</t>
  </si>
  <si>
    <t xml:space="preserve">4PIPE000442rev002 </t>
  </si>
  <si>
    <t>SEMANA 02 / JUL / 2026</t>
  </si>
  <si>
    <t>5.952,32</t>
  </si>
  <si>
    <t>13/07/2026</t>
  </si>
  <si>
    <t>BRASIl</t>
  </si>
  <si>
    <t>23/06/2026</t>
  </si>
  <si>
    <t>59946,60</t>
  </si>
  <si>
    <t xml:space="preserve">4PIPE000461 </t>
  </si>
  <si>
    <t>ITAPEMA</t>
  </si>
  <si>
    <t>3695,90</t>
  </si>
  <si>
    <t>AEROFOR TRANSPORTES DE CARGAS</t>
  </si>
  <si>
    <t>2025,00</t>
  </si>
  <si>
    <t>4PIPE000460</t>
  </si>
  <si>
    <t>46061,42</t>
  </si>
  <si>
    <t xml:space="preserve">PETROLEO BRASILEIROS S.A PETROBRAS </t>
  </si>
  <si>
    <t>4.481,44</t>
  </si>
  <si>
    <t>SACS</t>
  </si>
  <si>
    <t>4PIPE000493</t>
  </si>
  <si>
    <t>MOJI DAS CRUZES</t>
  </si>
  <si>
    <t>6920,00</t>
  </si>
  <si>
    <t xml:space="preserve">SACS CONSTRUÇÃO E MONTAGEM </t>
  </si>
  <si>
    <t>58.141,78</t>
  </si>
  <si>
    <t>IKM</t>
  </si>
  <si>
    <t>4PIPE000487-02</t>
  </si>
  <si>
    <t>SEMANA 04 / AGO / 2026</t>
  </si>
  <si>
    <t>6.178,65</t>
  </si>
  <si>
    <t xml:space="preserve">4PIPE000488 </t>
  </si>
  <si>
    <t>26/06/2026</t>
  </si>
  <si>
    <t>30/06/2026</t>
  </si>
  <si>
    <t>ITP</t>
  </si>
  <si>
    <t>VILA VELHA</t>
  </si>
  <si>
    <t>37.946,18</t>
  </si>
  <si>
    <t>HOLD TRANSPORTE PESADO EIRELI</t>
  </si>
  <si>
    <t>DIALISE</t>
  </si>
  <si>
    <t>4PIPE000410-3</t>
  </si>
  <si>
    <t>CONTAGEM</t>
  </si>
  <si>
    <t>5573,38</t>
  </si>
  <si>
    <t>EXPRESSO 200 TRANSPORTES</t>
  </si>
  <si>
    <t xml:space="preserve">4PIPE000502-01 </t>
  </si>
  <si>
    <t xml:space="preserve">FELKA TRANSPORTES LOGISTICA LTDA  </t>
  </si>
  <si>
    <t>4PIPE000515</t>
  </si>
  <si>
    <t>DUQUEDECAXIAS</t>
  </si>
  <si>
    <t>4PIPE000424-01</t>
  </si>
  <si>
    <t>SUVINIL</t>
  </si>
  <si>
    <t xml:space="preserve">4PIPE000272 </t>
  </si>
  <si>
    <t>JABOATÃO DOS
GUARARAPES</t>
  </si>
  <si>
    <t>3791,58</t>
  </si>
  <si>
    <t>14/07/2026</t>
  </si>
  <si>
    <t>30362,00</t>
  </si>
  <si>
    <t>21/08/2026</t>
  </si>
  <si>
    <t>4PIPE000331-1</t>
  </si>
  <si>
    <t>4157,30</t>
  </si>
  <si>
    <t>MOTO HELP ENTREGAS RAPIDAS</t>
  </si>
  <si>
    <t xml:space="preserve">4PIPE000484 </t>
  </si>
  <si>
    <t>31.476,70</t>
  </si>
  <si>
    <t>RAJAN TRANPORTES COMERCIO E INDUSTRIA LTDA</t>
  </si>
  <si>
    <t>31/07/2026</t>
  </si>
  <si>
    <t>AGR ENGENHARIA</t>
  </si>
  <si>
    <t xml:space="preserve">4PIPE000507 </t>
  </si>
  <si>
    <t>PORTO ALEGRE</t>
  </si>
  <si>
    <t>6881,71</t>
  </si>
  <si>
    <t xml:space="preserve">JAPKS LOGISTICA E TRANSPORTES </t>
  </si>
  <si>
    <t>4PIPE000479</t>
  </si>
  <si>
    <t>5400,00</t>
  </si>
  <si>
    <t>4PIPE000517</t>
  </si>
  <si>
    <t>7014,00</t>
  </si>
  <si>
    <t xml:space="preserve">MODULAR TRANSPORTES </t>
  </si>
  <si>
    <t>4PIPE000522</t>
  </si>
  <si>
    <t>N.R.M.S TRANSPORTES LTDA</t>
  </si>
  <si>
    <t>CONSORCIO GASODUTO</t>
  </si>
  <si>
    <t>4PIPE000520</t>
  </si>
  <si>
    <t>CURITIBA</t>
  </si>
  <si>
    <t>6.533,62</t>
  </si>
  <si>
    <t>RDL TRANSPORTES LTDA</t>
  </si>
  <si>
    <t>978,51</t>
  </si>
  <si>
    <t>4PIPE000512</t>
  </si>
  <si>
    <t>2.375,91</t>
  </si>
  <si>
    <t xml:space="preserve">4PIPE000481 </t>
  </si>
  <si>
    <t>23623,97</t>
  </si>
  <si>
    <t>4PIPE000499</t>
  </si>
  <si>
    <t>SEMANA 03 / JUL / 2026</t>
  </si>
  <si>
    <t>23/07/2026</t>
  </si>
  <si>
    <t>ANSELMO LOG TRANSPORTES E LOGISTICA LTDA</t>
  </si>
  <si>
    <t>AUSTEN</t>
  </si>
  <si>
    <t>4PIPE000506</t>
  </si>
  <si>
    <t>BELO HORIZONTE</t>
  </si>
  <si>
    <t>ok</t>
  </si>
  <si>
    <t>2040,70</t>
  </si>
  <si>
    <t>SETE LAGOAS TRANSPORTES LTDA</t>
  </si>
  <si>
    <t>3653,75</t>
  </si>
  <si>
    <t>29/07/2026</t>
  </si>
  <si>
    <t>TECNOLOG TRANSPORTE RODO AEREO</t>
  </si>
  <si>
    <t>2950,43</t>
  </si>
  <si>
    <t>12362,10</t>
  </si>
  <si>
    <t>8200,00</t>
  </si>
  <si>
    <t xml:space="preserve">RODONAVES TRANSPORTES </t>
  </si>
  <si>
    <t>20/07/2026</t>
  </si>
  <si>
    <t>4PIPE000526</t>
  </si>
  <si>
    <t>SÃO JOAO DA BARRA</t>
  </si>
  <si>
    <t>3496,56</t>
  </si>
  <si>
    <t>4PIPE000496-1</t>
  </si>
  <si>
    <t>Anchieta</t>
  </si>
  <si>
    <t>SEMANA 04 / JUL / 2026</t>
  </si>
  <si>
    <t>TEC BRASIL</t>
  </si>
  <si>
    <t>0775/2026</t>
  </si>
  <si>
    <t xml:space="preserve">4PIPE000533-1 </t>
  </si>
  <si>
    <t>20.299,63</t>
  </si>
  <si>
    <t>EXPRESSO RADIANTE TRANSPORTES EIRELLI</t>
  </si>
  <si>
    <t>VOPAK</t>
  </si>
  <si>
    <t xml:space="preserve">P7008977_0  </t>
  </si>
  <si>
    <t xml:space="preserve">4PIPE000494 </t>
  </si>
  <si>
    <t>3.931,72</t>
  </si>
  <si>
    <t>MODULAR TRANSPORTES</t>
  </si>
  <si>
    <t>622/1</t>
  </si>
  <si>
    <t>27.766,44</t>
  </si>
  <si>
    <t>645/1</t>
  </si>
  <si>
    <t>8125,00</t>
  </si>
  <si>
    <t>668/1</t>
  </si>
  <si>
    <t>HYDRA SPECMA</t>
  </si>
  <si>
    <t>4PIPE000541</t>
  </si>
  <si>
    <t>PINHAIS</t>
  </si>
  <si>
    <t>2290,00</t>
  </si>
  <si>
    <t>678/1</t>
  </si>
  <si>
    <t>10.527,80</t>
  </si>
  <si>
    <t>PETROBRAS TRANSPORTES - TRANSPETRO</t>
  </si>
  <si>
    <t>674/1</t>
  </si>
  <si>
    <t xml:space="preserve">N.R.M.S TRANSPORTES </t>
  </si>
  <si>
    <t>atraso fechamento embalagem</t>
  </si>
  <si>
    <t>CORDOVIL</t>
  </si>
  <si>
    <t>1685,20</t>
  </si>
  <si>
    <t>17/07/2026</t>
  </si>
  <si>
    <t xml:space="preserve">EMPRESA DE TRANSPORTES MARTINS LTDA </t>
  </si>
  <si>
    <t>GUARATINGUETÁ</t>
  </si>
  <si>
    <t>2456,00</t>
  </si>
  <si>
    <t>PARANAGUÁ</t>
  </si>
  <si>
    <t>5.150,70</t>
  </si>
  <si>
    <t>22/07/2026</t>
  </si>
  <si>
    <t>TRANSVAPT TRANSPORTES E LOGISTICA LTDA</t>
  </si>
  <si>
    <t>4PIPE000008</t>
  </si>
  <si>
    <t>18/702</t>
  </si>
  <si>
    <t>1.260,00</t>
  </si>
  <si>
    <t>21/07/2026</t>
  </si>
  <si>
    <t>INNOVE GROUP LTDA.</t>
  </si>
  <si>
    <t>MOOVE</t>
  </si>
  <si>
    <t>4PIPE000478</t>
  </si>
  <si>
    <t>38.899,00</t>
  </si>
  <si>
    <t>578/2</t>
  </si>
  <si>
    <t>656,00</t>
  </si>
  <si>
    <t>4PIPE HIDROPIG ENGENHARIA INDUSTRIAL</t>
  </si>
  <si>
    <t>SAO JOSE DOS PINHAIS</t>
  </si>
  <si>
    <t>924,57</t>
  </si>
  <si>
    <t>1755,00</t>
  </si>
  <si>
    <t xml:space="preserve">4PIPE000420-01 </t>
  </si>
  <si>
    <t>SEMANA 02 / AGO / 2026</t>
  </si>
  <si>
    <t>12143,44</t>
  </si>
  <si>
    <t>28/08/2026</t>
  </si>
  <si>
    <t>RODOMAC DE MACAE RODOVIARIO LTDA</t>
  </si>
  <si>
    <t>LETEX TRANSPORTES EIRELI</t>
  </si>
  <si>
    <t>10.237,48</t>
  </si>
  <si>
    <t>28/07/2026</t>
  </si>
  <si>
    <t>SEMANA 01 / AGO / 2026</t>
  </si>
  <si>
    <t>101514,71</t>
  </si>
  <si>
    <t>GUARULHOS</t>
  </si>
  <si>
    <t>3.375,02</t>
  </si>
  <si>
    <t>1.478,17</t>
  </si>
  <si>
    <t>IBI0041295</t>
  </si>
  <si>
    <t xml:space="preserve">SÃO JOÃO DA BARRA </t>
  </si>
  <si>
    <t>14717,44</t>
  </si>
  <si>
    <t>CPA TERMINAL PARANAGUA (TERIN)</t>
  </si>
  <si>
    <t>Isaías</t>
  </si>
  <si>
    <t xml:space="preserve">4PIPE000523 </t>
  </si>
  <si>
    <t>8010,32</t>
  </si>
  <si>
    <t>ELDER ALTO VANS EXPRESS</t>
  </si>
  <si>
    <t>3R PETROLEUM</t>
  </si>
  <si>
    <t>4PIPE000568</t>
  </si>
  <si>
    <t>16709,80</t>
  </si>
  <si>
    <t>atras: mal alinhamento COMERCIAL  x pcp x logistica</t>
  </si>
  <si>
    <t>12206 E 12212</t>
  </si>
  <si>
    <t>4PIPE000565 e 4PIPE000573</t>
  </si>
  <si>
    <t>5.091,06</t>
  </si>
  <si>
    <t xml:space="preserve">4PIPE000536 </t>
  </si>
  <si>
    <t>17/08/2026</t>
  </si>
  <si>
    <t>27.005,00</t>
  </si>
  <si>
    <t>KRULSANT TRANSPORTES LTDA</t>
  </si>
  <si>
    <t>DOW</t>
  </si>
  <si>
    <t>78/10</t>
  </si>
  <si>
    <t>3077,50</t>
  </si>
  <si>
    <t xml:space="preserve">4800001245 - 4695 </t>
  </si>
  <si>
    <t>27014,64</t>
  </si>
  <si>
    <t xml:space="preserve">4PIPE000546 </t>
  </si>
  <si>
    <t>ALISEO</t>
  </si>
  <si>
    <t xml:space="preserve">641375_0 </t>
  </si>
  <si>
    <t>4PIPE000571</t>
  </si>
  <si>
    <t xml:space="preserve">SP </t>
  </si>
  <si>
    <t>TREMENBÉ</t>
  </si>
  <si>
    <t>4.560,00</t>
  </si>
  <si>
    <t>641370_0</t>
  </si>
  <si>
    <t xml:space="preserve">                    4PIPE HIDROPIG - ENGENHARIA INDUSTRIAL L</t>
  </si>
  <si>
    <t>27/07/2026</t>
  </si>
  <si>
    <t>4PIPE000565rev001</t>
  </si>
  <si>
    <t>MOOVE(COSAN)</t>
  </si>
  <si>
    <t>4PIPE000564-01</t>
  </si>
  <si>
    <t xml:space="preserve">4PIPE000511 </t>
  </si>
  <si>
    <t>CATU</t>
  </si>
  <si>
    <t>10571,36</t>
  </si>
  <si>
    <t>19/08/2026</t>
  </si>
  <si>
    <t>25872,79</t>
  </si>
  <si>
    <t>20/08/2026</t>
  </si>
  <si>
    <t>MORKEN</t>
  </si>
  <si>
    <t>SANTA CRUZ DE LA SIERRA</t>
  </si>
  <si>
    <t>913,19</t>
  </si>
  <si>
    <t>13215,00</t>
  </si>
  <si>
    <t xml:space="preserve">4PIPE000562 </t>
  </si>
  <si>
    <t>4PIPE000561-01</t>
  </si>
  <si>
    <t>SEMANA 03 / AGO / 2026</t>
  </si>
  <si>
    <t>13654,17</t>
  </si>
  <si>
    <t>24/08/2026</t>
  </si>
  <si>
    <t>TECNOLOG TRANSPORTE RODO AEREO E LOGISTICO</t>
  </si>
  <si>
    <t>4551,39</t>
  </si>
  <si>
    <t>VERSASTIL</t>
  </si>
  <si>
    <t xml:space="preserve">4PIPE000411rev001 </t>
  </si>
  <si>
    <t>MANAUS</t>
  </si>
  <si>
    <t>28114,53</t>
  </si>
  <si>
    <t>4PIPE000525-1</t>
  </si>
  <si>
    <t>5072,32</t>
  </si>
  <si>
    <t xml:space="preserve">OC35801ESOM </t>
  </si>
  <si>
    <t>4PIPE000591-1</t>
  </si>
  <si>
    <t>2646,00</t>
  </si>
  <si>
    <t>06/082026</t>
  </si>
  <si>
    <t>Braspress</t>
  </si>
  <si>
    <t>TECHNIPFMC</t>
  </si>
  <si>
    <t>487544TVT</t>
  </si>
  <si>
    <t>4PIPE000600</t>
  </si>
  <si>
    <t>ENGEMONT</t>
  </si>
  <si>
    <t>4PIPE000602</t>
  </si>
  <si>
    <t>CAJAMAR</t>
  </si>
  <si>
    <t xml:space="preserve">ISS RD, SRL </t>
  </si>
  <si>
    <t>REPUBLICA DOMINICANA</t>
  </si>
  <si>
    <t>Santo Domingo</t>
  </si>
  <si>
    <t>110,50</t>
  </si>
  <si>
    <t>18/08/2026</t>
  </si>
  <si>
    <t xml:space="preserve">DHL EXPRESS (BRASIL) LTDA
</t>
  </si>
  <si>
    <t xml:space="preserve">4PIPE000509-01 </t>
  </si>
  <si>
    <t>4006,36</t>
  </si>
  <si>
    <t>TECNOSONDA</t>
  </si>
  <si>
    <t>4PIPE000518-02</t>
  </si>
  <si>
    <t>2552,06</t>
  </si>
  <si>
    <t>9004,88</t>
  </si>
  <si>
    <t>TRANSPORTES DELLA VOLPE S A COMERCIO E L</t>
  </si>
  <si>
    <t>4PIPE000189-02</t>
  </si>
  <si>
    <t>110558,66</t>
  </si>
  <si>
    <t>OC35841ESOM</t>
  </si>
  <si>
    <t>4PIPE000595-02</t>
  </si>
  <si>
    <t>10877,26</t>
  </si>
  <si>
    <t>EMPRESA DE TRANSPORTE MARTINS LTDA</t>
  </si>
  <si>
    <t>1204,00</t>
  </si>
  <si>
    <t>10270,31</t>
  </si>
  <si>
    <t>487755TVT</t>
  </si>
  <si>
    <t>4PIPE000557</t>
  </si>
  <si>
    <t>CAMBARA</t>
  </si>
  <si>
    <t>4PIPE000576</t>
  </si>
  <si>
    <t>SEMANA 01 / SET / 2026</t>
  </si>
  <si>
    <t>31/08/2026</t>
  </si>
  <si>
    <t>4PIPE00059-1</t>
  </si>
  <si>
    <t>LARANJEIRAS</t>
  </si>
  <si>
    <t>4PIPE000631</t>
  </si>
  <si>
    <t>794/022</t>
  </si>
  <si>
    <t>12600,00</t>
  </si>
  <si>
    <t>5568,80</t>
  </si>
  <si>
    <t>25/08/2026</t>
  </si>
  <si>
    <t>103829,03</t>
  </si>
  <si>
    <t xml:space="preserve">4PIPE HIDROPIG - ENGENHARIA INDUSTRIAL LTDA </t>
  </si>
  <si>
    <t>BIMEDA</t>
  </si>
  <si>
    <t>PO50825</t>
  </si>
  <si>
    <t>4PIPE000606</t>
  </si>
  <si>
    <t>CIF (SEDEX)</t>
  </si>
  <si>
    <t>MONTE MOR</t>
  </si>
  <si>
    <t>2357,16</t>
  </si>
  <si>
    <t xml:space="preserve">EMPRESA BRASILEIRA DE CORREIOS E TELEGRA
</t>
  </si>
  <si>
    <t>OCYAN</t>
  </si>
  <si>
    <t>PO1169</t>
  </si>
  <si>
    <t xml:space="preserve">4PIPE000556-02 </t>
  </si>
  <si>
    <t>PO1170</t>
  </si>
  <si>
    <t>4PIPE000608</t>
  </si>
  <si>
    <t>4500097627 / 4500093023</t>
  </si>
  <si>
    <t>944,91</t>
  </si>
  <si>
    <t xml:space="preserve">- </t>
  </si>
  <si>
    <t>4PIPE000545</t>
  </si>
  <si>
    <t>CANGUCU</t>
  </si>
  <si>
    <t>2436,88</t>
  </si>
  <si>
    <t>4PIPE000641</t>
  </si>
  <si>
    <t>4PIPE000634</t>
  </si>
  <si>
    <t>9873,60</t>
  </si>
  <si>
    <t>408,19</t>
  </si>
  <si>
    <t>4PIPE000485</t>
  </si>
  <si>
    <t>4133,29</t>
  </si>
  <si>
    <t>4PIPE000659</t>
  </si>
  <si>
    <t>SÃO MIGUEL DOS CAMPOS</t>
  </si>
  <si>
    <t>89351,00</t>
  </si>
  <si>
    <t>CONSTRUTORA RR</t>
  </si>
  <si>
    <t>4630-NATAL</t>
  </si>
  <si>
    <t xml:space="preserve"> 4PIPE000648-3</t>
  </si>
  <si>
    <t>RECIFE</t>
  </si>
  <si>
    <t>2193,52</t>
  </si>
  <si>
    <t>OCEANPACT</t>
  </si>
  <si>
    <t xml:space="preserve">22590-20 Rev. 11 </t>
  </si>
  <si>
    <t xml:space="preserve"> NITEROI</t>
  </si>
  <si>
    <t>PENDENTE</t>
  </si>
  <si>
    <t>SEMANA 05 / DEZ / 2026</t>
  </si>
  <si>
    <t>9212,00</t>
  </si>
  <si>
    <t>7850/7885</t>
  </si>
  <si>
    <t>ANGLO AMERICAN</t>
  </si>
  <si>
    <t>4PIPE000578</t>
  </si>
  <si>
    <t xml:space="preserve"> SANTO ANTONIO DO GRAMA</t>
  </si>
  <si>
    <t>2754,00</t>
  </si>
  <si>
    <t>7851, 7886</t>
  </si>
  <si>
    <t xml:space="preserve">INSERCOR SAS </t>
  </si>
  <si>
    <t>4PIPE000654</t>
  </si>
  <si>
    <t>COLOMBIA</t>
  </si>
  <si>
    <t>COTA–CHÍA</t>
  </si>
  <si>
    <t>45624,03</t>
  </si>
  <si>
    <t>21731,00</t>
  </si>
  <si>
    <t>4PIPE000594</t>
  </si>
  <si>
    <t>PINDAMONHNAGABA</t>
  </si>
  <si>
    <t>SILVER</t>
  </si>
  <si>
    <t>0946/2026</t>
  </si>
  <si>
    <t>4PIPE000692</t>
  </si>
  <si>
    <t>8120,00</t>
  </si>
  <si>
    <t>EMBASA</t>
  </si>
  <si>
    <t xml:space="preserve">4PIPE000646-02 </t>
  </si>
  <si>
    <t>FEIRA DE SANTANA</t>
  </si>
  <si>
    <t>3961,84</t>
  </si>
  <si>
    <t>4PIPE000646-01</t>
  </si>
  <si>
    <t>6241,22</t>
  </si>
  <si>
    <t xml:space="preserve">MORKEN </t>
  </si>
  <si>
    <t>Eduardo</t>
  </si>
  <si>
    <t>4PIPE000580-01</t>
  </si>
  <si>
    <t>QUITO</t>
  </si>
  <si>
    <t>SEMANA 03 / SET / 2026</t>
  </si>
  <si>
    <t>CARAGUATATUBA</t>
  </si>
  <si>
    <t>4PIPE000552</t>
  </si>
  <si>
    <t>4PIPE000688</t>
  </si>
  <si>
    <t>3540,64</t>
  </si>
  <si>
    <t>AIR LIQUIDE</t>
  </si>
  <si>
    <t xml:space="preserve">4PIPE000664 </t>
  </si>
  <si>
    <t>SUZANO</t>
  </si>
  <si>
    <t>SEMANA 02 / SET / 2026</t>
  </si>
  <si>
    <t>4PIPE000663</t>
  </si>
  <si>
    <t xml:space="preserve">PRIO </t>
  </si>
  <si>
    <t>4PIPE000680</t>
  </si>
  <si>
    <t>S/F</t>
  </si>
  <si>
    <t>SAO JOAO DA BARRA</t>
  </si>
  <si>
    <t>SEMANA 04 / SET / 2026</t>
  </si>
  <si>
    <t>PANCO</t>
  </si>
  <si>
    <t>4PIPE000574</t>
  </si>
  <si>
    <t>1093,31</t>
  </si>
  <si>
    <t>Bettersupply</t>
  </si>
  <si>
    <t>4PIPE000630</t>
  </si>
  <si>
    <t>INDIA</t>
  </si>
  <si>
    <t>HYDERABAD</t>
  </si>
  <si>
    <t>4PIPE000577-01</t>
  </si>
  <si>
    <t xml:space="preserve"> EM TRATATIVA</t>
  </si>
  <si>
    <t>4PIPE000685</t>
  </si>
  <si>
    <t xml:space="preserve">CARMOPOLIS </t>
  </si>
  <si>
    <t>NEXA</t>
  </si>
  <si>
    <t>4PIPE000643</t>
  </si>
  <si>
    <t>MT</t>
  </si>
  <si>
    <t>ARIPUANA</t>
  </si>
  <si>
    <t>DASHBOARD COMERCIAL</t>
  </si>
  <si>
    <t>Ano de Análise:</t>
  </si>
  <si>
    <t>Mês de Análise:</t>
  </si>
  <si>
    <t>Todos</t>
  </si>
  <si>
    <t>INDICADORES GERAIS</t>
  </si>
  <si>
    <t>Total de Pedidos</t>
  </si>
  <si>
    <t>Valor Total (R$)</t>
  </si>
  <si>
    <t>Ticket Médio (R$)</t>
  </si>
  <si>
    <t>RESUMO MENSAL - PEDIDOS INCLUÍDOS</t>
  </si>
  <si>
    <t>Mês</t>
  </si>
  <si>
    <t>Qtd Pedidos</t>
  </si>
  <si>
    <t>Valor Total</t>
  </si>
  <si>
    <t>Ticket Médio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</si>
  <si>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</si>
  <si>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</si>
  <si>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</si>
  <si>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</si>
  <si>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</si>
  <si>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</si>
  <si>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</si>
  <si>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</si>
  <si>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</si>
  <si>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</si>
  <si>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</si>
  <si>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</si>
  <si>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GERAL</t>
  </si>
  <si>
    <t>PEDIDOS INCLUÍDOS POR MÊS E SEMANA</t>
  </si>
  <si>
    <t>Semana</t>
  </si>
  <si>
    <t>Período</t>
  </si>
  <si>
    <t>Semana 1</t>
  </si>
  <si>
    <t>Semana 2</t>
  </si>
  <si>
    <t>Semana 3</t>
  </si>
  <si>
    <t>Semana 4</t>
  </si>
  <si>
    <t>Semana 5</t>
  </si>
  <si>
    <t>Total Janeiro</t>
  </si>
  <si>
    <t>Total Fevereiro</t>
  </si>
  <si>
    <t>Total Março</t>
  </si>
  <si>
    <t>Total Abril</t>
  </si>
  <si>
    <t>Total Maio</t>
  </si>
  <si>
    <t>Total Junho</t>
  </si>
  <si>
    <t>Total Julho</t>
  </si>
  <si>
    <t>Total Agosto</t>
  </si>
  <si>
    <t>Total Setembro</t>
  </si>
  <si>
    <t>Total Outubro</t>
  </si>
  <si>
    <t>Total Novembro</t>
  </si>
  <si>
    <t>Total Dezembro</t>
  </si>
  <si>
    <t>PEDIDOS INCLUÍDOS POR VENDEDOR</t>
  </si>
  <si>
    <t>Vendedor</t>
  </si>
  <si>
    <t>% Pedidos</t>
  </si>
  <si>
    <t>PEDIDOS INCLUÍDOS POR ESTADO</t>
  </si>
  <si>
    <t>Estado</t>
  </si>
  <si>
    <t>PEDIDOS INCLUÍDOS POR PAÍS</t>
  </si>
  <si>
    <t>País</t>
  </si>
  <si>
    <t>Mês de Análise (Top 5):</t>
  </si>
  <si>
    <t>TOP 5 CLIENTES POR VENDEDOR</t>
  </si>
  <si>
    <t>#</t>
  </si>
  <si>
    <t>Cliente</t>
  </si>
  <si>
    <t>Nº Pedido(s) TOTVS</t>
  </si>
  <si>
    <t>FATURAMENTO POR VENDEDOR x MÊS (Status PCP)</t>
  </si>
  <si>
    <t>Filtrado por Ano = $C$4 — meses extraídos da coluna AA (Término Semanal PCP - Cenário Real). Faturamento = Valor Total Pedido (col P).</t>
  </si>
  <si>
    <t>Meses (auto):</t>
  </si>
  <si>
    <t>FATURAMENTO POR VENDEDOR x MÊS - 2º SEMESTRE (Status PCP)</t>
  </si>
  <si>
    <t>Filtrado por Ano = $C$4 — meses fixos: Jul a Dez (extraídos da coluna AA - Término Semanal PCP). Faturamento = Valor Total Pedido (col P).</t>
  </si>
  <si>
    <t>índice mês →</t>
  </si>
  <si>
    <t>Julho
A Faturar</t>
  </si>
  <si>
    <t>Julho
Finalizado</t>
  </si>
  <si>
    <t>Agosto
A Faturar</t>
  </si>
  <si>
    <t>Agosto
Finalizado</t>
  </si>
  <si>
    <t>Setembro
A Faturar</t>
  </si>
  <si>
    <t>Setembro
Finalizado</t>
  </si>
  <si>
    <t>Outubro
A Faturar</t>
  </si>
  <si>
    <t>Outubro
Finalizado</t>
  </si>
  <si>
    <t>Novembro
A Faturar</t>
  </si>
  <si>
    <t>Novembro
Finalizado</t>
  </si>
  <si>
    <t>Dezembro
A Faturar</t>
  </si>
  <si>
    <t>Dezembro
Finalizado</t>
  </si>
  <si>
    <t>TOTAL
A Faturar</t>
  </si>
  <si>
    <t>TOTAL
Finalizado</t>
  </si>
  <si>
    <t>DASHBOARD PRODUÇÃO</t>
  </si>
  <si>
    <t>Pedidos Liberados</t>
  </si>
  <si>
    <t>Valor Liberado (R$)</t>
  </si>
  <si>
    <t>Lead Time Médio (dias)</t>
  </si>
  <si>
    <t>OTD (No Prazo %)</t>
  </si>
  <si>
    <t>Pedidos Faturados</t>
  </si>
  <si>
    <t>Valor Faturado (R$)</t>
  </si>
  <si>
    <t>LIBERAÇÕES PCP POR SEMANA</t>
  </si>
  <si>
    <t>Qtd Liberada</t>
  </si>
  <si>
    <t>Valor Liberado</t>
  </si>
  <si>
    <t>Valor Faturado</t>
  </si>
  <si>
    <t>Lead Time Médio</t>
  </si>
  <si>
    <t>STATUS DA PRODUÇÃO (por data de inclusão)</t>
  </si>
  <si>
    <t>Status</t>
  </si>
  <si>
    <t>Qtd</t>
  </si>
  <si>
    <t>Criticidade</t>
  </si>
  <si>
    <t>TOTAL</t>
  </si>
  <si>
    <t>PREVISÃO DE LIBERAÇÃO PCP - MENSAL (Em Produção + Pendente)</t>
  </si>
  <si>
    <t>Qtd Prevista</t>
  </si>
  <si>
    <t>Valor Previsto</t>
  </si>
  <si>
    <t>% do Total</t>
  </si>
  <si>
    <t>PREVISÃO DE LIBERAÇÃO PCP - SEMANAL (Em Produção + Pendente)</t>
  </si>
  <si>
    <t>OTD - ON-TIME DELIVERY</t>
  </si>
  <si>
    <t>Indicador</t>
  </si>
  <si>
    <t>Observação</t>
  </si>
  <si>
    <t>No Prazo (SIM)</t>
  </si>
  <si>
    <t>Entregas no prazo</t>
  </si>
  <si>
    <t>Com Atraso (NÃO)</t>
  </si>
  <si>
    <t>Entregas atrasadas</t>
  </si>
  <si>
    <t>Dias Médios Atraso/Antec.</t>
  </si>
  <si>
    <t>Positivo = antecipação</t>
  </si>
  <si>
    <t>Lead Time Operação Médio</t>
  </si>
  <si>
    <t>Inclusão → entrega cliente</t>
  </si>
  <si>
    <t>TIPO DEMANDA</t>
  </si>
  <si>
    <t>STATUS LOGISTICA</t>
  </si>
  <si>
    <t>STATUS DO PEDIDO
(INFORMAÇÕES)</t>
  </si>
  <si>
    <t>OTD 
(On-Time Delivery)
*ENTREGA NO PRAZO*</t>
  </si>
  <si>
    <t>FECHAMENTO 
SEMANAL</t>
  </si>
  <si>
    <t>Aguardando coleta / envio</t>
  </si>
  <si>
    <t>SEMANA 01 / OUT / 2026</t>
  </si>
  <si>
    <t>SEMANA 02 / OUT / 2026</t>
  </si>
  <si>
    <t>SEMANA 03 / OUT / 2026</t>
  </si>
  <si>
    <t>SEMANA 04 / OUT / 2026</t>
  </si>
  <si>
    <t>SEMANA 01 / NOV / 2026</t>
  </si>
  <si>
    <t>SEMANA 02 / NOV / 2026</t>
  </si>
  <si>
    <t>SEMANA 03 / NOV / 2026</t>
  </si>
  <si>
    <t>SEMANA 01 / DEZ / 2026</t>
  </si>
  <si>
    <t>SEMANA 02 / DEZ / 2026</t>
  </si>
  <si>
    <t>SEMANA 03 / DEZ / 2026</t>
  </si>
  <si>
    <t>SEMANA 04 / DEZ / 2026</t>
  </si>
  <si>
    <t>OUTUBRO/2025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</si>
</sst>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&quot;R$&quot;\ #,##0.00;\(&quot;R$&quot;\ #,##0.00\);\-"/>
    <numFmt numFmtId="166" formatCode="#,##0;\-;\-"/>
    <numFmt numFmtId="167" formatCode="&quot;R$&quot;\ #,##0;\(&quot;R$&quot;\ #,##0\);\-"/>
    <numFmt numFmtId="168" formatCode="0.0%;\-;\-"/>
    <numFmt numFmtId="169" formatCode="0.0"/>
    <numFmt numFmtId="170" formatCode="0.0%"/>
    <numFmt numFmtId="171" formatCode="&quot;R$ &quot;#,##0;[Red]&quot;R$ &quot;\(#,##0\);&quot;-&quot;"/>
    <numFmt numFmtId="172" formatCode="dd/mm/yy;@"/>
  </numFmts>
  <fonts count="5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  <font>
      <sz val="8"/>
      <name val="Courier New"/>
      <family val="3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name val="Calibri"/>
      <family val="2"/>
    </font>
    <font>
      <b/>
      <sz val="22"/>
      <color rgb="FF000000"/>
      <name val="Aptos Narrow"/>
      <family val="2"/>
    </font>
    <font>
      <b/>
      <sz val="22"/>
      <color rgb="FF000000"/>
      <name val="Calibri"/>
      <family val="2"/>
    </font>
    <font>
      <sz val="12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i/>
      <sz val="8"/>
      <color rgb="FFBFBFBF"/>
      <name val="Aptos Narrow"/>
      <family val="2"/>
      <scheme val="minor"/>
    </font>
    <font>
      <sz val="12"/>
      <color rgb="FF000000"/>
      <name val="Aptos"/>
      <family val="2"/>
      <charset val="1"/>
    </font>
    <font>
      <sz val="11"/>
      <color rgb="FF2C363A"/>
      <name val="Calibri"/>
      <family val="2"/>
    </font>
    <font>
      <sz val="12"/>
      <color rgb="FF242424"/>
      <name val="Aptos Narrow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u val="double"/>
      <sz val="22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rgb="FFFFFFFF"/>
      </bottom>
      <diagonal/>
    </border>
    <border>
      <left/>
      <right/>
      <top style="thin">
        <color theme="0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FFFFFF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5" fillId="0" borderId="0" applyNumberFormat="0" applyFill="0" applyBorder="0" applyAlignment="0" applyProtection="0"/>
    <xf numFmtId="43" fontId="46" fillId="0" borderId="0" applyFont="0" applyFill="0" applyBorder="0" applyAlignment="0" applyProtection="0"/>
    <xf numFmtId="44" fontId="43" fillId="0" borderId="0" applyFont="0" applyFill="0" applyBorder="0" applyAlignment="0" applyProtection="0"/>
  </cellStyleXfs>
  <cellXfs count="450">
    <xf numFmtId="0" fontId="0" fillId="0" borderId="0" xfId="0"/>
    <xf numFmtId="0" fontId="0" fillId="2" borderId="0" xfId="0" applyFill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64" fontId="8" fillId="2" borderId="1" xfId="0" applyNumberFormat="1" applyFont="1" applyFill="1" applyBorder="1"/>
    <xf numFmtId="0" fontId="2" fillId="2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4" fontId="0" fillId="2" borderId="0" xfId="0" applyNumberFormat="1" applyFill="1"/>
    <xf numFmtId="164" fontId="6" fillId="2" borderId="0" xfId="0" applyNumberFormat="1" applyFont="1" applyFill="1"/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2" borderId="0" xfId="0" applyFont="1" applyFill="1"/>
    <xf numFmtId="14" fontId="13" fillId="2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14" fontId="13" fillId="2" borderId="6" xfId="0" applyNumberFormat="1" applyFont="1" applyFill="1" applyBorder="1" applyAlignment="1">
      <alignment horizontal="center" vertical="center"/>
    </xf>
    <xf numFmtId="0" fontId="0" fillId="0" borderId="1" xfId="0" applyBorder="1"/>
    <xf numFmtId="164" fontId="6" fillId="2" borderId="6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2" borderId="13" xfId="0" applyFill="1" applyBorder="1"/>
    <xf numFmtId="0" fontId="0" fillId="2" borderId="1" xfId="0" applyFill="1" applyBorder="1" applyAlignment="1">
      <alignment horizontal="center" vertical="center"/>
    </xf>
    <xf numFmtId="14" fontId="2" fillId="2" borderId="0" xfId="0" applyNumberFormat="1" applyFont="1" applyFill="1"/>
    <xf numFmtId="49" fontId="2" fillId="2" borderId="10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/>
    <xf numFmtId="0" fontId="5" fillId="0" borderId="0" xfId="0" applyFont="1" applyAlignment="1">
      <alignment horizontal="center" vertical="center" wrapText="1"/>
    </xf>
    <xf numFmtId="14" fontId="8" fillId="2" borderId="6" xfId="0" applyNumberFormat="1" applyFont="1" applyFill="1" applyBorder="1" applyAlignment="1">
      <alignment horizontal="center" vertical="center"/>
    </xf>
    <xf numFmtId="14" fontId="8" fillId="2" borderId="0" xfId="0" applyNumberFormat="1" applyFont="1" applyFill="1"/>
    <xf numFmtId="0" fontId="13" fillId="2" borderId="0" xfId="0" applyFont="1" applyFill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2" borderId="0" xfId="0" applyFont="1" applyFill="1"/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18" fillId="2" borderId="0" xfId="0" applyNumberFormat="1" applyFont="1" applyFill="1"/>
    <xf numFmtId="14" fontId="2" fillId="2" borderId="3" xfId="0" applyNumberFormat="1" applyFont="1" applyFill="1" applyBorder="1" applyAlignment="1">
      <alignment horizontal="center" vertical="center"/>
    </xf>
    <xf numFmtId="14" fontId="13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164" fontId="1" fillId="7" borderId="14" xfId="0" applyNumberFormat="1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20" fillId="8" borderId="5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6" xfId="0" quotePrefix="1" applyFont="1" applyFill="1" applyBorder="1" applyAlignment="1">
      <alignment horizontal="center" vertical="center"/>
    </xf>
    <xf numFmtId="14" fontId="20" fillId="8" borderId="6" xfId="0" applyNumberFormat="1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20" fillId="8" borderId="6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14" fontId="22" fillId="3" borderId="14" xfId="0" applyNumberFormat="1" applyFont="1" applyFill="1" applyBorder="1" applyAlignment="1">
      <alignment horizontal="center" vertical="center" wrapText="1"/>
    </xf>
    <xf numFmtId="14" fontId="21" fillId="3" borderId="17" xfId="0" applyNumberFormat="1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164" fontId="22" fillId="3" borderId="17" xfId="0" applyNumberFormat="1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14" fontId="21" fillId="3" borderId="16" xfId="0" applyNumberFormat="1" applyFont="1" applyFill="1" applyBorder="1" applyAlignment="1">
      <alignment horizontal="center" vertical="center" wrapText="1"/>
    </xf>
    <xf numFmtId="17" fontId="0" fillId="2" borderId="6" xfId="0" applyNumberFormat="1" applyFill="1" applyBorder="1" applyAlignment="1">
      <alignment horizontal="center" vertical="center"/>
    </xf>
    <xf numFmtId="49" fontId="21" fillId="6" borderId="16" xfId="0" applyNumberFormat="1" applyFont="1" applyFill="1" applyBorder="1" applyAlignment="1">
      <alignment horizontal="center" vertical="center" wrapText="1"/>
    </xf>
    <xf numFmtId="14" fontId="21" fillId="6" borderId="15" xfId="0" applyNumberFormat="1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14" fontId="21" fillId="6" borderId="17" xfId="0" applyNumberFormat="1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164" fontId="21" fillId="6" borderId="17" xfId="0" applyNumberFormat="1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 wrapText="1"/>
    </xf>
    <xf numFmtId="14" fontId="21" fillId="5" borderId="15" xfId="0" applyNumberFormat="1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164" fontId="21" fillId="5" borderId="18" xfId="0" applyNumberFormat="1" applyFont="1" applyFill="1" applyBorder="1" applyAlignment="1">
      <alignment horizontal="center" vertical="center" wrapText="1"/>
    </xf>
    <xf numFmtId="164" fontId="24" fillId="2" borderId="3" xfId="0" applyNumberFormat="1" applyFont="1" applyFill="1" applyBorder="1" applyAlignment="1">
      <alignment horizontal="center" vertical="center"/>
    </xf>
    <xf numFmtId="164" fontId="24" fillId="2" borderId="6" xfId="0" applyNumberFormat="1" applyFont="1" applyFill="1" applyBorder="1" applyAlignment="1">
      <alignment horizontal="center" vertical="center"/>
    </xf>
    <xf numFmtId="164" fontId="23" fillId="2" borderId="0" xfId="0" applyNumberFormat="1" applyFont="1" applyFill="1"/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0" fillId="2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4" fontId="0" fillId="2" borderId="20" xfId="0" applyNumberForma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4" fontId="2" fillId="2" borderId="20" xfId="0" applyNumberFormat="1" applyFont="1" applyFill="1" applyBorder="1" applyAlignment="1">
      <alignment horizontal="center" vertical="center"/>
    </xf>
    <xf numFmtId="14" fontId="13" fillId="2" borderId="20" xfId="0" applyNumberFormat="1" applyFont="1" applyFill="1" applyBorder="1" applyAlignment="1">
      <alignment horizontal="center" vertical="center"/>
    </xf>
    <xf numFmtId="164" fontId="6" fillId="2" borderId="20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 vertical="center"/>
    </xf>
    <xf numFmtId="14" fontId="8" fillId="2" borderId="20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64" fontId="24" fillId="2" borderId="20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/>
    </xf>
    <xf numFmtId="164" fontId="17" fillId="2" borderId="6" xfId="0" applyNumberFormat="1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0" fillId="8" borderId="19" xfId="0" applyFont="1" applyFill="1" applyBorder="1" applyAlignment="1">
      <alignment horizontal="center" vertical="center"/>
    </xf>
    <xf numFmtId="0" fontId="27" fillId="0" borderId="19" xfId="0" quotePrefix="1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22" fillId="3" borderId="14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/>
    <xf numFmtId="10" fontId="8" fillId="2" borderId="3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33" fillId="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4" fontId="8" fillId="10" borderId="3" xfId="0" applyNumberFormat="1" applyFont="1" applyFill="1" applyBorder="1" applyAlignment="1">
      <alignment horizontal="center" vertical="center"/>
    </xf>
    <xf numFmtId="14" fontId="8" fillId="10" borderId="6" xfId="0" applyNumberFormat="1" applyFont="1" applyFill="1" applyBorder="1" applyAlignment="1">
      <alignment horizontal="center" vertical="center"/>
    </xf>
    <xf numFmtId="14" fontId="8" fillId="10" borderId="20" xfId="0" applyNumberFormat="1" applyFont="1" applyFill="1" applyBorder="1" applyAlignment="1">
      <alignment horizontal="center" vertical="center"/>
    </xf>
    <xf numFmtId="14" fontId="8" fillId="10" borderId="0" xfId="0" applyNumberFormat="1" applyFont="1" applyFill="1"/>
    <xf numFmtId="14" fontId="27" fillId="0" borderId="19" xfId="0" applyNumberFormat="1" applyFont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7" fillId="10" borderId="1" xfId="0" applyFont="1" applyFill="1" applyBorder="1"/>
    <xf numFmtId="164" fontId="26" fillId="2" borderId="6" xfId="0" applyNumberFormat="1" applyFont="1" applyFill="1" applyBorder="1" applyAlignment="1">
      <alignment horizontal="center" vertical="center"/>
    </xf>
    <xf numFmtId="164" fontId="20" fillId="0" borderId="6" xfId="0" applyNumberFormat="1" applyFont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14" fontId="35" fillId="4" borderId="6" xfId="0" applyNumberFormat="1" applyFont="1" applyFill="1" applyBorder="1" applyAlignment="1">
      <alignment horizontal="center" vertical="center"/>
    </xf>
    <xf numFmtId="8" fontId="0" fillId="2" borderId="6" xfId="0" applyNumberFormat="1" applyFill="1" applyBorder="1" applyAlignment="1">
      <alignment horizontal="center" vertical="center"/>
    </xf>
    <xf numFmtId="14" fontId="8" fillId="3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3" fontId="0" fillId="2" borderId="6" xfId="0" applyNumberForma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0" fillId="0" borderId="0" xfId="0" applyFont="1"/>
    <xf numFmtId="0" fontId="28" fillId="3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3" xfId="0" applyBorder="1"/>
    <xf numFmtId="0" fontId="37" fillId="0" borderId="23" xfId="0" applyFont="1" applyBorder="1" applyAlignment="1">
      <alignment horizontal="right"/>
    </xf>
    <xf numFmtId="0" fontId="37" fillId="14" borderId="23" xfId="0" applyFont="1" applyFill="1" applyBorder="1"/>
    <xf numFmtId="3" fontId="12" fillId="0" borderId="23" xfId="0" applyNumberFormat="1" applyFont="1" applyBorder="1" applyAlignment="1">
      <alignment horizontal="center"/>
    </xf>
    <xf numFmtId="165" fontId="12" fillId="0" borderId="23" xfId="0" applyNumberFormat="1" applyFont="1" applyBorder="1" applyAlignment="1">
      <alignment horizontal="center"/>
    </xf>
    <xf numFmtId="0" fontId="37" fillId="14" borderId="23" xfId="0" applyFon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5" fontId="0" fillId="0" borderId="23" xfId="0" applyNumberFormat="1" applyBorder="1"/>
    <xf numFmtId="0" fontId="41" fillId="11" borderId="23" xfId="0" applyFont="1" applyFill="1" applyBorder="1"/>
    <xf numFmtId="166" fontId="41" fillId="11" borderId="23" xfId="0" applyNumberFormat="1" applyFont="1" applyFill="1" applyBorder="1" applyAlignment="1">
      <alignment horizontal="center"/>
    </xf>
    <xf numFmtId="165" fontId="41" fillId="11" borderId="23" xfId="0" applyNumberFormat="1" applyFont="1" applyFill="1" applyBorder="1"/>
    <xf numFmtId="165" fontId="37" fillId="14" borderId="23" xfId="0" applyNumberFormat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66" fontId="37" fillId="14" borderId="23" xfId="0" applyNumberFormat="1" applyFont="1" applyFill="1" applyBorder="1" applyAlignment="1">
      <alignment horizontal="center"/>
    </xf>
    <xf numFmtId="165" fontId="37" fillId="14" borderId="23" xfId="0" applyNumberFormat="1" applyFont="1" applyFill="1" applyBorder="1"/>
    <xf numFmtId="0" fontId="38" fillId="2" borderId="23" xfId="0" applyFont="1" applyFill="1" applyBorder="1"/>
    <xf numFmtId="168" fontId="0" fillId="0" borderId="23" xfId="0" applyNumberFormat="1" applyBorder="1" applyAlignment="1">
      <alignment horizontal="center"/>
    </xf>
    <xf numFmtId="168" fontId="41" fillId="11" borderId="23" xfId="0" applyNumberFormat="1" applyFont="1" applyFill="1" applyBorder="1" applyAlignment="1">
      <alignment horizontal="center"/>
    </xf>
    <xf numFmtId="0" fontId="0" fillId="0" borderId="24" xfId="0" applyBorder="1"/>
    <xf numFmtId="0" fontId="0" fillId="0" borderId="26" xfId="0" applyBorder="1"/>
    <xf numFmtId="0" fontId="0" fillId="0" borderId="30" xfId="0" applyBorder="1"/>
    <xf numFmtId="165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2" borderId="23" xfId="0" applyFill="1" applyBorder="1"/>
    <xf numFmtId="0" fontId="41" fillId="2" borderId="27" xfId="0" applyFont="1" applyFill="1" applyBorder="1"/>
    <xf numFmtId="0" fontId="41" fillId="2" borderId="28" xfId="0" applyFont="1" applyFill="1" applyBorder="1" applyAlignment="1">
      <alignment horizontal="center"/>
    </xf>
    <xf numFmtId="166" fontId="41" fillId="2" borderId="29" xfId="0" applyNumberFormat="1" applyFont="1" applyFill="1" applyBorder="1" applyAlignment="1">
      <alignment horizontal="center"/>
    </xf>
    <xf numFmtId="167" fontId="41" fillId="2" borderId="23" xfId="0" applyNumberFormat="1" applyFont="1" applyFill="1" applyBorder="1"/>
    <xf numFmtId="0" fontId="0" fillId="2" borderId="24" xfId="0" applyFill="1" applyBorder="1"/>
    <xf numFmtId="166" fontId="41" fillId="2" borderId="28" xfId="0" applyNumberFormat="1" applyFont="1" applyFill="1" applyBorder="1" applyAlignment="1">
      <alignment horizontal="center"/>
    </xf>
    <xf numFmtId="165" fontId="41" fillId="2" borderId="28" xfId="0" applyNumberFormat="1" applyFont="1" applyFill="1" applyBorder="1"/>
    <xf numFmtId="168" fontId="41" fillId="2" borderId="29" xfId="0" applyNumberFormat="1" applyFont="1" applyFill="1" applyBorder="1" applyAlignment="1">
      <alignment horizontal="center"/>
    </xf>
    <xf numFmtId="0" fontId="0" fillId="2" borderId="26" xfId="0" applyFill="1" applyBorder="1"/>
    <xf numFmtId="0" fontId="39" fillId="12" borderId="23" xfId="0" applyFont="1" applyFill="1" applyBorder="1" applyAlignment="1">
      <alignment horizontal="center"/>
    </xf>
    <xf numFmtId="0" fontId="37" fillId="17" borderId="23" xfId="0" applyFont="1" applyFill="1" applyBorder="1"/>
    <xf numFmtId="170" fontId="12" fillId="0" borderId="23" xfId="0" applyNumberFormat="1" applyFont="1" applyBorder="1" applyAlignment="1">
      <alignment horizontal="center"/>
    </xf>
    <xf numFmtId="0" fontId="37" fillId="17" borderId="23" xfId="0" applyFont="1" applyFill="1" applyBorder="1" applyAlignment="1">
      <alignment horizontal="center"/>
    </xf>
    <xf numFmtId="169" fontId="0" fillId="0" borderId="23" xfId="0" applyNumberFormat="1" applyBorder="1" applyAlignment="1">
      <alignment horizontal="center"/>
    </xf>
    <xf numFmtId="0" fontId="41" fillId="15" borderId="23" xfId="0" applyFont="1" applyFill="1" applyBorder="1"/>
    <xf numFmtId="166" fontId="41" fillId="15" borderId="23" xfId="0" applyNumberFormat="1" applyFont="1" applyFill="1" applyBorder="1" applyAlignment="1">
      <alignment horizontal="center"/>
    </xf>
    <xf numFmtId="165" fontId="41" fillId="15" borderId="23" xfId="0" applyNumberFormat="1" applyFont="1" applyFill="1" applyBorder="1"/>
    <xf numFmtId="168" fontId="41" fillId="15" borderId="23" xfId="0" applyNumberFormat="1" applyFont="1" applyFill="1" applyBorder="1" applyAlignment="1">
      <alignment horizontal="center"/>
    </xf>
    <xf numFmtId="0" fontId="38" fillId="15" borderId="24" xfId="0" applyFont="1" applyFill="1" applyBorder="1" applyAlignment="1">
      <alignment vertical="center"/>
    </xf>
    <xf numFmtId="0" fontId="38" fillId="15" borderId="25" xfId="0" applyFont="1" applyFill="1" applyBorder="1" applyAlignment="1">
      <alignment vertical="center"/>
    </xf>
    <xf numFmtId="0" fontId="38" fillId="15" borderId="26" xfId="0" applyFont="1" applyFill="1" applyBorder="1" applyAlignment="1">
      <alignment vertical="center"/>
    </xf>
    <xf numFmtId="166" fontId="37" fillId="17" borderId="23" xfId="0" applyNumberFormat="1" applyFont="1" applyFill="1" applyBorder="1" applyAlignment="1">
      <alignment horizontal="center"/>
    </xf>
    <xf numFmtId="165" fontId="37" fillId="17" borderId="23" xfId="0" applyNumberFormat="1" applyFont="1" applyFill="1" applyBorder="1"/>
    <xf numFmtId="0" fontId="42" fillId="14" borderId="0" xfId="0" applyFont="1" applyFill="1" applyAlignment="1">
      <alignment horizontal="center"/>
    </xf>
    <xf numFmtId="0" fontId="42" fillId="18" borderId="0" xfId="0" applyFont="1" applyFill="1" applyAlignment="1">
      <alignment horizontal="center"/>
    </xf>
    <xf numFmtId="0" fontId="43" fillId="18" borderId="0" xfId="0" applyFont="1" applyFill="1" applyAlignment="1">
      <alignment horizontal="left"/>
    </xf>
    <xf numFmtId="0" fontId="44" fillId="18" borderId="0" xfId="0" applyFont="1" applyFill="1" applyAlignment="1">
      <alignment horizontal="left"/>
    </xf>
    <xf numFmtId="166" fontId="43" fillId="18" borderId="0" xfId="0" applyNumberFormat="1" applyFont="1" applyFill="1" applyAlignment="1">
      <alignment horizontal="center"/>
    </xf>
    <xf numFmtId="165" fontId="43" fillId="18" borderId="0" xfId="0" applyNumberFormat="1" applyFont="1" applyFill="1" applyAlignment="1">
      <alignment horizontal="center"/>
    </xf>
    <xf numFmtId="0" fontId="45" fillId="12" borderId="30" xfId="0" applyFont="1" applyFill="1" applyBorder="1" applyAlignment="1">
      <alignment horizontal="center"/>
    </xf>
    <xf numFmtId="0" fontId="41" fillId="2" borderId="30" xfId="0" applyFont="1" applyFill="1" applyBorder="1"/>
    <xf numFmtId="166" fontId="41" fillId="2" borderId="30" xfId="0" applyNumberFormat="1" applyFont="1" applyFill="1" applyBorder="1" applyAlignment="1">
      <alignment horizontal="center"/>
    </xf>
    <xf numFmtId="165" fontId="41" fillId="2" borderId="30" xfId="0" applyNumberFormat="1" applyFont="1" applyFill="1" applyBorder="1"/>
    <xf numFmtId="168" fontId="41" fillId="2" borderId="3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14" fontId="2" fillId="2" borderId="32" xfId="0" applyNumberFormat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37" fillId="0" borderId="30" xfId="0" applyFont="1" applyBorder="1" applyAlignment="1">
      <alignment horizontal="right"/>
    </xf>
    <xf numFmtId="0" fontId="41" fillId="11" borderId="0" xfId="0" applyFont="1" applyFill="1" applyAlignment="1">
      <alignment horizontal="left"/>
    </xf>
    <xf numFmtId="0" fontId="41" fillId="11" borderId="0" xfId="0" applyFont="1" applyFill="1"/>
    <xf numFmtId="0" fontId="37" fillId="18" borderId="0" xfId="0" applyFont="1" applyFill="1" applyAlignment="1">
      <alignment horizontal="center"/>
    </xf>
    <xf numFmtId="0" fontId="37" fillId="14" borderId="0" xfId="0" applyFont="1" applyFill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41" fillId="11" borderId="23" xfId="0" applyFont="1" applyFill="1" applyBorder="1" applyAlignment="1">
      <alignment horizontal="center"/>
    </xf>
    <xf numFmtId="0" fontId="40" fillId="16" borderId="29" xfId="0" applyFont="1" applyFill="1" applyBorder="1" applyAlignment="1">
      <alignment horizontal="center"/>
    </xf>
    <xf numFmtId="0" fontId="37" fillId="19" borderId="0" xfId="0" applyFont="1" applyFill="1"/>
    <xf numFmtId="0" fontId="41" fillId="11" borderId="23" xfId="0" applyFont="1" applyFill="1" applyBorder="1" applyAlignment="1">
      <alignment horizontal="center" wrapText="1"/>
    </xf>
    <xf numFmtId="0" fontId="37" fillId="19" borderId="23" xfId="0" applyFont="1" applyFill="1" applyBorder="1"/>
    <xf numFmtId="171" fontId="0" fillId="2" borderId="0" xfId="0" applyNumberFormat="1" applyFill="1"/>
    <xf numFmtId="171" fontId="0" fillId="2" borderId="23" xfId="0" applyNumberFormat="1" applyFill="1" applyBorder="1"/>
    <xf numFmtId="171" fontId="0" fillId="0" borderId="23" xfId="0" applyNumberFormat="1" applyBorder="1"/>
    <xf numFmtId="0" fontId="0" fillId="2" borderId="34" xfId="0" applyFill="1" applyBorder="1"/>
    <xf numFmtId="171" fontId="0" fillId="2" borderId="30" xfId="0" applyNumberFormat="1" applyFill="1" applyBorder="1"/>
    <xf numFmtId="0" fontId="48" fillId="2" borderId="23" xfId="0" applyFont="1" applyFill="1" applyBorder="1"/>
    <xf numFmtId="0" fontId="0" fillId="0" borderId="34" xfId="0" applyBorder="1"/>
    <xf numFmtId="0" fontId="42" fillId="17" borderId="37" xfId="0" applyFont="1" applyFill="1" applyBorder="1" applyAlignment="1">
      <alignment horizontal="center"/>
    </xf>
    <xf numFmtId="0" fontId="42" fillId="17" borderId="38" xfId="0" applyFont="1" applyFill="1" applyBorder="1" applyAlignment="1">
      <alignment horizontal="center"/>
    </xf>
    <xf numFmtId="0" fontId="42" fillId="17" borderId="39" xfId="0" applyFont="1" applyFill="1" applyBorder="1" applyAlignment="1">
      <alignment horizontal="center"/>
    </xf>
    <xf numFmtId="0" fontId="0" fillId="18" borderId="37" xfId="0" applyFill="1" applyBorder="1"/>
    <xf numFmtId="0" fontId="0" fillId="18" borderId="38" xfId="0" applyFill="1" applyBorder="1" applyAlignment="1">
      <alignment horizontal="center"/>
    </xf>
    <xf numFmtId="166" fontId="0" fillId="18" borderId="38" xfId="0" applyNumberFormat="1" applyFill="1" applyBorder="1" applyAlignment="1">
      <alignment horizontal="center"/>
    </xf>
    <xf numFmtId="165" fontId="0" fillId="18" borderId="38" xfId="0" applyNumberFormat="1" applyFill="1" applyBorder="1"/>
    <xf numFmtId="169" fontId="0" fillId="18" borderId="39" xfId="0" applyNumberFormat="1" applyFill="1" applyBorder="1" applyAlignment="1">
      <alignment horizontal="center"/>
    </xf>
    <xf numFmtId="0" fontId="41" fillId="20" borderId="37" xfId="0" applyFont="1" applyFill="1" applyBorder="1"/>
    <xf numFmtId="0" fontId="41" fillId="20" borderId="38" xfId="0" applyFont="1" applyFill="1" applyBorder="1" applyAlignment="1">
      <alignment horizontal="center"/>
    </xf>
    <xf numFmtId="166" fontId="41" fillId="20" borderId="38" xfId="0" applyNumberFormat="1" applyFont="1" applyFill="1" applyBorder="1" applyAlignment="1">
      <alignment horizontal="center"/>
    </xf>
    <xf numFmtId="165" fontId="41" fillId="20" borderId="38" xfId="0" applyNumberFormat="1" applyFont="1" applyFill="1" applyBorder="1"/>
    <xf numFmtId="169" fontId="41" fillId="20" borderId="39" xfId="0" applyNumberFormat="1" applyFont="1" applyFill="1" applyBorder="1" applyAlignment="1">
      <alignment horizontal="center"/>
    </xf>
    <xf numFmtId="0" fontId="41" fillId="15" borderId="40" xfId="0" applyFont="1" applyFill="1" applyBorder="1"/>
    <xf numFmtId="0" fontId="41" fillId="15" borderId="41" xfId="0" applyFont="1" applyFill="1" applyBorder="1"/>
    <xf numFmtId="166" fontId="41" fillId="15" borderId="41" xfId="0" applyNumberFormat="1" applyFont="1" applyFill="1" applyBorder="1" applyAlignment="1">
      <alignment horizontal="center"/>
    </xf>
    <xf numFmtId="165" fontId="41" fillId="15" borderId="41" xfId="0" applyNumberFormat="1" applyFont="1" applyFill="1" applyBorder="1"/>
    <xf numFmtId="169" fontId="41" fillId="15" borderId="42" xfId="0" applyNumberFormat="1" applyFont="1" applyFill="1" applyBorder="1" applyAlignment="1">
      <alignment horizontal="center"/>
    </xf>
    <xf numFmtId="0" fontId="42" fillId="17" borderId="43" xfId="0" applyFont="1" applyFill="1" applyBorder="1" applyAlignment="1">
      <alignment horizontal="center"/>
    </xf>
    <xf numFmtId="165" fontId="0" fillId="18" borderId="43" xfId="0" applyNumberFormat="1" applyFill="1" applyBorder="1"/>
    <xf numFmtId="165" fontId="41" fillId="20" borderId="43" xfId="0" applyNumberFormat="1" applyFont="1" applyFill="1" applyBorder="1"/>
    <xf numFmtId="165" fontId="41" fillId="15" borderId="44" xfId="0" applyNumberFormat="1" applyFont="1" applyFill="1" applyBorder="1"/>
    <xf numFmtId="0" fontId="37" fillId="17" borderId="26" xfId="0" applyFont="1" applyFill="1" applyBorder="1" applyAlignment="1">
      <alignment horizontal="center"/>
    </xf>
    <xf numFmtId="165" fontId="0" fillId="0" borderId="26" xfId="0" applyNumberFormat="1" applyBorder="1"/>
    <xf numFmtId="165" fontId="37" fillId="17" borderId="26" xfId="0" applyNumberFormat="1" applyFont="1" applyFill="1" applyBorder="1"/>
    <xf numFmtId="165" fontId="41" fillId="15" borderId="26" xfId="0" applyNumberFormat="1" applyFont="1" applyFill="1" applyBorder="1"/>
    <xf numFmtId="0" fontId="42" fillId="17" borderId="34" xfId="0" applyFont="1" applyFill="1" applyBorder="1"/>
    <xf numFmtId="3" fontId="49" fillId="18" borderId="34" xfId="0" applyNumberFormat="1" applyFont="1" applyFill="1" applyBorder="1" applyAlignment="1">
      <alignment horizontal="center"/>
    </xf>
    <xf numFmtId="165" fontId="49" fillId="18" borderId="34" xfId="0" applyNumberFormat="1" applyFont="1" applyFill="1" applyBorder="1" applyAlignment="1">
      <alignment horizontal="center"/>
    </xf>
    <xf numFmtId="0" fontId="37" fillId="18" borderId="23" xfId="0" applyFont="1" applyFill="1" applyBorder="1"/>
    <xf numFmtId="170" fontId="12" fillId="18" borderId="23" xfId="0" applyNumberFormat="1" applyFont="1" applyFill="1" applyBorder="1" applyAlignment="1">
      <alignment horizontal="center"/>
    </xf>
    <xf numFmtId="44" fontId="0" fillId="0" borderId="23" xfId="3" applyFont="1" applyBorder="1"/>
    <xf numFmtId="44" fontId="0" fillId="2" borderId="30" xfId="3" applyFont="1" applyFill="1" applyBorder="1"/>
    <xf numFmtId="44" fontId="0" fillId="2" borderId="23" xfId="3" applyFont="1" applyFill="1" applyBorder="1"/>
    <xf numFmtId="0" fontId="37" fillId="21" borderId="23" xfId="0" applyFont="1" applyFill="1" applyBorder="1"/>
    <xf numFmtId="0" fontId="0" fillId="2" borderId="10" xfId="0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14" fontId="2" fillId="2" borderId="31" xfId="0" applyNumberFormat="1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9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/>
    <xf numFmtId="0" fontId="7" fillId="10" borderId="0" xfId="0" applyFont="1" applyFill="1"/>
    <xf numFmtId="0" fontId="0" fillId="2" borderId="46" xfId="0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0" fontId="8" fillId="2" borderId="6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0" fillId="0" borderId="6" xfId="0" applyBorder="1"/>
    <xf numFmtId="0" fontId="41" fillId="11" borderId="0" xfId="0" applyFont="1" applyFill="1" applyAlignment="1">
      <alignment horizontal="center"/>
    </xf>
    <xf numFmtId="0" fontId="41" fillId="11" borderId="0" xfId="0" applyFont="1" applyFill="1" applyAlignment="1">
      <alignment horizontal="center" wrapText="1"/>
    </xf>
    <xf numFmtId="165" fontId="0" fillId="0" borderId="0" xfId="0" applyNumberFormat="1"/>
    <xf numFmtId="0" fontId="51" fillId="0" borderId="23" xfId="0" applyFont="1" applyBorder="1"/>
    <xf numFmtId="165" fontId="41" fillId="11" borderId="0" xfId="0" applyNumberFormat="1" applyFont="1" applyFill="1"/>
    <xf numFmtId="14" fontId="2" fillId="2" borderId="6" xfId="0" applyNumberFormat="1" applyFont="1" applyFill="1" applyBorder="1" applyAlignment="1">
      <alignment horizontal="center"/>
    </xf>
    <xf numFmtId="16" fontId="0" fillId="2" borderId="6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4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44" fontId="21" fillId="3" borderId="17" xfId="3" applyFont="1" applyFill="1" applyBorder="1" applyAlignment="1">
      <alignment horizontal="center" vertical="center" wrapText="1"/>
    </xf>
    <xf numFmtId="44" fontId="2" fillId="2" borderId="6" xfId="3" applyFont="1" applyFill="1" applyBorder="1" applyAlignment="1">
      <alignment horizontal="center" vertical="center"/>
    </xf>
    <xf numFmtId="44" fontId="2" fillId="0" borderId="33" xfId="3" applyFont="1" applyBorder="1" applyAlignment="1">
      <alignment horizontal="center" vertical="center"/>
    </xf>
    <xf numFmtId="44" fontId="2" fillId="0" borderId="6" xfId="3" applyFont="1" applyBorder="1" applyAlignment="1">
      <alignment horizontal="center" vertical="center"/>
    </xf>
    <xf numFmtId="44" fontId="2" fillId="2" borderId="0" xfId="3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43" fontId="29" fillId="0" borderId="0" xfId="2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6" fillId="0" borderId="6" xfId="0" applyFont="1" applyBorder="1"/>
    <xf numFmtId="0" fontId="7" fillId="2" borderId="0" xfId="0" applyFont="1" applyFill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4" fontId="13" fillId="3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quotePrefix="1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2" fillId="2" borderId="32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47" xfId="0" applyBorder="1" applyAlignment="1">
      <alignment horizontal="center"/>
    </xf>
    <xf numFmtId="44" fontId="2" fillId="2" borderId="6" xfId="0" applyNumberFormat="1" applyFont="1" applyFill="1" applyBorder="1" applyAlignment="1">
      <alignment horizontal="center" vertical="center"/>
    </xf>
    <xf numFmtId="44" fontId="0" fillId="0" borderId="23" xfId="0" applyNumberFormat="1" applyBorder="1"/>
    <xf numFmtId="0" fontId="0" fillId="0" borderId="19" xfId="0" applyBorder="1" applyAlignment="1">
      <alignment horizontal="center"/>
    </xf>
    <xf numFmtId="44" fontId="2" fillId="2" borderId="3" xfId="3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4" fontId="2" fillId="0" borderId="20" xfId="3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3" fillId="0" borderId="19" xfId="0" applyFont="1" applyBorder="1" applyAlignment="1">
      <alignment horizontal="center" vertical="center"/>
    </xf>
    <xf numFmtId="44" fontId="2" fillId="0" borderId="3" xfId="3" applyFont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2" borderId="47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4" fontId="41" fillId="11" borderId="23" xfId="3" applyFont="1" applyFill="1" applyBorder="1"/>
    <xf numFmtId="0" fontId="55" fillId="0" borderId="0" xfId="0" applyFont="1" applyAlignment="1">
      <alignment horizontal="center" vertical="center"/>
    </xf>
    <xf numFmtId="172" fontId="21" fillId="5" borderId="15" xfId="0" applyNumberFormat="1" applyFont="1" applyFill="1" applyBorder="1" applyAlignment="1">
      <alignment horizontal="center" vertical="center" wrapText="1"/>
    </xf>
    <xf numFmtId="172" fontId="0" fillId="2" borderId="3" xfId="0" applyNumberFormat="1" applyFill="1" applyBorder="1" applyAlignment="1">
      <alignment horizontal="center" vertical="center"/>
    </xf>
    <xf numFmtId="172" fontId="0" fillId="2" borderId="6" xfId="0" applyNumberFormat="1" applyFill="1" applyBorder="1" applyAlignment="1">
      <alignment horizontal="center" vertical="center"/>
    </xf>
    <xf numFmtId="172" fontId="20" fillId="8" borderId="6" xfId="0" applyNumberFormat="1" applyFont="1" applyFill="1" applyBorder="1" applyAlignment="1">
      <alignment horizontal="center" vertical="center"/>
    </xf>
    <xf numFmtId="172" fontId="0" fillId="2" borderId="20" xfId="0" applyNumberFormat="1" applyFill="1" applyBorder="1" applyAlignment="1">
      <alignment horizontal="center" vertical="center"/>
    </xf>
    <xf numFmtId="172" fontId="20" fillId="8" borderId="3" xfId="0" applyNumberFormat="1" applyFont="1" applyFill="1" applyBorder="1" applyAlignment="1">
      <alignment horizontal="center" vertical="center"/>
    </xf>
    <xf numFmtId="172" fontId="0" fillId="0" borderId="6" xfId="0" applyNumberForma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0" fillId="2" borderId="0" xfId="0" applyNumberFormat="1" applyFill="1" applyAlignment="1">
      <alignment horizontal="center" vertical="center"/>
    </xf>
    <xf numFmtId="0" fontId="54" fillId="0" borderId="19" xfId="0" applyFont="1" applyBorder="1" applyAlignment="1">
      <alignment horizontal="left"/>
    </xf>
    <xf numFmtId="0" fontId="0" fillId="22" borderId="0" xfId="0" applyFill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57" fillId="2" borderId="6" xfId="0" applyFont="1" applyFill="1" applyBorder="1" applyAlignment="1">
      <alignment horizontal="center" vertical="center"/>
    </xf>
    <xf numFmtId="44" fontId="2" fillId="2" borderId="32" xfId="3" applyFont="1" applyFill="1" applyBorder="1" applyAlignment="1">
      <alignment horizontal="center" vertical="center"/>
    </xf>
    <xf numFmtId="44" fontId="2" fillId="0" borderId="19" xfId="3" applyFont="1" applyBorder="1" applyAlignment="1">
      <alignment horizontal="center" vertical="center"/>
    </xf>
    <xf numFmtId="0" fontId="47" fillId="11" borderId="24" xfId="0" applyFont="1" applyFill="1" applyBorder="1" applyAlignment="1">
      <alignment horizontal="center" vertical="center"/>
    </xf>
    <xf numFmtId="0" fontId="47" fillId="11" borderId="25" xfId="0" applyFont="1" applyFill="1" applyBorder="1" applyAlignment="1">
      <alignment horizontal="center" vertical="center"/>
    </xf>
    <xf numFmtId="0" fontId="47" fillId="11" borderId="26" xfId="0" applyFont="1" applyFill="1" applyBorder="1" applyAlignment="1">
      <alignment horizontal="center" vertical="center"/>
    </xf>
    <xf numFmtId="0" fontId="48" fillId="0" borderId="24" xfId="0" applyFont="1" applyBorder="1"/>
    <xf numFmtId="0" fontId="48" fillId="0" borderId="25" xfId="0" applyFont="1" applyBorder="1"/>
    <xf numFmtId="0" fontId="48" fillId="0" borderId="26" xfId="0" applyFont="1" applyBorder="1"/>
    <xf numFmtId="0" fontId="37" fillId="14" borderId="23" xfId="0" applyFont="1" applyFill="1" applyBorder="1" applyAlignment="1">
      <alignment horizontal="center"/>
    </xf>
    <xf numFmtId="0" fontId="40" fillId="13" borderId="23" xfId="0" applyFont="1" applyFill="1" applyBorder="1" applyAlignment="1">
      <alignment horizontal="center"/>
    </xf>
    <xf numFmtId="165" fontId="40" fillId="13" borderId="23" xfId="0" applyNumberFormat="1" applyFont="1" applyFill="1" applyBorder="1" applyAlignment="1">
      <alignment horizontal="center"/>
    </xf>
    <xf numFmtId="0" fontId="47" fillId="11" borderId="23" xfId="0" applyFont="1" applyFill="1" applyBorder="1" applyAlignment="1">
      <alignment horizontal="center"/>
    </xf>
    <xf numFmtId="0" fontId="40" fillId="13" borderId="27" xfId="0" applyFont="1" applyFill="1" applyBorder="1" applyAlignment="1">
      <alignment horizontal="center"/>
    </xf>
    <xf numFmtId="0" fontId="40" fillId="13" borderId="28" xfId="0" applyFont="1" applyFill="1" applyBorder="1" applyAlignment="1">
      <alignment horizontal="center"/>
    </xf>
    <xf numFmtId="0" fontId="40" fillId="13" borderId="29" xfId="0" applyFont="1" applyFill="1" applyBorder="1" applyAlignment="1">
      <alignment horizontal="center"/>
    </xf>
    <xf numFmtId="0" fontId="38" fillId="11" borderId="24" xfId="0" applyFont="1" applyFill="1" applyBorder="1" applyAlignment="1">
      <alignment horizontal="left" vertical="center"/>
    </xf>
    <xf numFmtId="0" fontId="38" fillId="11" borderId="25" xfId="0" applyFont="1" applyFill="1" applyBorder="1" applyAlignment="1">
      <alignment horizontal="left" vertical="center"/>
    </xf>
    <xf numFmtId="0" fontId="38" fillId="11" borderId="26" xfId="0" applyFont="1" applyFill="1" applyBorder="1" applyAlignment="1">
      <alignment horizontal="left" vertical="center"/>
    </xf>
    <xf numFmtId="0" fontId="40" fillId="13" borderId="24" xfId="0" applyFont="1" applyFill="1" applyBorder="1" applyAlignment="1">
      <alignment horizontal="center"/>
    </xf>
    <xf numFmtId="0" fontId="40" fillId="13" borderId="25" xfId="0" applyFont="1" applyFill="1" applyBorder="1" applyAlignment="1">
      <alignment horizontal="center"/>
    </xf>
    <xf numFmtId="0" fontId="40" fillId="13" borderId="26" xfId="0" applyFont="1" applyFill="1" applyBorder="1" applyAlignment="1">
      <alignment horizontal="center"/>
    </xf>
    <xf numFmtId="0" fontId="41" fillId="11" borderId="23" xfId="0" applyFont="1" applyFill="1" applyBorder="1" applyAlignment="1">
      <alignment horizontal="center"/>
    </xf>
    <xf numFmtId="0" fontId="37" fillId="17" borderId="23" xfId="0" applyFont="1" applyFill="1" applyBorder="1" applyAlignment="1">
      <alignment horizontal="center"/>
    </xf>
    <xf numFmtId="0" fontId="40" fillId="16" borderId="23" xfId="0" applyFont="1" applyFill="1" applyBorder="1" applyAlignment="1">
      <alignment horizontal="center"/>
    </xf>
    <xf numFmtId="0" fontId="40" fillId="16" borderId="27" xfId="0" applyFont="1" applyFill="1" applyBorder="1" applyAlignment="1">
      <alignment horizontal="center"/>
    </xf>
    <xf numFmtId="0" fontId="40" fillId="16" borderId="28" xfId="0" applyFont="1" applyFill="1" applyBorder="1" applyAlignment="1">
      <alignment horizontal="center"/>
    </xf>
    <xf numFmtId="0" fontId="40" fillId="16" borderId="29" xfId="0" applyFont="1" applyFill="1" applyBorder="1" applyAlignment="1">
      <alignment horizontal="center"/>
    </xf>
    <xf numFmtId="0" fontId="40" fillId="16" borderId="35" xfId="0" applyFont="1" applyFill="1" applyBorder="1" applyAlignment="1">
      <alignment horizontal="center"/>
    </xf>
    <xf numFmtId="0" fontId="40" fillId="16" borderId="36" xfId="0" applyFont="1" applyFill="1" applyBorder="1" applyAlignment="1">
      <alignment horizontal="center"/>
    </xf>
    <xf numFmtId="0" fontId="40" fillId="16" borderId="45" xfId="0" applyFont="1" applyFill="1" applyBorder="1" applyAlignment="1">
      <alignment horizontal="center"/>
    </xf>
    <xf numFmtId="169" fontId="12" fillId="0" borderId="24" xfId="0" applyNumberFormat="1" applyFont="1" applyBorder="1" applyAlignment="1">
      <alignment horizontal="center"/>
    </xf>
    <xf numFmtId="169" fontId="12" fillId="0" borderId="26" xfId="0" applyNumberFormat="1" applyFont="1" applyBorder="1" applyAlignment="1">
      <alignment horizontal="center"/>
    </xf>
    <xf numFmtId="169" fontId="49" fillId="18" borderId="24" xfId="0" applyNumberFormat="1" applyFont="1" applyFill="1" applyBorder="1" applyAlignment="1">
      <alignment horizontal="center"/>
    </xf>
    <xf numFmtId="169" fontId="49" fillId="18" borderId="26" xfId="0" applyNumberFormat="1" applyFont="1" applyFill="1" applyBorder="1" applyAlignment="1">
      <alignment horizontal="center"/>
    </xf>
    <xf numFmtId="0" fontId="41" fillId="15" borderId="23" xfId="0" applyFont="1" applyFill="1" applyBorder="1" applyAlignment="1">
      <alignment horizontal="center"/>
    </xf>
    <xf numFmtId="0" fontId="40" fillId="16" borderId="27" xfId="0" applyFont="1" applyFill="1" applyBorder="1"/>
    <xf numFmtId="0" fontId="40" fillId="16" borderId="28" xfId="0" applyFont="1" applyFill="1" applyBorder="1"/>
    <xf numFmtId="0" fontId="40" fillId="16" borderId="29" xfId="0" applyFont="1" applyFill="1" applyBorder="1"/>
  </cellXfs>
  <cellStyles count="4">
    <cellStyle name="Moeda" xfId="3" builtinId="4"/>
    <cellStyle name="Normal" xfId="0" builtinId="0"/>
    <cellStyle name="Normal 2" xfId="1" xr:uid="{9935A294-A89D-41E0-A24C-558A7E18B00A}"/>
    <cellStyle name="Vírgula" xfId="2" builtinId="3"/>
  </cellStyles>
  <dxfs count="17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1123951</xdr:colOff>
      <xdr:row>1</xdr:row>
      <xdr:rowOff>38101</xdr:rowOff>
    </xdr:from>
    <xdr:to>
      <xdr:col>9</xdr:col>
      <xdr:colOff>1062990</xdr:colOff>
      <xdr:row>1</xdr:row>
      <xdr:rowOff>359760</xdr:rowOff>
    </xdr:to>
    <xdr:pic>
      <xdr:nvPicPr>
        <xdr:cNvPr id="39" name="Imagem 6">
          <a:extLst>
            <a:ext uri="{FF2B5EF4-FFF2-40B4-BE49-F238E27FC236}">
              <a16:creationId xmlns:a16="http://schemas.microsoft.com/office/drawing/2014/main" id="{7D517387-74EC-B9E7-E3AA-DA74B49E1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1401" y="228601"/>
          <a:ext cx="1181099" cy="325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485776</xdr:colOff>
      <xdr:row>1</xdr:row>
      <xdr:rowOff>17245</xdr:rowOff>
    </xdr:from>
    <xdr:to>
      <xdr:col>9</xdr:col>
      <xdr:colOff>361951</xdr:colOff>
      <xdr:row>1</xdr:row>
      <xdr:rowOff>361343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14AD7EC-4DB7-9996-F21B-D9832C07D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6" y="207745"/>
          <a:ext cx="1276350" cy="344098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CC2BCA23-2314-493B-87AC-7B6FDC575312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Giovana Firmino" id="{063D84EC-E265-4AB4-9597-5E5B49E8735E}" userId="S::giovana@hidropig.onmicrosoft.com::b06b370b-63ba-4fc7-a5a5-4b351c53d036" providerId="AD"/>
  <person displayName="Arnaldo Filho" id="{EB49B33A-BF68-42DB-ABC3-132EAA677653}" userId="S::arnaldo.filho@hidropig.onmicrosoft.com::be8f935d-76e9-48b2-b53d-bf39fcc95806" providerId="AD"/>
  <person displayName="Bruno Matheus" id="{0F174B70-7DDC-4912-B84A-81EE1CD41C72}" userId="S::bruno.matheus@hidropig.onmicrosoft.com::c9f1f68d-52e9-4fd3-9c99-c2edc2bedeb4" providerId="AD"/>
  <person displayName="Diego Rodrigues" id="{1B0A6CF2-0E4B-4063-A64B-C8572ED2865E}" userId="S::diego.rodrigues@hidropig.onmicrosoft.com::05491da4-9d45-4030-a3d5-7c958b5f5cec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8</v>
    <v>10</v>
    <v>1</v>
  </rv>
  <rv s="1">
    <v>8</v>
    <v>1</v>
  </rv>
  <rv s="0">
    <v>0</v>
    <v>8</v>
    <v>19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3" dT="2026-02-05T15:22:48.95" personId="{063D84EC-E265-4AB4-9597-5E5B49E8735E}" id="{03E43738-A40B-4586-91E8-289C1B2C6968}">
    <text xml:space="preserve">Cte/fatura emitida em Março. </text>
  </threadedComment>
  <threadedComment ref="AO18" dT="2026-01-29T15:10:59.11" personId="{063D84EC-E265-4AB4-9597-5E5B49E8735E}" id="{1E786413-5586-4671-9AFB-713BC6AC0199}">
    <text>A entrega possui agendamento, com data disponível apenas em 23/01/2026.</text>
  </threadedComment>
  <threadedComment ref="G19" dT="2026-01-29T15:02:48.39" personId="{063D84EC-E265-4AB4-9597-5E5B49E8735E}" id="{EC6D3763-EF96-430B-8FEB-4AFB6A3F20A6}">
    <text>Estamos aguardando o pedido revisado com o CNPJ correto.</text>
  </threadedComment>
  <threadedComment ref="AF19" dT="2026-01-19T11:05:13.06" personId="{EB49B33A-BF68-42DB-ABC3-132EAA677653}" id="{D989DD4E-00F9-4528-B132-16D833507A2C}">
    <text>NF 7259 RECUSA DE RECEBIMENTO EM 16 01  CNPJ DIVERGENTE</text>
  </threadedComment>
  <threadedComment ref="AF19" dT="2026-03-24T16:41:27.71" personId="{EB49B33A-BF68-42DB-ABC3-132EAA677653}" id="{0BA45982-7E34-4137-8AF3-C09A92C9121B}" parentId="{D989DD4E-00F9-4528-B132-16D833507A2C}">
    <text>Meisner   levou em 23/03/2026</text>
  </threadedComment>
  <threadedComment ref="AO24" dT="2026-01-29T15:10:45.45" personId="{063D84EC-E265-4AB4-9597-5E5B49E8735E}" id="{B6E03D18-38F6-4388-824E-D14EBF0A87D5}">
    <text>A entrega possui agendamento, com data disponível apenas em 21/01/2026.</text>
  </threadedComment>
  <threadedComment ref="G42" dT="2026-02-05T14:12:59.39" personId="{063D84EC-E265-4AB4-9597-5E5B49E8735E}" id="{E9D9DCE0-8D39-4CDD-B6A4-B997A9EBC44A}">
    <text>Pedido duplicado para troca de NFe.</text>
  </threadedComment>
  <threadedComment ref="AD42" dT="2026-02-05T14:14:08.63" personId="{063D84EC-E265-4AB4-9597-5E5B49E8735E}" id="{54A48704-4BA8-4D00-9170-C3A614C4DE31}">
    <text>NFe anterior 7382.</text>
  </threadedComment>
  <threadedComment ref="G60" dT="2026-01-29T15:02:07.60" personId="{063D84EC-E265-4AB4-9597-5E5B49E8735E}" id="{4EEA14E4-86B3-4FFF-B164-B90C2909072D}">
    <text xml:space="preserve">Considerar a data de entrega acordada via e-mail com o cliente e não o pedido oficial. </text>
  </threadedComment>
  <threadedComment ref="AJ60" dT="2026-02-05T15:22:42.53" personId="{063D84EC-E265-4AB4-9597-5E5B49E8735E}" id="{B9E03057-AD62-4CA9-8E40-307EE4853F1B}">
    <text xml:space="preserve">Cte/fatura emitida em Fevereiro. </text>
  </threadedComment>
  <threadedComment ref="AF62" dT="2026-02-09T13:19:59.14" personId="{EB49B33A-BF68-42DB-ABC3-132EAA677653}" id="{9230CEA7-5927-4021-9BEC-EA0FB0829669}">
    <text>BETO LEVOU ATÉ A TRANSPORTADORA 09/02  TECNOLOG somente esta nota, a NF7326 FICOU NA EXPEDIÇÃO aguardando coleta pela TECNOLOG?</text>
  </threadedComment>
  <threadedComment ref="AD64" dT="2026-02-18T19:20:45.22" personId="{063D84EC-E265-4AB4-9597-5E5B49E8735E}" id="{95655931-5FD5-4C9A-9136-49B4F2F8EABE}">
    <text>NFe em substituição a nota 7326.</text>
  </threadedComment>
  <threadedComment ref="AF66" dT="2026-03-03T13:01:24.14" personId="{EB49B33A-BF68-42DB-ABC3-132EAA677653}" id="{645B2816-3DF1-4170-BA7F-3022DD9809A3}">
    <text>Meisner 4pipe</text>
  </threadedComment>
  <threadedComment ref="AG70" dT="2026-02-03T14:49:09.49" personId="{063D84EC-E265-4AB4-9597-5E5B49E8735E}" id="{88B4F4C9-1678-476E-B02E-A41FDCBD7FED}">
    <text>Frete alterado para modalidade FOB devido a necessidade do cliente.</text>
  </threadedComment>
  <threadedComment ref="AG73" dT="2026-02-03T14:49:15.23" personId="{063D84EC-E265-4AB4-9597-5E5B49E8735E}" id="{4D0167A6-3952-4B76-A175-6CDCC4CE2767}">
    <text>Frete alterado para modalidade FOB devido a necessidade do cliente.</text>
  </threadedComment>
  <threadedComment ref="AG76" dT="2026-04-13T23:33:09.92" personId="{063D84EC-E265-4AB4-9597-5E5B49E8735E}" id="{C4E062DC-6D1B-4B7E-8118-7203B61A9298}">
    <text xml:space="preserve">Frete CIF, alterado para FOB. </text>
  </threadedComment>
  <threadedComment ref="I81" dT="2026-02-23T12:58:30.41" personId="{0F174B70-7DDC-4912-B84A-81EE1CD41C72}" id="{00529547-E66B-4996-BECC-7B76681F3D33}">
    <text>DATA INICIAL 02/03 - ALTERADO NO PEDIDO PARA 10/03 PELO COMERCIAL NO DIA 23/03 ATRAVES DE EMAIL</text>
  </threadedComment>
  <threadedComment ref="T81" dT="2026-02-24T17:06:40.39" personId="{0F174B70-7DDC-4912-B84A-81EE1CD41C72}" id="{0BE58D25-9AB6-4F02-9E3E-A9E6967BA28B}">
    <text xml:space="preserve">Data inicial 20/02
REV 24/02 = 26/02
</text>
  </threadedComment>
  <threadedComment ref="AF83" dT="2026-03-03T13:03:28.68" personId="{EB49B33A-BF68-42DB-ABC3-132EAA677653}" id="{9D033C1D-FB12-460F-AF69-ACACB57542A8}">
    <text>Meisner 4pipe</text>
  </threadedComment>
  <threadedComment ref="T86" dT="2026-02-24T17:06:40.39" personId="{0F174B70-7DDC-4912-B84A-81EE1CD41C72}" id="{7810B9DE-8C58-487D-B317-A2E7D5E54053}">
    <text xml:space="preserve">Data inicial 20/02
REV 24/02 = 26/02
</text>
  </threadedComment>
  <threadedComment ref="AF86" dT="2026-02-27T17:41:07.39" personId="{EB49B33A-BF68-42DB-ABC3-132EAA677653}" id="{2C134721-61F5-4B46-A2B6-DC541A5E58CC}">
    <text>RODONAVES NÃO COLETOU (27/02  CIF) VISTO MATERIAL NÃO ESTAR PRONTO NA EXPEDIÇÃO     somente coletou o PV 308     ENTREGA CIF</text>
  </threadedComment>
  <threadedComment ref="AF130" dT="2026-03-30T10:58:02.93" personId="{EB49B33A-BF68-42DB-ABC3-132EAA677653}" id="{CC57861B-587F-4B70-9D8D-66687CAEB1C1}">
    <text>PRIMEIRO ENVIO DIA 13/03</text>
  </threadedComment>
  <threadedComment ref="AF130" dT="2026-03-31T12:01:04.17" personId="{EB49B33A-BF68-42DB-ABC3-132EAA677653}" id="{F812D26F-6D95-4035-B5EC-4D7ADD079A9E}" parentId="{CC57861B-587F-4B70-9D8D-66687CAEB1C1}">
    <text>SEGUNDO ENVIO DIA 31/03 (BETO)</text>
  </threadedComment>
  <threadedComment ref="AF130" dT="2026-04-02T17:35:16.71" personId="{1B0A6CF2-0E4B-4063-A64B-C8572ED2865E}" id="{BE78BF2A-405C-4B9B-9F1B-A2D74FB64574}" parentId="{CC57861B-587F-4B70-9D8D-66687CAEB1C1}">
    <text>TERCEIRO ENVIO DIA 01/04 (BETO)</text>
  </threadedComment>
  <threadedComment ref="AF151" dT="2026-03-19T16:44:48.73" personId="{EB49B33A-BF68-42DB-ABC3-132EAA677653}" id="{55F7FF40-86B1-4FD8-8E70-8A256329F84D}">
    <text>MEISNER LEVOU NA TRANSP EM SP</text>
  </threadedComment>
  <threadedComment ref="AF259" dT="2026-06-15T11:24:59.64" personId="{1B0A6CF2-0E4B-4063-A64B-C8572ED2865E}" id="{300C450C-2D3C-48A4-AAAD-C078373E5060}">
    <text>2º envio dia 12 de junho 2026</text>
  </threadedComment>
  <threadedComment ref="I355" dT="2026-07-27T13:35:29.22" personId="{0F174B70-7DDC-4912-B84A-81EE1CD41C72}" id="{6B955C3B-6DD4-451C-B3A5-9071ADC1E1EB}">
    <text>Revisar a partir de 20/07 - alinhamento engenhaeria e comercial (elder)</text>
  </threadedComment>
  <threadedComment ref="I358" dT="2026-08-05T11:22:23.79" personId="{0F174B70-7DDC-4912-B84A-81EE1CD41C72}" id="{66E13C51-7A01-4730-8E0E-A3A0E59F9198}">
    <text>Data acordada para entrega de 03/08 para 04/08 no cliente, entre jose carlos e cliente. Devido a volta de férias coletiva Danfoss e tambem devido a instabilidade Totvs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272830-58D3-4787-ABB3-33B5A90ADC6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88e7e6e-b8c7-4e8a-be9d-1c0ef073003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1F86604C-43EE-4CEE-9722-04EC4B13E27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09fee5a-89c4-48b1-b7b7-9bdd55d32c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C838-069D-44CB-8C9E-C70B13D194D9}">
  <sheetPr>
    <pageSetUpPr fitToPage="1"/>
  </sheetPr>
  <dimension ref="A1:BB1095"/>
  <sheetViews>
    <sheetView tabSelected="1" zoomScale="80" zoomScaleNormal="80" zoomScaleSheetLayoutView="85" workbookViewId="0">
      <pane ySplit="1" topLeftCell="A439" activePane="bottomLeft" state="frozen"/>
      <selection activeCell="X1" sqref="X1"/>
      <selection pane="bottomLeft" activeCell="I452" sqref="I452"/>
    </sheetView>
  </sheetViews>
  <sheetFormatPr defaultRowHeight="31.5" customHeight="1" x14ac:dyDescent="0.6"/>
  <cols>
    <col min="1" max="1" width="16.33203125" style="7" customWidth="1"/>
    <col min="2" max="6" width="16.33203125" style="5" customWidth="1"/>
    <col min="7" max="7" width="16.33203125" style="145" customWidth="1"/>
    <col min="8" max="8" width="16.33203125" style="400" customWidth="1"/>
    <col min="9" max="9" width="16.33203125" style="20" customWidth="1"/>
    <col min="10" max="15" width="16.33203125" style="5" customWidth="1"/>
    <col min="16" max="16" width="16.33203125" style="17" customWidth="1"/>
    <col min="17" max="17" width="20.109375" style="45" customWidth="1"/>
    <col min="18" max="18" width="17.6640625" style="43" customWidth="1"/>
    <col min="19" max="19" width="18.6640625" style="52" customWidth="1"/>
    <col min="20" max="20" width="16.6640625" style="18" customWidth="1"/>
    <col min="21" max="21" width="21.5546875" style="27" bestFit="1" customWidth="1"/>
    <col min="22" max="22" width="22.44140625" style="27" customWidth="1"/>
    <col min="23" max="23" width="23" style="26" customWidth="1"/>
    <col min="24" max="24" width="29.33203125" style="26" customWidth="1"/>
    <col min="25" max="25" width="29.6640625" style="26" customWidth="1"/>
    <col min="26" max="26" width="21.44140625" style="19" customWidth="1"/>
    <col min="27" max="27" width="26" style="5" customWidth="1"/>
    <col min="28" max="28" width="21" style="22" customWidth="1"/>
    <col min="29" max="29" width="24.33203125" style="355" customWidth="1"/>
    <col min="30" max="30" width="11.33203125" style="356" customWidth="1"/>
    <col min="31" max="31" width="24.33203125" style="5" customWidth="1"/>
    <col min="32" max="32" width="15.44140625" style="20" customWidth="1"/>
    <col min="33" max="33" width="20.33203125" style="5" bestFit="1" customWidth="1"/>
    <col min="34" max="34" width="60.109375" style="238" bestFit="1" customWidth="1"/>
    <col min="35" max="35" width="14" style="12" customWidth="1"/>
    <col min="36" max="36" width="19" style="12" customWidth="1"/>
    <col min="37" max="37" width="20.88671875" style="141" customWidth="1"/>
    <col min="38" max="38" width="20.6640625" style="48" customWidth="1"/>
    <col min="39" max="39" width="18.6640625" style="155" customWidth="1"/>
    <col min="40" max="40" width="15.6640625" style="49" customWidth="1"/>
    <col min="41" max="41" width="21" style="41" customWidth="1"/>
    <col min="42" max="42" width="23.44140625" style="42" customWidth="1"/>
    <col min="43" max="43" width="22.88671875" style="42" customWidth="1"/>
    <col min="44" max="44" width="19.33203125" style="6" customWidth="1"/>
    <col min="45" max="45" width="21.33203125" style="6" customWidth="1"/>
    <col min="46" max="46" width="17.33203125" style="112" customWidth="1"/>
    <col min="47" max="47" width="24.5546875" style="6" customWidth="1"/>
    <col min="48" max="48" width="9.109375" style="1" customWidth="1"/>
    <col min="49" max="49" width="34.109375" style="110" bestFit="1" customWidth="1"/>
    <col min="50" max="50" width="18.6640625" style="56" bestFit="1" customWidth="1"/>
    <col min="51" max="51" width="9.109375" style="56" customWidth="1"/>
    <col min="52" max="52" width="17.109375" style="56" bestFit="1" customWidth="1"/>
    <col min="53" max="53" width="25.5546875" style="6" bestFit="1" customWidth="1"/>
    <col min="16383" max="16383" width="9.109375" bestFit="1" customWidth="1"/>
    <col min="16384" max="16384" width="9.109375" customWidth="1"/>
  </cols>
  <sheetData>
    <row r="1" spans="1:53" s="177" customFormat="1" ht="87" customHeight="1" x14ac:dyDescent="0.3">
      <c r="A1" s="100" t="s">
        <v>0</v>
      </c>
      <c r="B1" s="101" t="s">
        <v>1</v>
      </c>
      <c r="C1" s="102" t="s">
        <v>2</v>
      </c>
      <c r="D1" s="103" t="s">
        <v>3</v>
      </c>
      <c r="E1" s="104" t="s">
        <v>4</v>
      </c>
      <c r="F1" s="103" t="s">
        <v>5</v>
      </c>
      <c r="G1" s="102" t="s">
        <v>6</v>
      </c>
      <c r="H1" s="392" t="s">
        <v>7</v>
      </c>
      <c r="I1" s="105" t="s">
        <v>8</v>
      </c>
      <c r="J1" s="104" t="s">
        <v>9</v>
      </c>
      <c r="K1" s="102" t="s">
        <v>10</v>
      </c>
      <c r="L1" s="102" t="s">
        <v>11</v>
      </c>
      <c r="M1" s="102" t="s">
        <v>12</v>
      </c>
      <c r="N1" s="106" t="s">
        <v>13</v>
      </c>
      <c r="O1" s="106" t="s">
        <v>14</v>
      </c>
      <c r="P1" s="107" t="s">
        <v>15</v>
      </c>
      <c r="Q1" s="93" t="s">
        <v>16</v>
      </c>
      <c r="R1" s="94" t="s">
        <v>7</v>
      </c>
      <c r="S1" s="95" t="s">
        <v>17</v>
      </c>
      <c r="T1" s="94" t="s">
        <v>18</v>
      </c>
      <c r="U1" s="96" t="s">
        <v>19</v>
      </c>
      <c r="V1" s="96" t="s">
        <v>20</v>
      </c>
      <c r="W1" s="97" t="s">
        <v>21</v>
      </c>
      <c r="X1" s="97" t="s">
        <v>22</v>
      </c>
      <c r="Y1" s="97" t="s">
        <v>23</v>
      </c>
      <c r="Z1" s="98" t="s">
        <v>24</v>
      </c>
      <c r="AA1" s="99" t="s">
        <v>25</v>
      </c>
      <c r="AB1" s="91" t="s">
        <v>26</v>
      </c>
      <c r="AC1" s="351" t="s">
        <v>27</v>
      </c>
      <c r="AD1" s="178" t="s">
        <v>28</v>
      </c>
      <c r="AE1" s="88" t="s">
        <v>29</v>
      </c>
      <c r="AF1" s="87" t="s">
        <v>30</v>
      </c>
      <c r="AG1" s="88" t="s">
        <v>10</v>
      </c>
      <c r="AH1" s="88" t="s">
        <v>31</v>
      </c>
      <c r="AI1" s="89" t="s">
        <v>32</v>
      </c>
      <c r="AJ1" s="89" t="s">
        <v>33</v>
      </c>
      <c r="AK1" s="140" t="s">
        <v>34</v>
      </c>
      <c r="AL1" s="86" t="s">
        <v>35</v>
      </c>
      <c r="AM1" s="86" t="s">
        <v>36</v>
      </c>
      <c r="AN1" s="90" t="s">
        <v>37</v>
      </c>
      <c r="AO1" s="68" t="s">
        <v>38</v>
      </c>
      <c r="AP1" s="69" t="s">
        <v>39</v>
      </c>
      <c r="AQ1" s="69" t="s">
        <v>40</v>
      </c>
      <c r="AR1" s="70" t="s">
        <v>41</v>
      </c>
      <c r="AS1" s="70" t="s">
        <v>42</v>
      </c>
      <c r="AT1" s="70" t="s">
        <v>43</v>
      </c>
      <c r="AU1" s="71" t="s">
        <v>44</v>
      </c>
      <c r="AV1" s="71" t="s">
        <v>45</v>
      </c>
      <c r="AW1" s="72" t="s">
        <v>27</v>
      </c>
      <c r="AX1" s="72" t="s">
        <v>46</v>
      </c>
      <c r="AY1" s="72" t="s">
        <v>47</v>
      </c>
      <c r="AZ1" s="72" t="s">
        <v>48</v>
      </c>
      <c r="BA1" s="73" t="s">
        <v>49</v>
      </c>
    </row>
    <row r="2" spans="1:53" ht="21.6" customHeight="1" x14ac:dyDescent="0.3">
      <c r="A2" s="14" t="s">
        <v>50</v>
      </c>
      <c r="B2" s="15" t="s">
        <v>51</v>
      </c>
      <c r="C2" s="15" t="s">
        <v>52</v>
      </c>
      <c r="D2" s="15" t="s">
        <v>53</v>
      </c>
      <c r="E2" s="15">
        <v>3500000083</v>
      </c>
      <c r="F2" s="15" t="s">
        <v>54</v>
      </c>
      <c r="G2" s="111">
        <v>185</v>
      </c>
      <c r="H2" s="393">
        <v>45700</v>
      </c>
      <c r="I2" s="51">
        <v>46055</v>
      </c>
      <c r="J2" s="15">
        <f t="shared" ref="J2:J65" si="0">I2-H2</f>
        <v>355</v>
      </c>
      <c r="K2" s="15" t="s">
        <v>55</v>
      </c>
      <c r="L2" s="15" t="s">
        <v>56</v>
      </c>
      <c r="M2" s="15" t="s">
        <v>57</v>
      </c>
      <c r="N2" s="15" t="s">
        <v>58</v>
      </c>
      <c r="O2" s="3" t="s">
        <v>59</v>
      </c>
      <c r="P2" s="16">
        <v>693900</v>
      </c>
      <c r="Q2" s="84" t="s">
        <v>60</v>
      </c>
      <c r="R2" s="57">
        <f t="shared" ref="R2:R33" si="1">H2</f>
        <v>45700</v>
      </c>
      <c r="S2" s="32" t="s">
        <v>61</v>
      </c>
      <c r="T2" s="57">
        <v>46052</v>
      </c>
      <c r="U2" s="58">
        <v>46052</v>
      </c>
      <c r="V2" s="58">
        <f>I2</f>
        <v>46055</v>
      </c>
      <c r="W2" s="59">
        <f t="shared" ref="W2:W65" si="2">V2-R2</f>
        <v>355</v>
      </c>
      <c r="X2" s="59">
        <f t="shared" ref="X2:X65" si="3">U2-R2</f>
        <v>352</v>
      </c>
      <c r="Y2" s="59">
        <f t="shared" ref="Y2:Y65" si="4">W2-X2</f>
        <v>3</v>
      </c>
      <c r="Z2" s="60">
        <v>79205.679999999993</v>
      </c>
      <c r="AA2" s="33" t="s">
        <v>62</v>
      </c>
      <c r="AB2" s="57">
        <v>46052</v>
      </c>
      <c r="AC2" s="32">
        <v>693900</v>
      </c>
      <c r="AD2" s="173">
        <v>7305</v>
      </c>
      <c r="AE2" s="32" t="s">
        <v>63</v>
      </c>
      <c r="AF2" s="57">
        <v>46055</v>
      </c>
      <c r="AG2" s="15" t="str">
        <f t="shared" ref="AG2:AG20" si="5">K2</f>
        <v>FOB</v>
      </c>
      <c r="AH2" s="32" t="s">
        <v>64</v>
      </c>
      <c r="AI2" s="61" t="e">
        <f>#REF!</f>
        <v>#REF!</v>
      </c>
      <c r="AJ2" s="61">
        <v>0</v>
      </c>
      <c r="AK2" s="142">
        <f t="shared" ref="AK2:AK33" si="6">AJ2/AC2</f>
        <v>0</v>
      </c>
      <c r="AL2" s="62">
        <v>46055</v>
      </c>
      <c r="AM2" s="152">
        <v>46055</v>
      </c>
      <c r="AN2" s="63">
        <f t="shared" ref="AN2:AN33" si="7">AM2-AF2</f>
        <v>0</v>
      </c>
      <c r="AO2" s="34" t="s">
        <v>65</v>
      </c>
      <c r="AP2" s="64">
        <f t="shared" ref="AP2:AP18" si="8">I2</f>
        <v>46055</v>
      </c>
      <c r="AQ2" s="64">
        <f t="shared" ref="AQ2:AQ33" si="9">AM2</f>
        <v>46055</v>
      </c>
      <c r="AR2" s="65">
        <f t="shared" ref="AR2:AR65" si="10">AP2-H2</f>
        <v>355</v>
      </c>
      <c r="AS2" s="65">
        <f t="shared" ref="AS2:AS65" si="11">AM2-H2</f>
        <v>355</v>
      </c>
      <c r="AT2" s="157">
        <f t="shared" ref="AT2:AT65" si="12">AR2-AS2</f>
        <v>0</v>
      </c>
      <c r="AU2" s="32"/>
      <c r="AV2" s="32" t="s">
        <v>59</v>
      </c>
      <c r="AW2" s="108">
        <f t="shared" ref="AW2:AW19" si="13">AC2</f>
        <v>693900</v>
      </c>
      <c r="AX2" s="66">
        <f t="shared" ref="AX2:AX33" si="14">Z2</f>
        <v>79205.679999999993</v>
      </c>
      <c r="AY2" s="66"/>
      <c r="AZ2" s="66">
        <f t="shared" ref="AZ2:AZ33" si="15">AJ2</f>
        <v>0</v>
      </c>
      <c r="BA2" s="67">
        <f t="shared" ref="BA2:BA33" si="16">AX2+AZ2</f>
        <v>79205.679999999993</v>
      </c>
    </row>
    <row r="3" spans="1:53" ht="21.6" customHeight="1" x14ac:dyDescent="0.3">
      <c r="A3" s="14" t="s">
        <v>66</v>
      </c>
      <c r="B3" s="15" t="s">
        <v>67</v>
      </c>
      <c r="C3" s="15" t="s">
        <v>52</v>
      </c>
      <c r="D3" s="15" t="s">
        <v>53</v>
      </c>
      <c r="E3" s="15">
        <v>1008072089</v>
      </c>
      <c r="F3" s="15" t="s">
        <v>68</v>
      </c>
      <c r="G3" s="111" t="s">
        <v>69</v>
      </c>
      <c r="H3" s="393">
        <v>45954</v>
      </c>
      <c r="I3" s="51">
        <v>46050</v>
      </c>
      <c r="J3" s="15">
        <f t="shared" si="0"/>
        <v>96</v>
      </c>
      <c r="K3" s="15" t="s">
        <v>70</v>
      </c>
      <c r="L3" s="15" t="s">
        <v>71</v>
      </c>
      <c r="M3" s="15" t="s">
        <v>72</v>
      </c>
      <c r="N3" s="15" t="s">
        <v>73</v>
      </c>
      <c r="O3" s="3" t="s">
        <v>59</v>
      </c>
      <c r="P3" s="16">
        <v>211335.42</v>
      </c>
      <c r="Q3" s="44" t="s">
        <v>60</v>
      </c>
      <c r="R3" s="57">
        <f t="shared" si="1"/>
        <v>45954</v>
      </c>
      <c r="S3" s="13" t="s">
        <v>61</v>
      </c>
      <c r="T3" s="35">
        <v>46043</v>
      </c>
      <c r="U3" s="37">
        <v>46043</v>
      </c>
      <c r="V3" s="37">
        <f>I3</f>
        <v>46050</v>
      </c>
      <c r="W3" s="59">
        <f t="shared" si="2"/>
        <v>96</v>
      </c>
      <c r="X3" s="59">
        <f t="shared" si="3"/>
        <v>89</v>
      </c>
      <c r="Y3" s="59">
        <f t="shared" si="4"/>
        <v>7</v>
      </c>
      <c r="Z3" s="143"/>
      <c r="AA3" s="4" t="s">
        <v>74</v>
      </c>
      <c r="AB3" s="35">
        <v>46049</v>
      </c>
      <c r="AC3" s="13">
        <v>211335.42</v>
      </c>
      <c r="AD3" s="175">
        <v>6824</v>
      </c>
      <c r="AE3" s="13" t="s">
        <v>63</v>
      </c>
      <c r="AF3" s="35">
        <v>46051</v>
      </c>
      <c r="AG3" s="3" t="str">
        <f t="shared" si="5"/>
        <v>CIF</v>
      </c>
      <c r="AH3" s="13" t="s">
        <v>75</v>
      </c>
      <c r="AI3" s="36" t="e">
        <f>#REF!</f>
        <v>#REF!</v>
      </c>
      <c r="AJ3" s="36">
        <v>9497.58</v>
      </c>
      <c r="AK3" s="142">
        <f t="shared" si="6"/>
        <v>4.4940786546807908E-2</v>
      </c>
      <c r="AL3" s="47">
        <v>46086</v>
      </c>
      <c r="AM3" s="153">
        <v>46086</v>
      </c>
      <c r="AN3" s="63">
        <f t="shared" si="7"/>
        <v>35</v>
      </c>
      <c r="AO3" s="34"/>
      <c r="AP3" s="64">
        <f t="shared" si="8"/>
        <v>46050</v>
      </c>
      <c r="AQ3" s="64">
        <f t="shared" si="9"/>
        <v>46086</v>
      </c>
      <c r="AR3" s="65">
        <f t="shared" si="10"/>
        <v>96</v>
      </c>
      <c r="AS3" s="65">
        <f t="shared" si="11"/>
        <v>132</v>
      </c>
      <c r="AT3" s="157">
        <f t="shared" si="12"/>
        <v>-36</v>
      </c>
      <c r="AU3" s="13"/>
      <c r="AV3" s="13"/>
      <c r="AW3" s="109">
        <f t="shared" si="13"/>
        <v>211335.42</v>
      </c>
      <c r="AX3" s="66">
        <f t="shared" si="14"/>
        <v>0</v>
      </c>
      <c r="AY3" s="66"/>
      <c r="AZ3" s="66">
        <f t="shared" si="15"/>
        <v>9497.58</v>
      </c>
      <c r="BA3" s="67">
        <f t="shared" si="16"/>
        <v>9497.58</v>
      </c>
    </row>
    <row r="4" spans="1:53" ht="21.6" customHeight="1" x14ac:dyDescent="0.3">
      <c r="A4" s="136" t="s">
        <v>76</v>
      </c>
      <c r="B4" s="3" t="s">
        <v>77</v>
      </c>
      <c r="C4" s="3" t="s">
        <v>78</v>
      </c>
      <c r="D4" s="3" t="s">
        <v>53</v>
      </c>
      <c r="E4" s="3">
        <v>3100009464</v>
      </c>
      <c r="F4" s="3" t="s">
        <v>79</v>
      </c>
      <c r="G4" s="146" t="s">
        <v>80</v>
      </c>
      <c r="H4" s="394">
        <v>45957</v>
      </c>
      <c r="I4" s="50">
        <v>46006</v>
      </c>
      <c r="J4" s="15">
        <f t="shared" si="0"/>
        <v>49</v>
      </c>
      <c r="K4" s="3" t="s">
        <v>55</v>
      </c>
      <c r="L4" s="3" t="s">
        <v>56</v>
      </c>
      <c r="M4" s="3" t="s">
        <v>81</v>
      </c>
      <c r="N4" s="3" t="s">
        <v>82</v>
      </c>
      <c r="O4" s="3" t="s">
        <v>59</v>
      </c>
      <c r="P4" s="159">
        <v>229259.21</v>
      </c>
      <c r="Q4" s="44" t="s">
        <v>60</v>
      </c>
      <c r="R4" s="57">
        <f t="shared" si="1"/>
        <v>45957</v>
      </c>
      <c r="S4" s="13" t="s">
        <v>61</v>
      </c>
      <c r="T4" s="35">
        <v>45994</v>
      </c>
      <c r="U4" s="37">
        <f>T4</f>
        <v>45994</v>
      </c>
      <c r="V4" s="37">
        <f>I4</f>
        <v>46006</v>
      </c>
      <c r="W4" s="59">
        <f t="shared" si="2"/>
        <v>49</v>
      </c>
      <c r="X4" s="59">
        <f t="shared" si="3"/>
        <v>37</v>
      </c>
      <c r="Y4" s="59">
        <f t="shared" si="4"/>
        <v>12</v>
      </c>
      <c r="Z4" s="39"/>
      <c r="AA4" s="4" t="s">
        <v>83</v>
      </c>
      <c r="AB4" s="35">
        <v>46037</v>
      </c>
      <c r="AC4" s="13">
        <v>229259.21</v>
      </c>
      <c r="AD4" s="174">
        <v>7258</v>
      </c>
      <c r="AE4" s="13" t="s">
        <v>63</v>
      </c>
      <c r="AF4" s="35">
        <v>46029</v>
      </c>
      <c r="AG4" s="3" t="str">
        <f t="shared" si="5"/>
        <v>FOB</v>
      </c>
      <c r="AH4" s="13" t="s">
        <v>84</v>
      </c>
      <c r="AI4" s="36" t="e">
        <f>#REF!</f>
        <v>#REF!</v>
      </c>
      <c r="AJ4" s="36">
        <v>0</v>
      </c>
      <c r="AK4" s="142">
        <f t="shared" si="6"/>
        <v>0</v>
      </c>
      <c r="AL4" s="47">
        <v>45994</v>
      </c>
      <c r="AM4" s="153">
        <v>45994</v>
      </c>
      <c r="AN4" s="63">
        <f t="shared" si="7"/>
        <v>-35</v>
      </c>
      <c r="AO4" s="34" t="s">
        <v>65</v>
      </c>
      <c r="AP4" s="64">
        <f t="shared" si="8"/>
        <v>46006</v>
      </c>
      <c r="AQ4" s="64">
        <f t="shared" si="9"/>
        <v>45994</v>
      </c>
      <c r="AR4" s="65">
        <f t="shared" si="10"/>
        <v>49</v>
      </c>
      <c r="AS4" s="65">
        <f t="shared" si="11"/>
        <v>37</v>
      </c>
      <c r="AT4" s="157">
        <f t="shared" si="12"/>
        <v>12</v>
      </c>
      <c r="AU4" s="13"/>
      <c r="AV4" s="13" t="s">
        <v>59</v>
      </c>
      <c r="AW4" s="109">
        <f t="shared" si="13"/>
        <v>229259.21</v>
      </c>
      <c r="AX4" s="66">
        <f t="shared" si="14"/>
        <v>0</v>
      </c>
      <c r="AY4" s="66"/>
      <c r="AZ4" s="66">
        <f t="shared" si="15"/>
        <v>0</v>
      </c>
      <c r="BA4" s="67">
        <f t="shared" si="16"/>
        <v>0</v>
      </c>
    </row>
    <row r="5" spans="1:53" ht="21.6" customHeight="1" x14ac:dyDescent="0.3">
      <c r="A5" s="136" t="s">
        <v>85</v>
      </c>
      <c r="B5" s="15" t="s">
        <v>51</v>
      </c>
      <c r="C5" s="3" t="s">
        <v>78</v>
      </c>
      <c r="D5" s="3" t="s">
        <v>53</v>
      </c>
      <c r="E5" s="3">
        <v>123026825</v>
      </c>
      <c r="F5" s="3" t="s">
        <v>86</v>
      </c>
      <c r="G5" s="146">
        <v>146</v>
      </c>
      <c r="H5" s="394">
        <v>45972</v>
      </c>
      <c r="I5" s="50">
        <v>45994</v>
      </c>
      <c r="J5" s="15">
        <f t="shared" si="0"/>
        <v>22</v>
      </c>
      <c r="K5" s="3" t="s">
        <v>55</v>
      </c>
      <c r="L5" s="3" t="s">
        <v>56</v>
      </c>
      <c r="M5" s="15" t="s">
        <v>57</v>
      </c>
      <c r="N5" s="3" t="s">
        <v>87</v>
      </c>
      <c r="O5" s="3" t="s">
        <v>59</v>
      </c>
      <c r="P5" s="159">
        <v>81444</v>
      </c>
      <c r="Q5" s="44" t="s">
        <v>60</v>
      </c>
      <c r="R5" s="57">
        <f t="shared" si="1"/>
        <v>45972</v>
      </c>
      <c r="S5" s="13" t="s">
        <v>61</v>
      </c>
      <c r="T5" s="35">
        <v>45993</v>
      </c>
      <c r="U5" s="37">
        <v>45993</v>
      </c>
      <c r="V5" s="37">
        <v>45994</v>
      </c>
      <c r="W5" s="59">
        <f t="shared" si="2"/>
        <v>22</v>
      </c>
      <c r="X5" s="59">
        <f t="shared" si="3"/>
        <v>21</v>
      </c>
      <c r="Y5" s="59">
        <f t="shared" si="4"/>
        <v>1</v>
      </c>
      <c r="Z5" s="39"/>
      <c r="AA5" s="4" t="s">
        <v>88</v>
      </c>
      <c r="AB5" s="35">
        <v>45994</v>
      </c>
      <c r="AC5" s="13">
        <v>81844</v>
      </c>
      <c r="AD5" s="174">
        <v>7185</v>
      </c>
      <c r="AE5" s="13" t="s">
        <v>63</v>
      </c>
      <c r="AF5" s="35">
        <v>46045</v>
      </c>
      <c r="AG5" s="3" t="str">
        <f t="shared" si="5"/>
        <v>FOB</v>
      </c>
      <c r="AH5" s="13" t="s">
        <v>89</v>
      </c>
      <c r="AI5" s="36" t="e">
        <f>#REF!</f>
        <v>#REF!</v>
      </c>
      <c r="AJ5" s="36">
        <v>0</v>
      </c>
      <c r="AK5" s="142">
        <f t="shared" si="6"/>
        <v>0</v>
      </c>
      <c r="AL5" s="47">
        <v>45993</v>
      </c>
      <c r="AM5" s="153">
        <v>45993</v>
      </c>
      <c r="AN5" s="63">
        <f t="shared" si="7"/>
        <v>-52</v>
      </c>
      <c r="AO5" s="34" t="s">
        <v>65</v>
      </c>
      <c r="AP5" s="64">
        <f t="shared" si="8"/>
        <v>45994</v>
      </c>
      <c r="AQ5" s="64">
        <f t="shared" si="9"/>
        <v>45993</v>
      </c>
      <c r="AR5" s="65">
        <f t="shared" si="10"/>
        <v>22</v>
      </c>
      <c r="AS5" s="65">
        <f t="shared" si="11"/>
        <v>21</v>
      </c>
      <c r="AT5" s="157">
        <f t="shared" si="12"/>
        <v>1</v>
      </c>
      <c r="AU5" s="13"/>
      <c r="AV5" s="13" t="s">
        <v>59</v>
      </c>
      <c r="AW5" s="109">
        <f t="shared" si="13"/>
        <v>81844</v>
      </c>
      <c r="AX5" s="66">
        <f t="shared" si="14"/>
        <v>0</v>
      </c>
      <c r="AY5" s="66"/>
      <c r="AZ5" s="66">
        <f t="shared" si="15"/>
        <v>0</v>
      </c>
      <c r="BA5" s="67">
        <f t="shared" si="16"/>
        <v>0</v>
      </c>
    </row>
    <row r="6" spans="1:53" ht="21.6" customHeight="1" x14ac:dyDescent="0.3">
      <c r="A6" s="135" t="s">
        <v>85</v>
      </c>
      <c r="B6" s="15" t="s">
        <v>51</v>
      </c>
      <c r="C6" s="3" t="s">
        <v>78</v>
      </c>
      <c r="D6" s="3" t="s">
        <v>53</v>
      </c>
      <c r="E6" s="3">
        <v>123026825</v>
      </c>
      <c r="F6" s="3" t="s">
        <v>86</v>
      </c>
      <c r="G6" s="146">
        <v>146</v>
      </c>
      <c r="H6" s="394">
        <v>45972</v>
      </c>
      <c r="I6" s="50">
        <v>46045</v>
      </c>
      <c r="J6" s="15">
        <f t="shared" si="0"/>
        <v>73</v>
      </c>
      <c r="K6" s="3" t="s">
        <v>55</v>
      </c>
      <c r="L6" s="3" t="s">
        <v>56</v>
      </c>
      <c r="M6" s="3" t="s">
        <v>57</v>
      </c>
      <c r="N6" s="3" t="s">
        <v>87</v>
      </c>
      <c r="O6" s="3" t="s">
        <v>59</v>
      </c>
      <c r="P6" s="159">
        <v>43278</v>
      </c>
      <c r="Q6" s="44" t="s">
        <v>60</v>
      </c>
      <c r="R6" s="57">
        <f t="shared" si="1"/>
        <v>45972</v>
      </c>
      <c r="S6" s="13" t="s">
        <v>61</v>
      </c>
      <c r="T6" s="35">
        <v>46045</v>
      </c>
      <c r="U6" s="37">
        <v>46045</v>
      </c>
      <c r="V6" s="37">
        <f t="shared" ref="V6:V37" si="17">I6</f>
        <v>46045</v>
      </c>
      <c r="W6" s="59">
        <f t="shared" si="2"/>
        <v>73</v>
      </c>
      <c r="X6" s="59">
        <f t="shared" si="3"/>
        <v>73</v>
      </c>
      <c r="Y6" s="59">
        <f t="shared" si="4"/>
        <v>0</v>
      </c>
      <c r="Z6" s="39"/>
      <c r="AA6" s="4" t="s">
        <v>88</v>
      </c>
      <c r="AB6" s="35">
        <v>46045</v>
      </c>
      <c r="AC6" s="13">
        <v>43278</v>
      </c>
      <c r="AD6" s="174">
        <v>7288</v>
      </c>
      <c r="AE6" s="13" t="s">
        <v>63</v>
      </c>
      <c r="AF6" s="35">
        <v>46045</v>
      </c>
      <c r="AG6" s="3" t="str">
        <f t="shared" si="5"/>
        <v>FOB</v>
      </c>
      <c r="AH6" s="13" t="s">
        <v>89</v>
      </c>
      <c r="AI6" s="36" t="e">
        <f>#REF!</f>
        <v>#REF!</v>
      </c>
      <c r="AJ6" s="36">
        <v>0</v>
      </c>
      <c r="AK6" s="142">
        <f t="shared" si="6"/>
        <v>0</v>
      </c>
      <c r="AL6" s="47">
        <v>46045</v>
      </c>
      <c r="AM6" s="153">
        <v>46045</v>
      </c>
      <c r="AN6" s="63">
        <f t="shared" si="7"/>
        <v>0</v>
      </c>
      <c r="AO6" s="34" t="s">
        <v>65</v>
      </c>
      <c r="AP6" s="64">
        <f t="shared" si="8"/>
        <v>46045</v>
      </c>
      <c r="AQ6" s="64">
        <f t="shared" si="9"/>
        <v>46045</v>
      </c>
      <c r="AR6" s="65">
        <f t="shared" si="10"/>
        <v>73</v>
      </c>
      <c r="AS6" s="65">
        <f t="shared" si="11"/>
        <v>73</v>
      </c>
      <c r="AT6" s="157">
        <f t="shared" si="12"/>
        <v>0</v>
      </c>
      <c r="AU6" s="13"/>
      <c r="AV6" s="13" t="s">
        <v>59</v>
      </c>
      <c r="AW6" s="109">
        <f t="shared" si="13"/>
        <v>43278</v>
      </c>
      <c r="AX6" s="66">
        <f t="shared" si="14"/>
        <v>0</v>
      </c>
      <c r="AY6" s="66"/>
      <c r="AZ6" s="66">
        <f t="shared" si="15"/>
        <v>0</v>
      </c>
      <c r="BA6" s="67">
        <f t="shared" si="16"/>
        <v>0</v>
      </c>
    </row>
    <row r="7" spans="1:53" ht="21.6" customHeight="1" x14ac:dyDescent="0.3">
      <c r="A7" s="136" t="s">
        <v>90</v>
      </c>
      <c r="B7" s="3" t="s">
        <v>91</v>
      </c>
      <c r="C7" s="3" t="s">
        <v>78</v>
      </c>
      <c r="D7" s="3" t="s">
        <v>53</v>
      </c>
      <c r="E7" s="3">
        <v>4411884463</v>
      </c>
      <c r="F7" s="3" t="s">
        <v>53</v>
      </c>
      <c r="G7" s="146">
        <v>157</v>
      </c>
      <c r="H7" s="394">
        <v>45978</v>
      </c>
      <c r="I7" s="50">
        <v>46028</v>
      </c>
      <c r="J7" s="15">
        <f t="shared" si="0"/>
        <v>50</v>
      </c>
      <c r="K7" s="3" t="s">
        <v>70</v>
      </c>
      <c r="L7" s="3" t="s">
        <v>56</v>
      </c>
      <c r="M7" s="3" t="s">
        <v>92</v>
      </c>
      <c r="N7" s="3" t="s">
        <v>93</v>
      </c>
      <c r="O7" s="3" t="s">
        <v>59</v>
      </c>
      <c r="P7" s="159">
        <v>1077</v>
      </c>
      <c r="Q7" s="44" t="s">
        <v>94</v>
      </c>
      <c r="R7" s="57">
        <f t="shared" si="1"/>
        <v>45978</v>
      </c>
      <c r="S7" s="13" t="s">
        <v>61</v>
      </c>
      <c r="T7" s="35">
        <v>45999</v>
      </c>
      <c r="U7" s="37">
        <f>T7</f>
        <v>45999</v>
      </c>
      <c r="V7" s="37">
        <f t="shared" si="17"/>
        <v>46028</v>
      </c>
      <c r="W7" s="59">
        <f t="shared" si="2"/>
        <v>50</v>
      </c>
      <c r="X7" s="59">
        <f t="shared" si="3"/>
        <v>21</v>
      </c>
      <c r="Y7" s="59">
        <f t="shared" si="4"/>
        <v>29</v>
      </c>
      <c r="Z7" s="39"/>
      <c r="AA7" s="4" t="s">
        <v>88</v>
      </c>
      <c r="AB7" s="35">
        <v>46027</v>
      </c>
      <c r="AC7" s="13">
        <v>1077</v>
      </c>
      <c r="AD7" s="175">
        <v>7230</v>
      </c>
      <c r="AE7" s="13" t="s">
        <v>63</v>
      </c>
      <c r="AF7" s="35">
        <v>46028</v>
      </c>
      <c r="AG7" s="3" t="str">
        <f t="shared" si="5"/>
        <v>CIF</v>
      </c>
      <c r="AH7" s="13" t="s">
        <v>64</v>
      </c>
      <c r="AI7" s="36" t="e">
        <f>#REF!</f>
        <v>#REF!</v>
      </c>
      <c r="AJ7" s="36">
        <v>0</v>
      </c>
      <c r="AK7" s="142">
        <f t="shared" si="6"/>
        <v>0</v>
      </c>
      <c r="AL7" s="47">
        <v>46028</v>
      </c>
      <c r="AM7" s="153">
        <v>46028</v>
      </c>
      <c r="AN7" s="63">
        <f t="shared" si="7"/>
        <v>0</v>
      </c>
      <c r="AO7" s="34" t="s">
        <v>65</v>
      </c>
      <c r="AP7" s="64">
        <f t="shared" si="8"/>
        <v>46028</v>
      </c>
      <c r="AQ7" s="64">
        <f t="shared" si="9"/>
        <v>46028</v>
      </c>
      <c r="AR7" s="65">
        <f t="shared" si="10"/>
        <v>50</v>
      </c>
      <c r="AS7" s="65">
        <f t="shared" si="11"/>
        <v>50</v>
      </c>
      <c r="AT7" s="157">
        <f t="shared" si="12"/>
        <v>0</v>
      </c>
      <c r="AU7" s="13"/>
      <c r="AV7" s="13" t="s">
        <v>59</v>
      </c>
      <c r="AW7" s="109">
        <f t="shared" si="13"/>
        <v>1077</v>
      </c>
      <c r="AX7" s="66">
        <f t="shared" si="14"/>
        <v>0</v>
      </c>
      <c r="AY7" s="66"/>
      <c r="AZ7" s="66">
        <f t="shared" si="15"/>
        <v>0</v>
      </c>
      <c r="BA7" s="67">
        <f t="shared" si="16"/>
        <v>0</v>
      </c>
    </row>
    <row r="8" spans="1:53" ht="21.6" customHeight="1" x14ac:dyDescent="0.3">
      <c r="A8" s="136" t="s">
        <v>90</v>
      </c>
      <c r="B8" s="15" t="s">
        <v>91</v>
      </c>
      <c r="C8" s="3" t="s">
        <v>78</v>
      </c>
      <c r="D8" s="3" t="s">
        <v>53</v>
      </c>
      <c r="E8" s="3">
        <v>4411896430</v>
      </c>
      <c r="F8" s="3" t="s">
        <v>53</v>
      </c>
      <c r="G8" s="146">
        <v>158</v>
      </c>
      <c r="H8" s="394">
        <v>45978</v>
      </c>
      <c r="I8" s="50">
        <v>46028</v>
      </c>
      <c r="J8" s="15">
        <f t="shared" si="0"/>
        <v>50</v>
      </c>
      <c r="K8" s="3" t="s">
        <v>70</v>
      </c>
      <c r="L8" s="3" t="s">
        <v>56</v>
      </c>
      <c r="M8" s="15" t="s">
        <v>92</v>
      </c>
      <c r="N8" s="3" t="s">
        <v>93</v>
      </c>
      <c r="O8" s="3" t="s">
        <v>59</v>
      </c>
      <c r="P8" s="159">
        <v>11790</v>
      </c>
      <c r="Q8" s="44" t="s">
        <v>94</v>
      </c>
      <c r="R8" s="57">
        <f t="shared" si="1"/>
        <v>45978</v>
      </c>
      <c r="S8" s="13" t="s">
        <v>61</v>
      </c>
      <c r="T8" s="35">
        <v>45999</v>
      </c>
      <c r="U8" s="37">
        <f>T8</f>
        <v>45999</v>
      </c>
      <c r="V8" s="37">
        <f t="shared" si="17"/>
        <v>46028</v>
      </c>
      <c r="W8" s="59">
        <f t="shared" si="2"/>
        <v>50</v>
      </c>
      <c r="X8" s="59">
        <f t="shared" si="3"/>
        <v>21</v>
      </c>
      <c r="Y8" s="59">
        <f t="shared" si="4"/>
        <v>29</v>
      </c>
      <c r="Z8" s="39"/>
      <c r="AA8" s="4" t="s">
        <v>88</v>
      </c>
      <c r="AB8" s="35">
        <v>46027</v>
      </c>
      <c r="AC8" s="13">
        <v>11790</v>
      </c>
      <c r="AD8" s="175">
        <v>7229</v>
      </c>
      <c r="AE8" s="13" t="s">
        <v>63</v>
      </c>
      <c r="AF8" s="35">
        <v>46028</v>
      </c>
      <c r="AG8" s="3" t="str">
        <f t="shared" si="5"/>
        <v>CIF</v>
      </c>
      <c r="AH8" s="13" t="s">
        <v>64</v>
      </c>
      <c r="AI8" s="36" t="e">
        <f>#REF!</f>
        <v>#REF!</v>
      </c>
      <c r="AJ8" s="36">
        <v>0</v>
      </c>
      <c r="AK8" s="142">
        <f t="shared" si="6"/>
        <v>0</v>
      </c>
      <c r="AL8" s="47">
        <v>46028</v>
      </c>
      <c r="AM8" s="153">
        <v>46028</v>
      </c>
      <c r="AN8" s="63">
        <f t="shared" si="7"/>
        <v>0</v>
      </c>
      <c r="AO8" s="34" t="s">
        <v>65</v>
      </c>
      <c r="AP8" s="64">
        <f t="shared" si="8"/>
        <v>46028</v>
      </c>
      <c r="AQ8" s="64">
        <f t="shared" si="9"/>
        <v>46028</v>
      </c>
      <c r="AR8" s="65">
        <f t="shared" si="10"/>
        <v>50</v>
      </c>
      <c r="AS8" s="65">
        <f t="shared" si="11"/>
        <v>50</v>
      </c>
      <c r="AT8" s="157">
        <f t="shared" si="12"/>
        <v>0</v>
      </c>
      <c r="AU8" s="13"/>
      <c r="AV8" s="13" t="s">
        <v>59</v>
      </c>
      <c r="AW8" s="109">
        <f t="shared" si="13"/>
        <v>11790</v>
      </c>
      <c r="AX8" s="66">
        <f t="shared" si="14"/>
        <v>0</v>
      </c>
      <c r="AY8" s="66"/>
      <c r="AZ8" s="66">
        <f t="shared" si="15"/>
        <v>0</v>
      </c>
      <c r="BA8" s="67">
        <f t="shared" si="16"/>
        <v>0</v>
      </c>
    </row>
    <row r="9" spans="1:53" ht="21.6" customHeight="1" x14ac:dyDescent="0.3">
      <c r="A9" s="2" t="s">
        <v>95</v>
      </c>
      <c r="B9" s="15" t="s">
        <v>96</v>
      </c>
      <c r="C9" s="3" t="s">
        <v>78</v>
      </c>
      <c r="D9" s="3" t="s">
        <v>97</v>
      </c>
      <c r="E9" s="3">
        <v>4500009499</v>
      </c>
      <c r="F9" s="3" t="s">
        <v>53</v>
      </c>
      <c r="G9" s="144">
        <v>162</v>
      </c>
      <c r="H9" s="394">
        <v>45979</v>
      </c>
      <c r="I9" s="50">
        <v>46010</v>
      </c>
      <c r="J9" s="15">
        <f t="shared" si="0"/>
        <v>31</v>
      </c>
      <c r="K9" s="3" t="s">
        <v>70</v>
      </c>
      <c r="L9" s="3" t="s">
        <v>56</v>
      </c>
      <c r="M9" s="15" t="s">
        <v>98</v>
      </c>
      <c r="N9" s="3" t="s">
        <v>99</v>
      </c>
      <c r="O9" s="3" t="s">
        <v>59</v>
      </c>
      <c r="P9" s="8">
        <v>19374.84</v>
      </c>
      <c r="Q9" s="44" t="s">
        <v>100</v>
      </c>
      <c r="R9" s="57">
        <f t="shared" si="1"/>
        <v>45979</v>
      </c>
      <c r="S9" s="13" t="s">
        <v>61</v>
      </c>
      <c r="T9" s="35">
        <v>46042</v>
      </c>
      <c r="U9" s="37">
        <v>46041</v>
      </c>
      <c r="V9" s="37">
        <f t="shared" si="17"/>
        <v>46010</v>
      </c>
      <c r="W9" s="59">
        <f t="shared" si="2"/>
        <v>31</v>
      </c>
      <c r="X9" s="59">
        <f t="shared" si="3"/>
        <v>62</v>
      </c>
      <c r="Y9" s="59">
        <f t="shared" si="4"/>
        <v>-31</v>
      </c>
      <c r="Z9" s="39">
        <v>8834.86</v>
      </c>
      <c r="AA9" s="4" t="s">
        <v>101</v>
      </c>
      <c r="AB9" s="35">
        <v>46043</v>
      </c>
      <c r="AC9" s="13">
        <v>20437.599999999999</v>
      </c>
      <c r="AD9" s="175">
        <v>7276</v>
      </c>
      <c r="AE9" s="13" t="s">
        <v>63</v>
      </c>
      <c r="AF9" s="35">
        <v>46043</v>
      </c>
      <c r="AG9" s="3" t="str">
        <f t="shared" si="5"/>
        <v>CIF</v>
      </c>
      <c r="AH9" s="13" t="s">
        <v>102</v>
      </c>
      <c r="AI9" s="36" t="e">
        <f>#REF!</f>
        <v>#REF!</v>
      </c>
      <c r="AJ9" s="36">
        <v>334.63</v>
      </c>
      <c r="AK9" s="142">
        <f t="shared" si="6"/>
        <v>1.6373253219556114E-2</v>
      </c>
      <c r="AL9" s="47">
        <v>46052</v>
      </c>
      <c r="AM9" s="153">
        <v>46048</v>
      </c>
      <c r="AN9" s="63">
        <f t="shared" si="7"/>
        <v>5</v>
      </c>
      <c r="AO9" s="34" t="s">
        <v>103</v>
      </c>
      <c r="AP9" s="64">
        <f t="shared" si="8"/>
        <v>46010</v>
      </c>
      <c r="AQ9" s="64">
        <f t="shared" si="9"/>
        <v>46048</v>
      </c>
      <c r="AR9" s="65">
        <f t="shared" si="10"/>
        <v>31</v>
      </c>
      <c r="AS9" s="65">
        <f t="shared" si="11"/>
        <v>69</v>
      </c>
      <c r="AT9" s="157">
        <f t="shared" si="12"/>
        <v>-38</v>
      </c>
      <c r="AU9" s="13" t="s">
        <v>104</v>
      </c>
      <c r="AV9" s="13" t="s">
        <v>105</v>
      </c>
      <c r="AW9" s="109">
        <f t="shared" si="13"/>
        <v>20437.599999999999</v>
      </c>
      <c r="AX9" s="66">
        <f t="shared" si="14"/>
        <v>8834.86</v>
      </c>
      <c r="AY9" s="66"/>
      <c r="AZ9" s="66">
        <f t="shared" si="15"/>
        <v>334.63</v>
      </c>
      <c r="BA9" s="67">
        <f t="shared" si="16"/>
        <v>9169.49</v>
      </c>
    </row>
    <row r="10" spans="1:53" ht="21.6" customHeight="1" x14ac:dyDescent="0.3">
      <c r="A10" s="136" t="s">
        <v>106</v>
      </c>
      <c r="B10" s="15" t="s">
        <v>51</v>
      </c>
      <c r="C10" s="3" t="s">
        <v>78</v>
      </c>
      <c r="D10" s="3" t="s">
        <v>53</v>
      </c>
      <c r="E10" s="3">
        <v>4500176958</v>
      </c>
      <c r="F10" s="3" t="s">
        <v>107</v>
      </c>
      <c r="G10" s="146" t="s">
        <v>108</v>
      </c>
      <c r="H10" s="394">
        <v>45993</v>
      </c>
      <c r="I10" s="50">
        <v>46035</v>
      </c>
      <c r="J10" s="15">
        <f t="shared" si="0"/>
        <v>42</v>
      </c>
      <c r="K10" s="3" t="s">
        <v>70</v>
      </c>
      <c r="L10" s="3" t="s">
        <v>56</v>
      </c>
      <c r="M10" s="15" t="s">
        <v>57</v>
      </c>
      <c r="N10" s="3" t="s">
        <v>109</v>
      </c>
      <c r="O10" s="3" t="s">
        <v>59</v>
      </c>
      <c r="P10" s="159">
        <v>7335</v>
      </c>
      <c r="Q10" s="44" t="s">
        <v>60</v>
      </c>
      <c r="R10" s="57">
        <f t="shared" si="1"/>
        <v>45993</v>
      </c>
      <c r="S10" s="13" t="s">
        <v>61</v>
      </c>
      <c r="T10" s="35">
        <v>46009</v>
      </c>
      <c r="U10" s="37">
        <v>46009</v>
      </c>
      <c r="V10" s="37">
        <f t="shared" si="17"/>
        <v>46035</v>
      </c>
      <c r="W10" s="59">
        <f t="shared" si="2"/>
        <v>42</v>
      </c>
      <c r="X10" s="59">
        <f t="shared" si="3"/>
        <v>16</v>
      </c>
      <c r="Y10" s="59">
        <f t="shared" si="4"/>
        <v>26</v>
      </c>
      <c r="Z10" s="39"/>
      <c r="AA10" s="4" t="s">
        <v>88</v>
      </c>
      <c r="AB10" s="35">
        <v>46031</v>
      </c>
      <c r="AC10" s="13">
        <v>7335</v>
      </c>
      <c r="AD10" s="175">
        <v>7239</v>
      </c>
      <c r="AE10" s="13" t="s">
        <v>63</v>
      </c>
      <c r="AF10" s="35">
        <v>46035</v>
      </c>
      <c r="AG10" s="3" t="str">
        <f t="shared" si="5"/>
        <v>CIF</v>
      </c>
      <c r="AH10" s="13" t="s">
        <v>64</v>
      </c>
      <c r="AI10" s="36" t="e">
        <f>#REF!</f>
        <v>#REF!</v>
      </c>
      <c r="AJ10" s="36">
        <v>0</v>
      </c>
      <c r="AK10" s="142">
        <f t="shared" si="6"/>
        <v>0</v>
      </c>
      <c r="AL10" s="47">
        <v>46035</v>
      </c>
      <c r="AM10" s="153">
        <v>46035</v>
      </c>
      <c r="AN10" s="63">
        <f t="shared" si="7"/>
        <v>0</v>
      </c>
      <c r="AO10" s="34" t="s">
        <v>65</v>
      </c>
      <c r="AP10" s="64">
        <f t="shared" si="8"/>
        <v>46035</v>
      </c>
      <c r="AQ10" s="64">
        <f t="shared" si="9"/>
        <v>46035</v>
      </c>
      <c r="AR10" s="65">
        <f t="shared" si="10"/>
        <v>42</v>
      </c>
      <c r="AS10" s="65">
        <f t="shared" si="11"/>
        <v>42</v>
      </c>
      <c r="AT10" s="157">
        <f t="shared" si="12"/>
        <v>0</v>
      </c>
      <c r="AU10" s="13"/>
      <c r="AV10" s="13" t="s">
        <v>59</v>
      </c>
      <c r="AW10" s="109">
        <f t="shared" si="13"/>
        <v>7335</v>
      </c>
      <c r="AX10" s="66">
        <f t="shared" si="14"/>
        <v>0</v>
      </c>
      <c r="AY10" s="66"/>
      <c r="AZ10" s="66">
        <f t="shared" si="15"/>
        <v>0</v>
      </c>
      <c r="BA10" s="67">
        <f t="shared" si="16"/>
        <v>0</v>
      </c>
    </row>
    <row r="11" spans="1:53" ht="21.6" customHeight="1" x14ac:dyDescent="0.3">
      <c r="A11" s="136" t="s">
        <v>110</v>
      </c>
      <c r="B11" s="15" t="s">
        <v>67</v>
      </c>
      <c r="C11" s="3" t="s">
        <v>78</v>
      </c>
      <c r="D11" s="3" t="s">
        <v>53</v>
      </c>
      <c r="E11" s="3" t="s">
        <v>111</v>
      </c>
      <c r="F11" s="3" t="s">
        <v>112</v>
      </c>
      <c r="G11" s="146">
        <v>191</v>
      </c>
      <c r="H11" s="394">
        <v>45996</v>
      </c>
      <c r="I11" s="50">
        <v>46013</v>
      </c>
      <c r="J11" s="15">
        <f t="shared" si="0"/>
        <v>17</v>
      </c>
      <c r="K11" s="3" t="s">
        <v>55</v>
      </c>
      <c r="L11" s="3" t="s">
        <v>113</v>
      </c>
      <c r="M11" s="15" t="s">
        <v>72</v>
      </c>
      <c r="N11" s="3" t="s">
        <v>114</v>
      </c>
      <c r="O11" s="3" t="s">
        <v>59</v>
      </c>
      <c r="P11" s="159">
        <v>18670.77</v>
      </c>
      <c r="Q11" s="44" t="s">
        <v>60</v>
      </c>
      <c r="R11" s="57">
        <f t="shared" si="1"/>
        <v>45996</v>
      </c>
      <c r="S11" s="13" t="s">
        <v>61</v>
      </c>
      <c r="T11" s="35">
        <v>46013</v>
      </c>
      <c r="U11" s="37">
        <f>T11</f>
        <v>46013</v>
      </c>
      <c r="V11" s="37">
        <f t="shared" si="17"/>
        <v>46013</v>
      </c>
      <c r="W11" s="59">
        <f t="shared" si="2"/>
        <v>17</v>
      </c>
      <c r="X11" s="59">
        <f t="shared" si="3"/>
        <v>17</v>
      </c>
      <c r="Y11" s="59">
        <f t="shared" si="4"/>
        <v>0</v>
      </c>
      <c r="Z11" s="39"/>
      <c r="AA11" s="4" t="s">
        <v>88</v>
      </c>
      <c r="AB11" s="35">
        <v>46028</v>
      </c>
      <c r="AC11" s="13">
        <v>18670.77</v>
      </c>
      <c r="AD11" s="174">
        <v>7232</v>
      </c>
      <c r="AE11" s="13" t="s">
        <v>63</v>
      </c>
      <c r="AF11" s="35">
        <v>46029</v>
      </c>
      <c r="AG11" s="3" t="str">
        <f t="shared" si="5"/>
        <v>FOB</v>
      </c>
      <c r="AH11" s="13" t="s">
        <v>115</v>
      </c>
      <c r="AI11" s="36" t="e">
        <f>#REF!</f>
        <v>#REF!</v>
      </c>
      <c r="AJ11" s="36">
        <v>0</v>
      </c>
      <c r="AK11" s="142">
        <f t="shared" si="6"/>
        <v>0</v>
      </c>
      <c r="AL11" s="47">
        <v>46014</v>
      </c>
      <c r="AM11" s="153">
        <v>46014</v>
      </c>
      <c r="AN11" s="63">
        <f t="shared" si="7"/>
        <v>-15</v>
      </c>
      <c r="AO11" s="34" t="s">
        <v>103</v>
      </c>
      <c r="AP11" s="64">
        <f t="shared" si="8"/>
        <v>46013</v>
      </c>
      <c r="AQ11" s="64">
        <f t="shared" si="9"/>
        <v>46014</v>
      </c>
      <c r="AR11" s="65">
        <f t="shared" si="10"/>
        <v>17</v>
      </c>
      <c r="AS11" s="65">
        <f t="shared" si="11"/>
        <v>18</v>
      </c>
      <c r="AT11" s="157">
        <f t="shared" si="12"/>
        <v>-1</v>
      </c>
      <c r="AU11" s="13"/>
      <c r="AV11" s="13" t="s">
        <v>116</v>
      </c>
      <c r="AW11" s="109">
        <f t="shared" si="13"/>
        <v>18670.77</v>
      </c>
      <c r="AX11" s="66">
        <f t="shared" si="14"/>
        <v>0</v>
      </c>
      <c r="AY11" s="66"/>
      <c r="AZ11" s="66">
        <f t="shared" si="15"/>
        <v>0</v>
      </c>
      <c r="BA11" s="67">
        <f t="shared" si="16"/>
        <v>0</v>
      </c>
    </row>
    <row r="12" spans="1:53" ht="21.6" customHeight="1" x14ac:dyDescent="0.3">
      <c r="A12" s="2" t="s">
        <v>117</v>
      </c>
      <c r="B12" s="3" t="s">
        <v>91</v>
      </c>
      <c r="C12" s="3" t="s">
        <v>78</v>
      </c>
      <c r="D12" s="3" t="s">
        <v>53</v>
      </c>
      <c r="E12" s="3" t="s">
        <v>118</v>
      </c>
      <c r="F12" s="3" t="s">
        <v>119</v>
      </c>
      <c r="G12" s="144" t="s">
        <v>120</v>
      </c>
      <c r="H12" s="394">
        <v>45996</v>
      </c>
      <c r="I12" s="50">
        <v>46048</v>
      </c>
      <c r="J12" s="15">
        <f t="shared" si="0"/>
        <v>52</v>
      </c>
      <c r="K12" s="3" t="s">
        <v>70</v>
      </c>
      <c r="L12" s="3" t="s">
        <v>56</v>
      </c>
      <c r="M12" s="3" t="s">
        <v>92</v>
      </c>
      <c r="N12" s="3" t="s">
        <v>121</v>
      </c>
      <c r="O12" s="3" t="s">
        <v>59</v>
      </c>
      <c r="P12" s="8">
        <v>36862.199999999997</v>
      </c>
      <c r="Q12" s="44" t="s">
        <v>60</v>
      </c>
      <c r="R12" s="57">
        <f t="shared" si="1"/>
        <v>45996</v>
      </c>
      <c r="S12" s="13" t="s">
        <v>61</v>
      </c>
      <c r="T12" s="35">
        <v>46048</v>
      </c>
      <c r="U12" s="37">
        <v>46045</v>
      </c>
      <c r="V12" s="37">
        <f t="shared" si="17"/>
        <v>46048</v>
      </c>
      <c r="W12" s="59">
        <f t="shared" si="2"/>
        <v>52</v>
      </c>
      <c r="X12" s="59">
        <f t="shared" si="3"/>
        <v>49</v>
      </c>
      <c r="Y12" s="59">
        <f t="shared" si="4"/>
        <v>3</v>
      </c>
      <c r="Z12" s="39">
        <v>7919.93</v>
      </c>
      <c r="AA12" s="4" t="s">
        <v>74</v>
      </c>
      <c r="AB12" s="35">
        <v>46045</v>
      </c>
      <c r="AC12" s="13">
        <v>36862.199999999997</v>
      </c>
      <c r="AD12" s="175">
        <v>7287</v>
      </c>
      <c r="AE12" s="13" t="s">
        <v>63</v>
      </c>
      <c r="AF12" s="35">
        <v>46048</v>
      </c>
      <c r="AG12" s="3" t="str">
        <f t="shared" si="5"/>
        <v>CIF</v>
      </c>
      <c r="AH12" s="13" t="s">
        <v>64</v>
      </c>
      <c r="AI12" s="36" t="e">
        <f>#REF!</f>
        <v>#REF!</v>
      </c>
      <c r="AJ12" s="36">
        <v>0</v>
      </c>
      <c r="AK12" s="142">
        <f t="shared" si="6"/>
        <v>0</v>
      </c>
      <c r="AL12" s="47">
        <v>46048</v>
      </c>
      <c r="AM12" s="153">
        <v>46048</v>
      </c>
      <c r="AN12" s="63">
        <f t="shared" si="7"/>
        <v>0</v>
      </c>
      <c r="AO12" s="34" t="s">
        <v>65</v>
      </c>
      <c r="AP12" s="64">
        <f t="shared" si="8"/>
        <v>46048</v>
      </c>
      <c r="AQ12" s="64">
        <f t="shared" si="9"/>
        <v>46048</v>
      </c>
      <c r="AR12" s="65">
        <f t="shared" si="10"/>
        <v>52</v>
      </c>
      <c r="AS12" s="65">
        <f t="shared" si="11"/>
        <v>52</v>
      </c>
      <c r="AT12" s="157">
        <f t="shared" si="12"/>
        <v>0</v>
      </c>
      <c r="AU12" s="13"/>
      <c r="AV12" s="13" t="s">
        <v>59</v>
      </c>
      <c r="AW12" s="109">
        <f t="shared" si="13"/>
        <v>36862.199999999997</v>
      </c>
      <c r="AX12" s="66">
        <f t="shared" si="14"/>
        <v>7919.93</v>
      </c>
      <c r="AY12" s="66"/>
      <c r="AZ12" s="66">
        <f t="shared" si="15"/>
        <v>0</v>
      </c>
      <c r="BA12" s="67">
        <f t="shared" si="16"/>
        <v>7919.93</v>
      </c>
    </row>
    <row r="13" spans="1:53" ht="21.6" customHeight="1" x14ac:dyDescent="0.3">
      <c r="A13" s="136" t="s">
        <v>122</v>
      </c>
      <c r="B13" s="3" t="s">
        <v>51</v>
      </c>
      <c r="C13" s="3" t="s">
        <v>78</v>
      </c>
      <c r="D13" s="3" t="s">
        <v>53</v>
      </c>
      <c r="E13" s="3">
        <v>555730763</v>
      </c>
      <c r="F13" s="3" t="s">
        <v>53</v>
      </c>
      <c r="G13" s="146">
        <v>194</v>
      </c>
      <c r="H13" s="394">
        <v>45999</v>
      </c>
      <c r="I13" s="50">
        <v>46035</v>
      </c>
      <c r="J13" s="15">
        <f t="shared" si="0"/>
        <v>36</v>
      </c>
      <c r="K13" s="3" t="s">
        <v>70</v>
      </c>
      <c r="L13" s="3" t="s">
        <v>56</v>
      </c>
      <c r="M13" s="3" t="s">
        <v>57</v>
      </c>
      <c r="N13" s="3" t="s">
        <v>123</v>
      </c>
      <c r="O13" s="3" t="s">
        <v>59</v>
      </c>
      <c r="P13" s="159">
        <v>5253</v>
      </c>
      <c r="Q13" s="44" t="s">
        <v>100</v>
      </c>
      <c r="R13" s="57">
        <f t="shared" si="1"/>
        <v>45999</v>
      </c>
      <c r="S13" s="13" t="s">
        <v>61</v>
      </c>
      <c r="T13" s="35">
        <v>46009</v>
      </c>
      <c r="U13" s="37">
        <f>T13</f>
        <v>46009</v>
      </c>
      <c r="V13" s="37">
        <f t="shared" si="17"/>
        <v>46035</v>
      </c>
      <c r="W13" s="59">
        <f t="shared" si="2"/>
        <v>36</v>
      </c>
      <c r="X13" s="59">
        <f t="shared" si="3"/>
        <v>10</v>
      </c>
      <c r="Y13" s="59">
        <f t="shared" si="4"/>
        <v>26</v>
      </c>
      <c r="Z13" s="39"/>
      <c r="AA13" s="4" t="s">
        <v>88</v>
      </c>
      <c r="AB13" s="35">
        <v>46034</v>
      </c>
      <c r="AC13" s="13">
        <v>5253</v>
      </c>
      <c r="AD13" s="175">
        <v>7244</v>
      </c>
      <c r="AE13" s="13" t="s">
        <v>63</v>
      </c>
      <c r="AF13" s="35">
        <v>46035</v>
      </c>
      <c r="AG13" s="3" t="str">
        <f t="shared" si="5"/>
        <v>CIF</v>
      </c>
      <c r="AH13" s="13" t="s">
        <v>64</v>
      </c>
      <c r="AI13" s="36" t="e">
        <f>#REF!</f>
        <v>#REF!</v>
      </c>
      <c r="AJ13" s="36">
        <v>0</v>
      </c>
      <c r="AK13" s="142">
        <f t="shared" si="6"/>
        <v>0</v>
      </c>
      <c r="AL13" s="47">
        <v>46035</v>
      </c>
      <c r="AM13" s="153">
        <v>46035</v>
      </c>
      <c r="AN13" s="63">
        <f t="shared" si="7"/>
        <v>0</v>
      </c>
      <c r="AO13" s="34" t="s">
        <v>65</v>
      </c>
      <c r="AP13" s="64">
        <f t="shared" si="8"/>
        <v>46035</v>
      </c>
      <c r="AQ13" s="64">
        <f t="shared" si="9"/>
        <v>46035</v>
      </c>
      <c r="AR13" s="65">
        <f t="shared" si="10"/>
        <v>36</v>
      </c>
      <c r="AS13" s="65">
        <f t="shared" si="11"/>
        <v>36</v>
      </c>
      <c r="AT13" s="157">
        <f t="shared" si="12"/>
        <v>0</v>
      </c>
      <c r="AU13" s="13"/>
      <c r="AV13" s="13" t="s">
        <v>59</v>
      </c>
      <c r="AW13" s="109">
        <f t="shared" si="13"/>
        <v>5253</v>
      </c>
      <c r="AX13" s="66">
        <f t="shared" si="14"/>
        <v>0</v>
      </c>
      <c r="AY13" s="66"/>
      <c r="AZ13" s="66">
        <f t="shared" si="15"/>
        <v>0</v>
      </c>
      <c r="BA13" s="67">
        <f t="shared" si="16"/>
        <v>0</v>
      </c>
    </row>
    <row r="14" spans="1:53" ht="21" customHeight="1" x14ac:dyDescent="0.3">
      <c r="A14" s="136" t="s">
        <v>122</v>
      </c>
      <c r="B14" s="15" t="s">
        <v>51</v>
      </c>
      <c r="C14" s="3" t="s">
        <v>78</v>
      </c>
      <c r="D14" s="3" t="s">
        <v>53</v>
      </c>
      <c r="E14" s="3">
        <v>555730764</v>
      </c>
      <c r="F14" s="3" t="s">
        <v>53</v>
      </c>
      <c r="G14" s="146">
        <v>195</v>
      </c>
      <c r="H14" s="394">
        <v>45999</v>
      </c>
      <c r="I14" s="50">
        <v>46035</v>
      </c>
      <c r="J14" s="15">
        <f t="shared" si="0"/>
        <v>36</v>
      </c>
      <c r="K14" s="3" t="s">
        <v>70</v>
      </c>
      <c r="L14" s="3" t="s">
        <v>56</v>
      </c>
      <c r="M14" s="15" t="s">
        <v>57</v>
      </c>
      <c r="N14" s="3" t="s">
        <v>123</v>
      </c>
      <c r="O14" s="3" t="s">
        <v>59</v>
      </c>
      <c r="P14" s="159">
        <v>22541</v>
      </c>
      <c r="Q14" s="44" t="s">
        <v>100</v>
      </c>
      <c r="R14" s="57">
        <f t="shared" si="1"/>
        <v>45999</v>
      </c>
      <c r="S14" s="13" t="s">
        <v>61</v>
      </c>
      <c r="T14" s="35">
        <f>T13</f>
        <v>46009</v>
      </c>
      <c r="U14" s="37">
        <f>T14</f>
        <v>46009</v>
      </c>
      <c r="V14" s="37">
        <f t="shared" si="17"/>
        <v>46035</v>
      </c>
      <c r="W14" s="59">
        <f t="shared" si="2"/>
        <v>36</v>
      </c>
      <c r="X14" s="59">
        <f t="shared" si="3"/>
        <v>10</v>
      </c>
      <c r="Y14" s="59">
        <f t="shared" si="4"/>
        <v>26</v>
      </c>
      <c r="Z14" s="39"/>
      <c r="AA14" s="4" t="s">
        <v>88</v>
      </c>
      <c r="AB14" s="35">
        <v>46034</v>
      </c>
      <c r="AC14" s="13">
        <v>22541</v>
      </c>
      <c r="AD14" s="175">
        <v>7245</v>
      </c>
      <c r="AE14" s="13" t="s">
        <v>63</v>
      </c>
      <c r="AF14" s="35">
        <v>46035</v>
      </c>
      <c r="AG14" s="3" t="str">
        <f t="shared" si="5"/>
        <v>CIF</v>
      </c>
      <c r="AH14" s="13" t="s">
        <v>64</v>
      </c>
      <c r="AI14" s="36" t="e">
        <f>#REF!</f>
        <v>#REF!</v>
      </c>
      <c r="AJ14" s="36">
        <v>0</v>
      </c>
      <c r="AK14" s="142">
        <f t="shared" si="6"/>
        <v>0</v>
      </c>
      <c r="AL14" s="47">
        <v>46035</v>
      </c>
      <c r="AM14" s="153">
        <v>46035</v>
      </c>
      <c r="AN14" s="63">
        <f t="shared" si="7"/>
        <v>0</v>
      </c>
      <c r="AO14" s="34" t="s">
        <v>65</v>
      </c>
      <c r="AP14" s="64">
        <f t="shared" si="8"/>
        <v>46035</v>
      </c>
      <c r="AQ14" s="64">
        <f t="shared" si="9"/>
        <v>46035</v>
      </c>
      <c r="AR14" s="65">
        <f t="shared" si="10"/>
        <v>36</v>
      </c>
      <c r="AS14" s="65">
        <f t="shared" si="11"/>
        <v>36</v>
      </c>
      <c r="AT14" s="157">
        <f t="shared" si="12"/>
        <v>0</v>
      </c>
      <c r="AU14" s="13"/>
      <c r="AV14" s="13" t="s">
        <v>59</v>
      </c>
      <c r="AW14" s="109">
        <f t="shared" si="13"/>
        <v>22541</v>
      </c>
      <c r="AX14" s="66">
        <f t="shared" si="14"/>
        <v>0</v>
      </c>
      <c r="AY14" s="66"/>
      <c r="AZ14" s="66">
        <f t="shared" si="15"/>
        <v>0</v>
      </c>
      <c r="BA14" s="67">
        <f t="shared" si="16"/>
        <v>0</v>
      </c>
    </row>
    <row r="15" spans="1:53" ht="21.6" customHeight="1" x14ac:dyDescent="0.3">
      <c r="A15" s="14" t="s">
        <v>124</v>
      </c>
      <c r="B15" s="15" t="s">
        <v>51</v>
      </c>
      <c r="C15" s="15" t="s">
        <v>78</v>
      </c>
      <c r="D15" s="15" t="s">
        <v>53</v>
      </c>
      <c r="E15" s="15"/>
      <c r="F15" s="15" t="s">
        <v>125</v>
      </c>
      <c r="G15" s="111">
        <v>205</v>
      </c>
      <c r="H15" s="393">
        <v>46002</v>
      </c>
      <c r="I15" s="51">
        <v>46091</v>
      </c>
      <c r="J15" s="15">
        <f t="shared" si="0"/>
        <v>89</v>
      </c>
      <c r="K15" s="15" t="s">
        <v>70</v>
      </c>
      <c r="L15" s="15" t="s">
        <v>56</v>
      </c>
      <c r="M15" s="15" t="s">
        <v>57</v>
      </c>
      <c r="N15" s="15" t="s">
        <v>87</v>
      </c>
      <c r="O15" s="15" t="s">
        <v>59</v>
      </c>
      <c r="P15" s="361">
        <v>3873.04</v>
      </c>
      <c r="Q15" s="44" t="s">
        <v>94</v>
      </c>
      <c r="R15" s="57">
        <f t="shared" si="1"/>
        <v>46002</v>
      </c>
      <c r="S15" s="13" t="s">
        <v>61</v>
      </c>
      <c r="T15" s="35">
        <v>46027</v>
      </c>
      <c r="U15" s="37">
        <v>46028</v>
      </c>
      <c r="V15" s="37">
        <f t="shared" si="17"/>
        <v>46091</v>
      </c>
      <c r="W15" s="59">
        <f t="shared" si="2"/>
        <v>89</v>
      </c>
      <c r="X15" s="59">
        <f t="shared" si="3"/>
        <v>26</v>
      </c>
      <c r="Y15" s="59">
        <f t="shared" si="4"/>
        <v>63</v>
      </c>
      <c r="Z15" s="39">
        <v>175.08</v>
      </c>
      <c r="AA15" s="4" t="s">
        <v>126</v>
      </c>
      <c r="AB15" s="35">
        <v>46043</v>
      </c>
      <c r="AC15" s="13">
        <v>3873.06</v>
      </c>
      <c r="AD15" s="175">
        <v>7280</v>
      </c>
      <c r="AE15" s="13" t="s">
        <v>63</v>
      </c>
      <c r="AF15" s="35">
        <v>46045</v>
      </c>
      <c r="AG15" s="3" t="str">
        <f t="shared" si="5"/>
        <v>CIF</v>
      </c>
      <c r="AH15" s="13" t="s">
        <v>127</v>
      </c>
      <c r="AI15" s="36" t="e">
        <f>#REF!</f>
        <v>#REF!</v>
      </c>
      <c r="AJ15" s="36">
        <v>216.09</v>
      </c>
      <c r="AK15" s="142">
        <f t="shared" si="6"/>
        <v>5.5793093832783379E-2</v>
      </c>
      <c r="AL15" s="47">
        <v>46052</v>
      </c>
      <c r="AM15" s="153">
        <v>46052</v>
      </c>
      <c r="AN15" s="63">
        <f t="shared" si="7"/>
        <v>7</v>
      </c>
      <c r="AO15" s="34" t="s">
        <v>65</v>
      </c>
      <c r="AP15" s="64">
        <f t="shared" si="8"/>
        <v>46091</v>
      </c>
      <c r="AQ15" s="64">
        <f t="shared" si="9"/>
        <v>46052</v>
      </c>
      <c r="AR15" s="65">
        <f t="shared" si="10"/>
        <v>89</v>
      </c>
      <c r="AS15" s="65">
        <f t="shared" si="11"/>
        <v>50</v>
      </c>
      <c r="AT15" s="157">
        <f t="shared" si="12"/>
        <v>39</v>
      </c>
      <c r="AU15" s="13"/>
      <c r="AV15" s="13" t="s">
        <v>59</v>
      </c>
      <c r="AW15" s="109">
        <f t="shared" si="13"/>
        <v>3873.06</v>
      </c>
      <c r="AX15" s="66">
        <f t="shared" si="14"/>
        <v>175.08</v>
      </c>
      <c r="AY15" s="66"/>
      <c r="AZ15" s="66">
        <f t="shared" si="15"/>
        <v>216.09</v>
      </c>
      <c r="BA15" s="67">
        <f t="shared" si="16"/>
        <v>391.17</v>
      </c>
    </row>
    <row r="16" spans="1:53" ht="21.6" customHeight="1" x14ac:dyDescent="0.3">
      <c r="A16" s="136" t="s">
        <v>128</v>
      </c>
      <c r="B16" s="3" t="s">
        <v>51</v>
      </c>
      <c r="C16" s="3" t="s">
        <v>78</v>
      </c>
      <c r="D16" s="3" t="s">
        <v>53</v>
      </c>
      <c r="E16" s="3">
        <v>950263111</v>
      </c>
      <c r="F16" s="3" t="s">
        <v>53</v>
      </c>
      <c r="G16" s="146">
        <v>203</v>
      </c>
      <c r="H16" s="394">
        <v>46006</v>
      </c>
      <c r="I16" s="50">
        <v>46035</v>
      </c>
      <c r="J16" s="15">
        <f t="shared" si="0"/>
        <v>29</v>
      </c>
      <c r="K16" s="3" t="s">
        <v>70</v>
      </c>
      <c r="L16" s="15" t="s">
        <v>56</v>
      </c>
      <c r="M16" s="3" t="s">
        <v>57</v>
      </c>
      <c r="N16" s="3" t="s">
        <v>123</v>
      </c>
      <c r="O16" s="15" t="s">
        <v>59</v>
      </c>
      <c r="P16" s="159">
        <v>11708.55</v>
      </c>
      <c r="Q16" s="44" t="s">
        <v>100</v>
      </c>
      <c r="R16" s="57">
        <f t="shared" si="1"/>
        <v>46006</v>
      </c>
      <c r="S16" s="13" t="s">
        <v>61</v>
      </c>
      <c r="T16" s="35">
        <v>46013</v>
      </c>
      <c r="U16" s="37">
        <f>T16</f>
        <v>46013</v>
      </c>
      <c r="V16" s="37">
        <f t="shared" si="17"/>
        <v>46035</v>
      </c>
      <c r="W16" s="59">
        <f t="shared" si="2"/>
        <v>29</v>
      </c>
      <c r="X16" s="59">
        <f t="shared" si="3"/>
        <v>7</v>
      </c>
      <c r="Y16" s="59">
        <f t="shared" si="4"/>
        <v>22</v>
      </c>
      <c r="Z16" s="39"/>
      <c r="AA16" s="4" t="s">
        <v>88</v>
      </c>
      <c r="AB16" s="35">
        <v>46034</v>
      </c>
      <c r="AC16" s="13">
        <v>11708.55</v>
      </c>
      <c r="AD16" s="175">
        <v>7241</v>
      </c>
      <c r="AE16" s="13" t="s">
        <v>63</v>
      </c>
      <c r="AF16" s="35">
        <v>46034</v>
      </c>
      <c r="AG16" s="3" t="str">
        <f t="shared" si="5"/>
        <v>CIF</v>
      </c>
      <c r="AH16" s="13" t="s">
        <v>64</v>
      </c>
      <c r="AI16" s="36" t="e">
        <f>#REF!</f>
        <v>#REF!</v>
      </c>
      <c r="AJ16" s="36">
        <v>0</v>
      </c>
      <c r="AK16" s="142">
        <f t="shared" si="6"/>
        <v>0</v>
      </c>
      <c r="AL16" s="47">
        <v>46035</v>
      </c>
      <c r="AM16" s="153">
        <v>46035</v>
      </c>
      <c r="AN16" s="63">
        <f t="shared" si="7"/>
        <v>1</v>
      </c>
      <c r="AO16" s="34" t="s">
        <v>65</v>
      </c>
      <c r="AP16" s="64">
        <f t="shared" si="8"/>
        <v>46035</v>
      </c>
      <c r="AQ16" s="64">
        <f t="shared" si="9"/>
        <v>46035</v>
      </c>
      <c r="AR16" s="65">
        <f t="shared" si="10"/>
        <v>29</v>
      </c>
      <c r="AS16" s="65">
        <f t="shared" si="11"/>
        <v>29</v>
      </c>
      <c r="AT16" s="157">
        <f t="shared" si="12"/>
        <v>0</v>
      </c>
      <c r="AU16" s="13"/>
      <c r="AV16" s="13" t="s">
        <v>59</v>
      </c>
      <c r="AW16" s="109">
        <f t="shared" si="13"/>
        <v>11708.55</v>
      </c>
      <c r="AX16" s="66">
        <f t="shared" si="14"/>
        <v>0</v>
      </c>
      <c r="AY16" s="66"/>
      <c r="AZ16" s="66">
        <f t="shared" si="15"/>
        <v>0</v>
      </c>
      <c r="BA16" s="67">
        <f t="shared" si="16"/>
        <v>0</v>
      </c>
    </row>
    <row r="17" spans="1:54" ht="21.6" customHeight="1" x14ac:dyDescent="0.3">
      <c r="A17" s="136" t="s">
        <v>128</v>
      </c>
      <c r="B17" s="15" t="s">
        <v>51</v>
      </c>
      <c r="C17" s="3" t="s">
        <v>78</v>
      </c>
      <c r="D17" s="3" t="s">
        <v>53</v>
      </c>
      <c r="E17" s="3">
        <v>950263145</v>
      </c>
      <c r="F17" s="3" t="s">
        <v>53</v>
      </c>
      <c r="G17" s="146">
        <v>204</v>
      </c>
      <c r="H17" s="394">
        <v>46006</v>
      </c>
      <c r="I17" s="50">
        <v>46035</v>
      </c>
      <c r="J17" s="15">
        <f t="shared" si="0"/>
        <v>29</v>
      </c>
      <c r="K17" s="3" t="s">
        <v>70</v>
      </c>
      <c r="L17" s="15" t="s">
        <v>56</v>
      </c>
      <c r="M17" s="15" t="s">
        <v>57</v>
      </c>
      <c r="N17" s="3" t="s">
        <v>123</v>
      </c>
      <c r="O17" s="15" t="s">
        <v>59</v>
      </c>
      <c r="P17" s="159">
        <v>8962.1</v>
      </c>
      <c r="Q17" s="44" t="s">
        <v>100</v>
      </c>
      <c r="R17" s="57">
        <f t="shared" si="1"/>
        <v>46006</v>
      </c>
      <c r="S17" s="13" t="s">
        <v>61</v>
      </c>
      <c r="T17" s="35">
        <f>T16</f>
        <v>46013</v>
      </c>
      <c r="U17" s="37">
        <v>46013</v>
      </c>
      <c r="V17" s="37">
        <f t="shared" si="17"/>
        <v>46035</v>
      </c>
      <c r="W17" s="59">
        <f t="shared" si="2"/>
        <v>29</v>
      </c>
      <c r="X17" s="59">
        <f t="shared" si="3"/>
        <v>7</v>
      </c>
      <c r="Y17" s="59">
        <f t="shared" si="4"/>
        <v>22</v>
      </c>
      <c r="Z17" s="39"/>
      <c r="AA17" s="4" t="s">
        <v>88</v>
      </c>
      <c r="AB17" s="35">
        <v>46034</v>
      </c>
      <c r="AC17" s="13">
        <v>8962.1</v>
      </c>
      <c r="AD17" s="175">
        <v>7242</v>
      </c>
      <c r="AE17" s="13" t="s">
        <v>63</v>
      </c>
      <c r="AF17" s="35">
        <v>46034</v>
      </c>
      <c r="AG17" s="3" t="str">
        <f t="shared" si="5"/>
        <v>CIF</v>
      </c>
      <c r="AH17" s="13" t="s">
        <v>64</v>
      </c>
      <c r="AI17" s="36" t="e">
        <f>#REF!</f>
        <v>#REF!</v>
      </c>
      <c r="AJ17" s="36">
        <v>0</v>
      </c>
      <c r="AK17" s="142">
        <f t="shared" si="6"/>
        <v>0</v>
      </c>
      <c r="AL17" s="47">
        <v>46035</v>
      </c>
      <c r="AM17" s="153">
        <v>46035</v>
      </c>
      <c r="AN17" s="63">
        <f t="shared" si="7"/>
        <v>1</v>
      </c>
      <c r="AO17" s="34" t="s">
        <v>65</v>
      </c>
      <c r="AP17" s="64">
        <f t="shared" si="8"/>
        <v>46035</v>
      </c>
      <c r="AQ17" s="64">
        <f t="shared" si="9"/>
        <v>46035</v>
      </c>
      <c r="AR17" s="65">
        <f t="shared" si="10"/>
        <v>29</v>
      </c>
      <c r="AS17" s="65">
        <f t="shared" si="11"/>
        <v>29</v>
      </c>
      <c r="AT17" s="157">
        <f t="shared" si="12"/>
        <v>0</v>
      </c>
      <c r="AU17" s="13"/>
      <c r="AV17" s="13" t="s">
        <v>59</v>
      </c>
      <c r="AW17" s="109">
        <f t="shared" si="13"/>
        <v>8962.1</v>
      </c>
      <c r="AX17" s="66">
        <f t="shared" si="14"/>
        <v>0</v>
      </c>
      <c r="AY17" s="66"/>
      <c r="AZ17" s="66">
        <f t="shared" si="15"/>
        <v>0</v>
      </c>
      <c r="BA17" s="67">
        <f t="shared" si="16"/>
        <v>0</v>
      </c>
    </row>
    <row r="18" spans="1:54" ht="21.6" customHeight="1" x14ac:dyDescent="0.3">
      <c r="A18" s="2" t="s">
        <v>124</v>
      </c>
      <c r="B18" s="15" t="s">
        <v>51</v>
      </c>
      <c r="C18" s="3" t="s">
        <v>78</v>
      </c>
      <c r="D18" s="3" t="s">
        <v>53</v>
      </c>
      <c r="E18" s="3">
        <v>4514848558</v>
      </c>
      <c r="F18" s="3" t="s">
        <v>53</v>
      </c>
      <c r="G18" s="144">
        <v>206</v>
      </c>
      <c r="H18" s="394">
        <v>46006</v>
      </c>
      <c r="I18" s="50">
        <v>46035</v>
      </c>
      <c r="J18" s="15">
        <f t="shared" si="0"/>
        <v>29</v>
      </c>
      <c r="K18" s="3" t="s">
        <v>70</v>
      </c>
      <c r="L18" s="15" t="s">
        <v>56</v>
      </c>
      <c r="M18" s="15" t="s">
        <v>57</v>
      </c>
      <c r="N18" s="3" t="s">
        <v>87</v>
      </c>
      <c r="O18" s="15" t="s">
        <v>59</v>
      </c>
      <c r="P18" s="8">
        <v>17871.099999999999</v>
      </c>
      <c r="Q18" s="44" t="s">
        <v>100</v>
      </c>
      <c r="R18" s="57">
        <f t="shared" si="1"/>
        <v>46006</v>
      </c>
      <c r="S18" s="13" t="s">
        <v>61</v>
      </c>
      <c r="T18" s="35">
        <v>46034</v>
      </c>
      <c r="U18" s="37">
        <v>46034</v>
      </c>
      <c r="V18" s="37">
        <f t="shared" si="17"/>
        <v>46035</v>
      </c>
      <c r="W18" s="59">
        <f t="shared" si="2"/>
        <v>29</v>
      </c>
      <c r="X18" s="59">
        <f t="shared" si="3"/>
        <v>28</v>
      </c>
      <c r="Y18" s="59">
        <f t="shared" si="4"/>
        <v>1</v>
      </c>
      <c r="Z18" s="39">
        <v>1700.73</v>
      </c>
      <c r="AA18" s="4" t="s">
        <v>126</v>
      </c>
      <c r="AB18" s="35">
        <v>46036</v>
      </c>
      <c r="AC18" s="13">
        <v>17871.099999999999</v>
      </c>
      <c r="AD18" s="175">
        <v>7250</v>
      </c>
      <c r="AE18" s="13" t="s">
        <v>63</v>
      </c>
      <c r="AF18" s="35">
        <v>46038</v>
      </c>
      <c r="AG18" s="3" t="str">
        <f t="shared" si="5"/>
        <v>CIF</v>
      </c>
      <c r="AH18" s="13" t="s">
        <v>127</v>
      </c>
      <c r="AI18" s="36" t="e">
        <f>#REF!</f>
        <v>#REF!</v>
      </c>
      <c r="AJ18" s="36">
        <v>550.49</v>
      </c>
      <c r="AK18" s="142">
        <f t="shared" si="6"/>
        <v>3.080336409062677E-2</v>
      </c>
      <c r="AL18" s="47">
        <v>46045</v>
      </c>
      <c r="AM18" s="153">
        <v>46045</v>
      </c>
      <c r="AN18" s="63">
        <f t="shared" si="7"/>
        <v>7</v>
      </c>
      <c r="AO18" s="34" t="s">
        <v>103</v>
      </c>
      <c r="AP18" s="64">
        <f t="shared" si="8"/>
        <v>46035</v>
      </c>
      <c r="AQ18" s="64">
        <f t="shared" si="9"/>
        <v>46045</v>
      </c>
      <c r="AR18" s="65">
        <f t="shared" si="10"/>
        <v>29</v>
      </c>
      <c r="AS18" s="65">
        <f t="shared" si="11"/>
        <v>39</v>
      </c>
      <c r="AT18" s="157">
        <f t="shared" si="12"/>
        <v>-10</v>
      </c>
      <c r="AU18" s="13" t="s">
        <v>129</v>
      </c>
      <c r="AV18" s="13" t="s">
        <v>116</v>
      </c>
      <c r="AW18" s="109">
        <f t="shared" si="13"/>
        <v>17871.099999999999</v>
      </c>
      <c r="AX18" s="66">
        <f t="shared" si="14"/>
        <v>1700.73</v>
      </c>
      <c r="AY18" s="66"/>
      <c r="AZ18" s="66">
        <f t="shared" si="15"/>
        <v>550.49</v>
      </c>
      <c r="BA18" s="67">
        <f t="shared" si="16"/>
        <v>2251.2200000000003</v>
      </c>
    </row>
    <row r="19" spans="1:54" ht="21.6" customHeight="1" x14ac:dyDescent="0.3">
      <c r="A19" s="2" t="s">
        <v>124</v>
      </c>
      <c r="B19" s="15" t="s">
        <v>91</v>
      </c>
      <c r="C19" s="3" t="s">
        <v>78</v>
      </c>
      <c r="D19" s="3">
        <v>4600677427</v>
      </c>
      <c r="E19" s="3">
        <v>4514868591</v>
      </c>
      <c r="F19" s="3" t="s">
        <v>53</v>
      </c>
      <c r="G19" s="147" t="s">
        <v>130</v>
      </c>
      <c r="H19" s="394">
        <v>46006</v>
      </c>
      <c r="I19" s="50">
        <v>46036</v>
      </c>
      <c r="J19" s="15">
        <f t="shared" si="0"/>
        <v>30</v>
      </c>
      <c r="K19" s="3" t="s">
        <v>70</v>
      </c>
      <c r="L19" s="15" t="s">
        <v>56</v>
      </c>
      <c r="M19" s="3" t="s">
        <v>92</v>
      </c>
      <c r="N19" s="3" t="s">
        <v>131</v>
      </c>
      <c r="O19" s="15" t="s">
        <v>59</v>
      </c>
      <c r="P19" s="82">
        <v>2123.54</v>
      </c>
      <c r="Q19" s="44" t="s">
        <v>100</v>
      </c>
      <c r="R19" s="57">
        <f t="shared" si="1"/>
        <v>46006</v>
      </c>
      <c r="S19" s="13" t="s">
        <v>61</v>
      </c>
      <c r="T19" s="35">
        <v>46028</v>
      </c>
      <c r="U19" s="37">
        <v>46028</v>
      </c>
      <c r="V19" s="37">
        <f t="shared" si="17"/>
        <v>46036</v>
      </c>
      <c r="W19" s="59">
        <f t="shared" si="2"/>
        <v>30</v>
      </c>
      <c r="X19" s="59">
        <f t="shared" si="3"/>
        <v>22</v>
      </c>
      <c r="Y19" s="59">
        <f t="shared" si="4"/>
        <v>8</v>
      </c>
      <c r="Z19" s="39">
        <v>207.93</v>
      </c>
      <c r="AA19" s="4" t="s">
        <v>126</v>
      </c>
      <c r="AB19" s="35">
        <v>46104</v>
      </c>
      <c r="AC19" s="13">
        <v>2123.54</v>
      </c>
      <c r="AD19" s="175">
        <v>7440</v>
      </c>
      <c r="AE19" s="13" t="s">
        <v>63</v>
      </c>
      <c r="AF19" s="35">
        <v>46104</v>
      </c>
      <c r="AG19" s="3" t="str">
        <f t="shared" si="5"/>
        <v>CIF</v>
      </c>
      <c r="AH19" s="13" t="s">
        <v>64</v>
      </c>
      <c r="AI19" s="36" t="e">
        <f>#REF!</f>
        <v>#REF!</v>
      </c>
      <c r="AJ19" s="36">
        <v>0</v>
      </c>
      <c r="AK19" s="142">
        <f t="shared" si="6"/>
        <v>0</v>
      </c>
      <c r="AL19" s="47">
        <v>46028</v>
      </c>
      <c r="AM19" s="153">
        <v>46105</v>
      </c>
      <c r="AN19" s="63">
        <f t="shared" si="7"/>
        <v>1</v>
      </c>
      <c r="AO19" s="34" t="s">
        <v>65</v>
      </c>
      <c r="AP19" s="64">
        <v>46105</v>
      </c>
      <c r="AQ19" s="64">
        <f t="shared" si="9"/>
        <v>46105</v>
      </c>
      <c r="AR19" s="65">
        <f t="shared" si="10"/>
        <v>99</v>
      </c>
      <c r="AS19" s="65">
        <f t="shared" si="11"/>
        <v>99</v>
      </c>
      <c r="AT19" s="157">
        <f t="shared" si="12"/>
        <v>0</v>
      </c>
      <c r="AU19" s="13" t="s">
        <v>132</v>
      </c>
      <c r="AV19" s="13" t="s">
        <v>105</v>
      </c>
      <c r="AW19" s="109">
        <f t="shared" si="13"/>
        <v>2123.54</v>
      </c>
      <c r="AX19" s="66">
        <f t="shared" si="14"/>
        <v>207.93</v>
      </c>
      <c r="AY19" s="66"/>
      <c r="AZ19" s="66">
        <f t="shared" si="15"/>
        <v>0</v>
      </c>
      <c r="BA19" s="67">
        <f t="shared" si="16"/>
        <v>207.93</v>
      </c>
    </row>
    <row r="20" spans="1:54" ht="21.6" customHeight="1" x14ac:dyDescent="0.3">
      <c r="A20" s="2" t="s">
        <v>133</v>
      </c>
      <c r="B20" s="3" t="s">
        <v>91</v>
      </c>
      <c r="C20" s="3" t="s">
        <v>134</v>
      </c>
      <c r="D20" s="3" t="s">
        <v>53</v>
      </c>
      <c r="E20" s="3"/>
      <c r="F20" s="3"/>
      <c r="G20" s="144" t="s">
        <v>135</v>
      </c>
      <c r="H20" s="394">
        <v>46006</v>
      </c>
      <c r="I20" s="50">
        <v>46052</v>
      </c>
      <c r="J20" s="15">
        <f t="shared" si="0"/>
        <v>46</v>
      </c>
      <c r="K20" s="3" t="s">
        <v>70</v>
      </c>
      <c r="L20" s="15"/>
      <c r="M20" s="3" t="s">
        <v>92</v>
      </c>
      <c r="N20" s="3"/>
      <c r="O20" s="15" t="s">
        <v>59</v>
      </c>
      <c r="P20" s="8">
        <v>91000</v>
      </c>
      <c r="Q20" s="44" t="s">
        <v>60</v>
      </c>
      <c r="R20" s="57">
        <f t="shared" si="1"/>
        <v>46006</v>
      </c>
      <c r="S20" s="13" t="s">
        <v>61</v>
      </c>
      <c r="T20" s="35">
        <v>46041</v>
      </c>
      <c r="U20" s="37">
        <v>46042</v>
      </c>
      <c r="V20" s="37">
        <f t="shared" si="17"/>
        <v>46052</v>
      </c>
      <c r="W20" s="59">
        <f t="shared" si="2"/>
        <v>46</v>
      </c>
      <c r="X20" s="59">
        <f t="shared" si="3"/>
        <v>36</v>
      </c>
      <c r="Y20" s="59">
        <f t="shared" si="4"/>
        <v>10</v>
      </c>
      <c r="Z20" s="143"/>
      <c r="AA20" s="4" t="s">
        <v>101</v>
      </c>
      <c r="AB20" s="35">
        <v>46042</v>
      </c>
      <c r="AC20" s="13">
        <v>91000</v>
      </c>
      <c r="AD20" s="175">
        <v>7270</v>
      </c>
      <c r="AE20" s="13" t="s">
        <v>63</v>
      </c>
      <c r="AF20" s="35">
        <v>46043</v>
      </c>
      <c r="AG20" s="3" t="str">
        <f t="shared" si="5"/>
        <v>CIF</v>
      </c>
      <c r="AH20" s="13" t="s">
        <v>64</v>
      </c>
      <c r="AI20" s="36" t="e">
        <f>#REF!</f>
        <v>#REF!</v>
      </c>
      <c r="AJ20" s="36">
        <v>0</v>
      </c>
      <c r="AK20" s="142">
        <f t="shared" si="6"/>
        <v>0</v>
      </c>
      <c r="AL20" s="47">
        <v>46044</v>
      </c>
      <c r="AM20" s="153">
        <v>46044</v>
      </c>
      <c r="AN20" s="63">
        <f t="shared" si="7"/>
        <v>1</v>
      </c>
      <c r="AO20" s="34" t="s">
        <v>65</v>
      </c>
      <c r="AP20" s="64">
        <f t="shared" ref="AP20:AP51" si="18">I20</f>
        <v>46052</v>
      </c>
      <c r="AQ20" s="64">
        <f t="shared" si="9"/>
        <v>46044</v>
      </c>
      <c r="AR20" s="65">
        <f t="shared" si="10"/>
        <v>46</v>
      </c>
      <c r="AS20" s="65">
        <f t="shared" si="11"/>
        <v>38</v>
      </c>
      <c r="AT20" s="157">
        <f t="shared" si="12"/>
        <v>8</v>
      </c>
      <c r="AU20" s="13" t="s">
        <v>136</v>
      </c>
      <c r="AV20" s="13" t="s">
        <v>116</v>
      </c>
      <c r="AW20" s="109">
        <v>0</v>
      </c>
      <c r="AX20" s="66">
        <f t="shared" si="14"/>
        <v>0</v>
      </c>
      <c r="AY20" s="66"/>
      <c r="AZ20" s="66">
        <f t="shared" si="15"/>
        <v>0</v>
      </c>
      <c r="BA20" s="67">
        <f t="shared" si="16"/>
        <v>0</v>
      </c>
    </row>
    <row r="21" spans="1:54" ht="21.6" customHeight="1" x14ac:dyDescent="0.3">
      <c r="A21" s="2" t="s">
        <v>124</v>
      </c>
      <c r="B21" s="3" t="s">
        <v>51</v>
      </c>
      <c r="C21" s="3" t="s">
        <v>78</v>
      </c>
      <c r="D21" s="3">
        <v>4600677427</v>
      </c>
      <c r="E21" s="3">
        <v>4514868099</v>
      </c>
      <c r="F21" s="3" t="s">
        <v>53</v>
      </c>
      <c r="G21" s="144">
        <v>209</v>
      </c>
      <c r="H21" s="394">
        <v>46007</v>
      </c>
      <c r="I21" s="50">
        <v>46036</v>
      </c>
      <c r="J21" s="15">
        <f t="shared" si="0"/>
        <v>29</v>
      </c>
      <c r="K21" s="3" t="s">
        <v>70</v>
      </c>
      <c r="L21" s="15" t="s">
        <v>56</v>
      </c>
      <c r="M21" s="3" t="s">
        <v>57</v>
      </c>
      <c r="N21" s="3" t="s">
        <v>87</v>
      </c>
      <c r="O21" s="15" t="s">
        <v>59</v>
      </c>
      <c r="P21" s="82">
        <v>3130.16</v>
      </c>
      <c r="Q21" s="44" t="s">
        <v>100</v>
      </c>
      <c r="R21" s="57">
        <f t="shared" si="1"/>
        <v>46007</v>
      </c>
      <c r="S21" s="13" t="s">
        <v>61</v>
      </c>
      <c r="T21" s="35">
        <v>46028</v>
      </c>
      <c r="U21" s="37">
        <v>46028</v>
      </c>
      <c r="V21" s="37">
        <f t="shared" si="17"/>
        <v>46036</v>
      </c>
      <c r="W21" s="59">
        <f t="shared" si="2"/>
        <v>29</v>
      </c>
      <c r="X21" s="59">
        <f t="shared" si="3"/>
        <v>21</v>
      </c>
      <c r="Y21" s="59">
        <f t="shared" si="4"/>
        <v>8</v>
      </c>
      <c r="Z21" s="39">
        <v>1001.37</v>
      </c>
      <c r="AA21" s="4" t="s">
        <v>126</v>
      </c>
      <c r="AB21" s="35">
        <v>46029</v>
      </c>
      <c r="AC21" s="13">
        <v>3130.16</v>
      </c>
      <c r="AD21" s="175">
        <v>7235</v>
      </c>
      <c r="AE21" s="13" t="s">
        <v>63</v>
      </c>
      <c r="AF21" s="35">
        <v>46045</v>
      </c>
      <c r="AG21" s="3" t="s">
        <v>70</v>
      </c>
      <c r="AH21" s="13" t="s">
        <v>127</v>
      </c>
      <c r="AI21" s="36" t="e">
        <f>#REF!</f>
        <v>#REF!</v>
      </c>
      <c r="AJ21" s="36">
        <v>500</v>
      </c>
      <c r="AK21" s="142">
        <f t="shared" si="6"/>
        <v>0.15973624351470853</v>
      </c>
      <c r="AL21" s="47">
        <v>46050</v>
      </c>
      <c r="AM21" s="153">
        <v>46050</v>
      </c>
      <c r="AN21" s="63">
        <f t="shared" si="7"/>
        <v>5</v>
      </c>
      <c r="AO21" s="34" t="s">
        <v>65</v>
      </c>
      <c r="AP21" s="64">
        <f t="shared" si="18"/>
        <v>46036</v>
      </c>
      <c r="AQ21" s="64">
        <f t="shared" si="9"/>
        <v>46050</v>
      </c>
      <c r="AR21" s="65">
        <f t="shared" si="10"/>
        <v>29</v>
      </c>
      <c r="AS21" s="65">
        <f t="shared" si="11"/>
        <v>43</v>
      </c>
      <c r="AT21" s="157">
        <f t="shared" si="12"/>
        <v>-14</v>
      </c>
      <c r="AU21" s="13"/>
      <c r="AV21" s="13" t="s">
        <v>116</v>
      </c>
      <c r="AW21" s="109">
        <f t="shared" ref="AW21:AW52" si="19">AC21</f>
        <v>3130.16</v>
      </c>
      <c r="AX21" s="66">
        <f t="shared" si="14"/>
        <v>1001.37</v>
      </c>
      <c r="AY21" s="66"/>
      <c r="AZ21" s="66">
        <f t="shared" si="15"/>
        <v>500</v>
      </c>
      <c r="BA21" s="67">
        <f t="shared" si="16"/>
        <v>1501.37</v>
      </c>
    </row>
    <row r="22" spans="1:54" ht="21.6" customHeight="1" x14ac:dyDescent="0.3">
      <c r="A22" s="2" t="s">
        <v>137</v>
      </c>
      <c r="B22" s="3" t="s">
        <v>67</v>
      </c>
      <c r="C22" s="3" t="s">
        <v>78</v>
      </c>
      <c r="D22" s="3" t="s">
        <v>53</v>
      </c>
      <c r="E22" s="3" t="s">
        <v>53</v>
      </c>
      <c r="F22" s="3" t="s">
        <v>138</v>
      </c>
      <c r="G22" s="144">
        <v>210</v>
      </c>
      <c r="H22" s="394">
        <v>46007</v>
      </c>
      <c r="I22" s="50">
        <v>46079</v>
      </c>
      <c r="J22" s="15">
        <f t="shared" si="0"/>
        <v>72</v>
      </c>
      <c r="K22" s="3" t="s">
        <v>70</v>
      </c>
      <c r="L22" s="15" t="s">
        <v>139</v>
      </c>
      <c r="M22" s="3" t="s">
        <v>72</v>
      </c>
      <c r="N22" s="3" t="s">
        <v>140</v>
      </c>
      <c r="O22" s="15" t="s">
        <v>59</v>
      </c>
      <c r="P22" s="8">
        <v>87407.33</v>
      </c>
      <c r="Q22" s="85" t="s">
        <v>60</v>
      </c>
      <c r="R22" s="57">
        <f t="shared" si="1"/>
        <v>46007</v>
      </c>
      <c r="S22" s="13" t="s">
        <v>61</v>
      </c>
      <c r="T22" s="35">
        <v>46079</v>
      </c>
      <c r="U22" s="37">
        <v>46079</v>
      </c>
      <c r="V22" s="37">
        <f t="shared" si="17"/>
        <v>46079</v>
      </c>
      <c r="W22" s="59">
        <f t="shared" si="2"/>
        <v>72</v>
      </c>
      <c r="X22" s="59">
        <f t="shared" si="3"/>
        <v>72</v>
      </c>
      <c r="Y22" s="59">
        <f t="shared" si="4"/>
        <v>0</v>
      </c>
      <c r="Z22" s="39">
        <v>32373.63</v>
      </c>
      <c r="AA22" s="4" t="s">
        <v>141</v>
      </c>
      <c r="AB22" s="35">
        <v>46080</v>
      </c>
      <c r="AC22" s="35">
        <v>94904.81</v>
      </c>
      <c r="AD22" s="175">
        <v>7377</v>
      </c>
      <c r="AE22" s="35" t="s">
        <v>63</v>
      </c>
      <c r="AF22" s="35">
        <v>46084</v>
      </c>
      <c r="AG22" s="3" t="s">
        <v>55</v>
      </c>
      <c r="AH22" s="13" t="s">
        <v>142</v>
      </c>
      <c r="AI22" s="36" t="e">
        <f>#REF!</f>
        <v>#REF!</v>
      </c>
      <c r="AJ22" s="36">
        <v>0</v>
      </c>
      <c r="AK22" s="142">
        <f t="shared" si="6"/>
        <v>0</v>
      </c>
      <c r="AL22" s="47">
        <v>46084</v>
      </c>
      <c r="AM22" s="153">
        <v>46079</v>
      </c>
      <c r="AN22" s="63">
        <f t="shared" si="7"/>
        <v>-5</v>
      </c>
      <c r="AO22" s="34" t="s">
        <v>65</v>
      </c>
      <c r="AP22" s="64">
        <f t="shared" si="18"/>
        <v>46079</v>
      </c>
      <c r="AQ22" s="64">
        <f t="shared" si="9"/>
        <v>46079</v>
      </c>
      <c r="AR22" s="65">
        <f t="shared" si="10"/>
        <v>72</v>
      </c>
      <c r="AS22" s="65">
        <f t="shared" si="11"/>
        <v>72</v>
      </c>
      <c r="AT22" s="157">
        <f t="shared" si="12"/>
        <v>0</v>
      </c>
      <c r="AU22" s="13"/>
      <c r="AV22" s="13" t="s">
        <v>59</v>
      </c>
      <c r="AW22" s="109">
        <f t="shared" si="19"/>
        <v>94904.81</v>
      </c>
      <c r="AX22" s="66">
        <f t="shared" si="14"/>
        <v>32373.63</v>
      </c>
      <c r="AY22" s="66"/>
      <c r="AZ22" s="66">
        <f t="shared" si="15"/>
        <v>0</v>
      </c>
      <c r="BA22" s="67">
        <f t="shared" si="16"/>
        <v>32373.63</v>
      </c>
    </row>
    <row r="23" spans="1:54" ht="21.6" customHeight="1" x14ac:dyDescent="0.3">
      <c r="A23" s="2" t="s">
        <v>143</v>
      </c>
      <c r="B23" s="3" t="s">
        <v>91</v>
      </c>
      <c r="C23" s="3" t="s">
        <v>78</v>
      </c>
      <c r="D23" s="3" t="s">
        <v>53</v>
      </c>
      <c r="E23" s="3">
        <v>496601</v>
      </c>
      <c r="F23" s="3" t="s">
        <v>144</v>
      </c>
      <c r="G23" s="144">
        <v>212</v>
      </c>
      <c r="H23" s="394">
        <v>46007</v>
      </c>
      <c r="I23" s="50">
        <v>46052</v>
      </c>
      <c r="J23" s="15">
        <f t="shared" si="0"/>
        <v>45</v>
      </c>
      <c r="K23" s="3" t="s">
        <v>55</v>
      </c>
      <c r="L23" s="15" t="s">
        <v>56</v>
      </c>
      <c r="M23" s="3" t="s">
        <v>92</v>
      </c>
      <c r="N23" s="3" t="s">
        <v>145</v>
      </c>
      <c r="O23" s="15" t="s">
        <v>59</v>
      </c>
      <c r="P23" s="8">
        <v>6178</v>
      </c>
      <c r="Q23" s="44" t="s">
        <v>94</v>
      </c>
      <c r="R23" s="57">
        <f t="shared" si="1"/>
        <v>46007</v>
      </c>
      <c r="S23" s="13" t="s">
        <v>61</v>
      </c>
      <c r="T23" s="35">
        <v>46042</v>
      </c>
      <c r="U23" s="37">
        <v>46031</v>
      </c>
      <c r="V23" s="37">
        <f t="shared" si="17"/>
        <v>46052</v>
      </c>
      <c r="W23" s="59">
        <f t="shared" si="2"/>
        <v>45</v>
      </c>
      <c r="X23" s="59">
        <f t="shared" si="3"/>
        <v>24</v>
      </c>
      <c r="Y23" s="59">
        <f t="shared" si="4"/>
        <v>21</v>
      </c>
      <c r="Z23" s="39">
        <v>302.11</v>
      </c>
      <c r="AA23" s="4" t="s">
        <v>126</v>
      </c>
      <c r="AB23" s="35">
        <v>46035</v>
      </c>
      <c r="AC23" s="13">
        <v>6178</v>
      </c>
      <c r="AD23" s="174">
        <v>7249</v>
      </c>
      <c r="AE23" s="13" t="s">
        <v>63</v>
      </c>
      <c r="AF23" s="35">
        <v>46045</v>
      </c>
      <c r="AG23" s="3" t="str">
        <f t="shared" ref="AG23:AG69" si="20">K23</f>
        <v>FOB</v>
      </c>
      <c r="AH23" s="13" t="s">
        <v>146</v>
      </c>
      <c r="AI23" s="36" t="e">
        <f>#REF!</f>
        <v>#REF!</v>
      </c>
      <c r="AJ23" s="36">
        <v>0</v>
      </c>
      <c r="AK23" s="142">
        <f t="shared" si="6"/>
        <v>0</v>
      </c>
      <c r="AL23" s="47">
        <v>46034</v>
      </c>
      <c r="AM23" s="153">
        <v>46034</v>
      </c>
      <c r="AN23" s="63">
        <f t="shared" si="7"/>
        <v>-11</v>
      </c>
      <c r="AO23" s="34" t="s">
        <v>65</v>
      </c>
      <c r="AP23" s="64">
        <f t="shared" si="18"/>
        <v>46052</v>
      </c>
      <c r="AQ23" s="64">
        <f t="shared" si="9"/>
        <v>46034</v>
      </c>
      <c r="AR23" s="65">
        <f t="shared" si="10"/>
        <v>45</v>
      </c>
      <c r="AS23" s="65">
        <f t="shared" si="11"/>
        <v>27</v>
      </c>
      <c r="AT23" s="157">
        <f t="shared" si="12"/>
        <v>18</v>
      </c>
      <c r="AU23" s="13"/>
      <c r="AV23" s="13" t="s">
        <v>59</v>
      </c>
      <c r="AW23" s="109">
        <f t="shared" si="19"/>
        <v>6178</v>
      </c>
      <c r="AX23" s="66">
        <f t="shared" si="14"/>
        <v>302.11</v>
      </c>
      <c r="AY23" s="66"/>
      <c r="AZ23" s="66">
        <f t="shared" si="15"/>
        <v>0</v>
      </c>
      <c r="BA23" s="67">
        <f t="shared" si="16"/>
        <v>302.11</v>
      </c>
    </row>
    <row r="24" spans="1:54" ht="21.6" customHeight="1" x14ac:dyDescent="0.3">
      <c r="A24" s="2" t="s">
        <v>147</v>
      </c>
      <c r="B24" s="3" t="s">
        <v>51</v>
      </c>
      <c r="C24" s="3" t="s">
        <v>78</v>
      </c>
      <c r="D24" s="3" t="s">
        <v>53</v>
      </c>
      <c r="E24" s="3">
        <v>555731050</v>
      </c>
      <c r="F24" s="3" t="s">
        <v>53</v>
      </c>
      <c r="G24" s="144">
        <v>213</v>
      </c>
      <c r="H24" s="394">
        <v>46007</v>
      </c>
      <c r="I24" s="50">
        <v>46042</v>
      </c>
      <c r="J24" s="15">
        <f t="shared" si="0"/>
        <v>35</v>
      </c>
      <c r="K24" s="3" t="s">
        <v>70</v>
      </c>
      <c r="L24" s="15" t="s">
        <v>56</v>
      </c>
      <c r="M24" s="3" t="s">
        <v>57</v>
      </c>
      <c r="N24" s="3" t="s">
        <v>123</v>
      </c>
      <c r="O24" s="15" t="s">
        <v>59</v>
      </c>
      <c r="P24" s="8">
        <v>60588</v>
      </c>
      <c r="Q24" s="44" t="s">
        <v>100</v>
      </c>
      <c r="R24" s="57">
        <f t="shared" si="1"/>
        <v>46007</v>
      </c>
      <c r="S24" s="13" t="s">
        <v>61</v>
      </c>
      <c r="T24" s="35">
        <v>46037</v>
      </c>
      <c r="U24" s="37">
        <v>46037</v>
      </c>
      <c r="V24" s="37">
        <f t="shared" si="17"/>
        <v>46042</v>
      </c>
      <c r="W24" s="59">
        <f t="shared" si="2"/>
        <v>35</v>
      </c>
      <c r="X24" s="59">
        <f t="shared" si="3"/>
        <v>30</v>
      </c>
      <c r="Y24" s="59">
        <f t="shared" si="4"/>
        <v>5</v>
      </c>
      <c r="Z24" s="39">
        <v>2931.69</v>
      </c>
      <c r="AA24" s="4" t="s">
        <v>101</v>
      </c>
      <c r="AB24" s="35">
        <v>46042</v>
      </c>
      <c r="AC24" s="13">
        <v>60588</v>
      </c>
      <c r="AD24" s="175">
        <v>7267</v>
      </c>
      <c r="AE24" s="13" t="s">
        <v>63</v>
      </c>
      <c r="AF24" s="35">
        <v>46043</v>
      </c>
      <c r="AG24" s="3" t="str">
        <f t="shared" si="20"/>
        <v>CIF</v>
      </c>
      <c r="AH24" s="13" t="s">
        <v>64</v>
      </c>
      <c r="AI24" s="36" t="e">
        <f>#REF!</f>
        <v>#REF!</v>
      </c>
      <c r="AJ24" s="36">
        <v>0</v>
      </c>
      <c r="AK24" s="142">
        <f t="shared" si="6"/>
        <v>0</v>
      </c>
      <c r="AL24" s="47">
        <v>46043</v>
      </c>
      <c r="AM24" s="153">
        <v>46043</v>
      </c>
      <c r="AN24" s="63">
        <f t="shared" si="7"/>
        <v>0</v>
      </c>
      <c r="AO24" s="34" t="s">
        <v>103</v>
      </c>
      <c r="AP24" s="64">
        <f t="shared" si="18"/>
        <v>46042</v>
      </c>
      <c r="AQ24" s="64">
        <f t="shared" si="9"/>
        <v>46043</v>
      </c>
      <c r="AR24" s="65">
        <f t="shared" si="10"/>
        <v>35</v>
      </c>
      <c r="AS24" s="65">
        <f t="shared" si="11"/>
        <v>36</v>
      </c>
      <c r="AT24" s="157">
        <f t="shared" si="12"/>
        <v>-1</v>
      </c>
      <c r="AU24" s="13" t="s">
        <v>129</v>
      </c>
      <c r="AV24" s="13" t="s">
        <v>116</v>
      </c>
      <c r="AW24" s="109">
        <f t="shared" si="19"/>
        <v>60588</v>
      </c>
      <c r="AX24" s="66">
        <f t="shared" si="14"/>
        <v>2931.69</v>
      </c>
      <c r="AY24" s="66"/>
      <c r="AZ24" s="66">
        <f t="shared" si="15"/>
        <v>0</v>
      </c>
      <c r="BA24" s="67">
        <f t="shared" si="16"/>
        <v>2931.69</v>
      </c>
    </row>
    <row r="25" spans="1:54" ht="21.6" customHeight="1" x14ac:dyDescent="0.3">
      <c r="A25" s="2" t="s">
        <v>148</v>
      </c>
      <c r="B25" s="15" t="s">
        <v>51</v>
      </c>
      <c r="C25" s="3" t="s">
        <v>78</v>
      </c>
      <c r="D25" s="3" t="s">
        <v>53</v>
      </c>
      <c r="E25" s="3" t="s">
        <v>149</v>
      </c>
      <c r="F25" s="3" t="s">
        <v>150</v>
      </c>
      <c r="G25" s="144">
        <v>221</v>
      </c>
      <c r="H25" s="394">
        <v>46007</v>
      </c>
      <c r="I25" s="50">
        <v>46051</v>
      </c>
      <c r="J25" s="15">
        <f t="shared" si="0"/>
        <v>44</v>
      </c>
      <c r="K25" s="3" t="s">
        <v>55</v>
      </c>
      <c r="L25" s="3"/>
      <c r="M25" s="15" t="s">
        <v>57</v>
      </c>
      <c r="N25" s="3" t="s">
        <v>87</v>
      </c>
      <c r="O25" s="15" t="s">
        <v>59</v>
      </c>
      <c r="P25" s="8">
        <v>13489</v>
      </c>
      <c r="Q25" s="44" t="s">
        <v>100</v>
      </c>
      <c r="R25" s="57">
        <f t="shared" si="1"/>
        <v>46007</v>
      </c>
      <c r="S25" s="13" t="s">
        <v>61</v>
      </c>
      <c r="T25" s="35">
        <v>46050</v>
      </c>
      <c r="U25" s="37">
        <v>46050</v>
      </c>
      <c r="V25" s="37">
        <f t="shared" si="17"/>
        <v>46051</v>
      </c>
      <c r="W25" s="59">
        <f t="shared" si="2"/>
        <v>44</v>
      </c>
      <c r="X25" s="59">
        <f t="shared" si="3"/>
        <v>43</v>
      </c>
      <c r="Y25" s="59">
        <f t="shared" si="4"/>
        <v>1</v>
      </c>
      <c r="Z25" s="39">
        <v>9027.89</v>
      </c>
      <c r="AA25" s="4" t="s">
        <v>62</v>
      </c>
      <c r="AB25" s="35">
        <v>46058</v>
      </c>
      <c r="AC25" s="13">
        <v>13524.59</v>
      </c>
      <c r="AD25" s="174">
        <v>7318</v>
      </c>
      <c r="AE25" s="13" t="s">
        <v>63</v>
      </c>
      <c r="AF25" s="35">
        <v>46059</v>
      </c>
      <c r="AG25" s="3" t="str">
        <f t="shared" si="20"/>
        <v>FOB</v>
      </c>
      <c r="AH25" s="13" t="s">
        <v>151</v>
      </c>
      <c r="AI25" s="36" t="e">
        <f>#REF!</f>
        <v>#REF!</v>
      </c>
      <c r="AJ25" s="36">
        <v>0</v>
      </c>
      <c r="AK25" s="142">
        <f t="shared" si="6"/>
        <v>0</v>
      </c>
      <c r="AL25" s="47">
        <v>46051</v>
      </c>
      <c r="AM25" s="153">
        <v>46051</v>
      </c>
      <c r="AN25" s="63">
        <f t="shared" si="7"/>
        <v>-8</v>
      </c>
      <c r="AO25" s="34" t="s">
        <v>65</v>
      </c>
      <c r="AP25" s="64">
        <f t="shared" si="18"/>
        <v>46051</v>
      </c>
      <c r="AQ25" s="64">
        <f t="shared" si="9"/>
        <v>46051</v>
      </c>
      <c r="AR25" s="65">
        <f t="shared" si="10"/>
        <v>44</v>
      </c>
      <c r="AS25" s="65">
        <f t="shared" si="11"/>
        <v>44</v>
      </c>
      <c r="AT25" s="157">
        <f t="shared" si="12"/>
        <v>0</v>
      </c>
      <c r="AU25" s="13" t="s">
        <v>152</v>
      </c>
      <c r="AV25" s="13" t="s">
        <v>105</v>
      </c>
      <c r="AW25" s="109">
        <f t="shared" si="19"/>
        <v>13524.59</v>
      </c>
      <c r="AX25" s="66">
        <f t="shared" si="14"/>
        <v>9027.89</v>
      </c>
      <c r="AY25" s="66"/>
      <c r="AZ25" s="66">
        <f t="shared" si="15"/>
        <v>0</v>
      </c>
      <c r="BA25" s="67">
        <f t="shared" si="16"/>
        <v>9027.89</v>
      </c>
    </row>
    <row r="26" spans="1:54" ht="21.6" customHeight="1" x14ac:dyDescent="0.3">
      <c r="A26" s="2" t="s">
        <v>153</v>
      </c>
      <c r="B26" s="15" t="s">
        <v>67</v>
      </c>
      <c r="C26" s="3" t="s">
        <v>134</v>
      </c>
      <c r="D26" s="3" t="s">
        <v>53</v>
      </c>
      <c r="E26" s="3">
        <v>4500013180</v>
      </c>
      <c r="F26" s="3" t="s">
        <v>154</v>
      </c>
      <c r="G26" s="144">
        <v>218</v>
      </c>
      <c r="H26" s="394">
        <v>46013</v>
      </c>
      <c r="I26" s="50">
        <v>46052</v>
      </c>
      <c r="J26" s="15">
        <f t="shared" si="0"/>
        <v>39</v>
      </c>
      <c r="K26" s="3" t="s">
        <v>55</v>
      </c>
      <c r="L26" s="3" t="s">
        <v>56</v>
      </c>
      <c r="M26" s="15" t="s">
        <v>92</v>
      </c>
      <c r="N26" s="3" t="s">
        <v>155</v>
      </c>
      <c r="O26" s="15" t="s">
        <v>59</v>
      </c>
      <c r="P26" s="8">
        <v>7105.7</v>
      </c>
      <c r="Q26" s="44" t="s">
        <v>60</v>
      </c>
      <c r="R26" s="57">
        <f t="shared" si="1"/>
        <v>46013</v>
      </c>
      <c r="S26" s="13" t="s">
        <v>61</v>
      </c>
      <c r="T26" s="35">
        <v>46043</v>
      </c>
      <c r="U26" s="37">
        <v>46038</v>
      </c>
      <c r="V26" s="37">
        <f t="shared" si="17"/>
        <v>46052</v>
      </c>
      <c r="W26" s="59">
        <f t="shared" si="2"/>
        <v>39</v>
      </c>
      <c r="X26" s="59">
        <f t="shared" si="3"/>
        <v>25</v>
      </c>
      <c r="Y26" s="59">
        <f t="shared" si="4"/>
        <v>14</v>
      </c>
      <c r="Z26" s="39">
        <v>1056.8599999999999</v>
      </c>
      <c r="AA26" s="4" t="s">
        <v>101</v>
      </c>
      <c r="AB26" s="35">
        <v>46042</v>
      </c>
      <c r="AC26" s="13">
        <v>8578.5</v>
      </c>
      <c r="AD26" s="174">
        <v>7274</v>
      </c>
      <c r="AE26" s="13" t="s">
        <v>63</v>
      </c>
      <c r="AF26" s="35">
        <v>46043</v>
      </c>
      <c r="AG26" s="3" t="str">
        <f t="shared" si="20"/>
        <v>FOB</v>
      </c>
      <c r="AH26" s="13" t="s">
        <v>156</v>
      </c>
      <c r="AI26" s="36" t="e">
        <f>#REF!</f>
        <v>#REF!</v>
      </c>
      <c r="AJ26" s="36">
        <v>0</v>
      </c>
      <c r="AK26" s="142">
        <f t="shared" si="6"/>
        <v>0</v>
      </c>
      <c r="AL26" s="47">
        <v>46043</v>
      </c>
      <c r="AM26" s="153">
        <v>46043</v>
      </c>
      <c r="AN26" s="63">
        <f t="shared" si="7"/>
        <v>0</v>
      </c>
      <c r="AO26" s="34" t="s">
        <v>65</v>
      </c>
      <c r="AP26" s="64">
        <f t="shared" si="18"/>
        <v>46052</v>
      </c>
      <c r="AQ26" s="64">
        <f t="shared" si="9"/>
        <v>46043</v>
      </c>
      <c r="AR26" s="65">
        <f t="shared" si="10"/>
        <v>39</v>
      </c>
      <c r="AS26" s="65">
        <f t="shared" si="11"/>
        <v>30</v>
      </c>
      <c r="AT26" s="157">
        <f t="shared" si="12"/>
        <v>9</v>
      </c>
      <c r="AU26" s="13"/>
      <c r="AV26" s="13" t="s">
        <v>59</v>
      </c>
      <c r="AW26" s="109">
        <f t="shared" si="19"/>
        <v>8578.5</v>
      </c>
      <c r="AX26" s="66">
        <f t="shared" si="14"/>
        <v>1056.8599999999999</v>
      </c>
      <c r="AY26" s="66"/>
      <c r="AZ26" s="66">
        <f t="shared" si="15"/>
        <v>0</v>
      </c>
      <c r="BA26" s="67">
        <f t="shared" si="16"/>
        <v>1056.8599999999999</v>
      </c>
    </row>
    <row r="27" spans="1:54" ht="21.6" customHeight="1" x14ac:dyDescent="0.3">
      <c r="A27" s="2" t="s">
        <v>157</v>
      </c>
      <c r="B27" s="15" t="s">
        <v>96</v>
      </c>
      <c r="C27" s="3" t="s">
        <v>78</v>
      </c>
      <c r="D27" s="3" t="s">
        <v>53</v>
      </c>
      <c r="E27" s="3">
        <v>4448633</v>
      </c>
      <c r="F27" s="3" t="s">
        <v>158</v>
      </c>
      <c r="G27" s="144">
        <v>219</v>
      </c>
      <c r="H27" s="394">
        <v>46013</v>
      </c>
      <c r="I27" s="50">
        <v>46048</v>
      </c>
      <c r="J27" s="15">
        <f t="shared" si="0"/>
        <v>35</v>
      </c>
      <c r="K27" s="3" t="s">
        <v>70</v>
      </c>
      <c r="L27" s="3" t="s">
        <v>56</v>
      </c>
      <c r="M27" s="15" t="s">
        <v>159</v>
      </c>
      <c r="N27" s="3" t="s">
        <v>160</v>
      </c>
      <c r="O27" s="5" t="s">
        <v>59</v>
      </c>
      <c r="P27" s="82">
        <v>8353.2000000000007</v>
      </c>
      <c r="Q27" s="44" t="s">
        <v>100</v>
      </c>
      <c r="R27" s="57">
        <f t="shared" si="1"/>
        <v>46013</v>
      </c>
      <c r="S27" s="13" t="s">
        <v>61</v>
      </c>
      <c r="T27" s="35">
        <v>46029</v>
      </c>
      <c r="U27" s="37">
        <v>46030</v>
      </c>
      <c r="V27" s="37">
        <f t="shared" si="17"/>
        <v>46048</v>
      </c>
      <c r="W27" s="59">
        <f t="shared" si="2"/>
        <v>35</v>
      </c>
      <c r="X27" s="59">
        <f t="shared" si="3"/>
        <v>17</v>
      </c>
      <c r="Y27" s="59">
        <f t="shared" si="4"/>
        <v>18</v>
      </c>
      <c r="Z27" s="39">
        <v>172.18</v>
      </c>
      <c r="AA27" s="4" t="s">
        <v>126</v>
      </c>
      <c r="AB27" s="35">
        <v>46035</v>
      </c>
      <c r="AC27" s="13">
        <v>8353.2000000000007</v>
      </c>
      <c r="AD27" s="175">
        <v>7247</v>
      </c>
      <c r="AE27" s="13" t="s">
        <v>63</v>
      </c>
      <c r="AF27" s="35">
        <v>46036</v>
      </c>
      <c r="AG27" s="3" t="str">
        <f t="shared" si="20"/>
        <v>CIF</v>
      </c>
      <c r="AH27" s="13" t="s">
        <v>102</v>
      </c>
      <c r="AI27" s="36" t="e">
        <f>#REF!</f>
        <v>#REF!</v>
      </c>
      <c r="AJ27" s="36">
        <v>198.22</v>
      </c>
      <c r="AK27" s="142">
        <f t="shared" si="6"/>
        <v>2.3729828089833833E-2</v>
      </c>
      <c r="AL27" s="47">
        <v>46048</v>
      </c>
      <c r="AM27" s="153">
        <v>46043</v>
      </c>
      <c r="AN27" s="63">
        <f t="shared" si="7"/>
        <v>7</v>
      </c>
      <c r="AO27" s="34" t="s">
        <v>65</v>
      </c>
      <c r="AP27" s="64">
        <f t="shared" si="18"/>
        <v>46048</v>
      </c>
      <c r="AQ27" s="64">
        <f t="shared" si="9"/>
        <v>46043</v>
      </c>
      <c r="AR27" s="65">
        <f t="shared" si="10"/>
        <v>35</v>
      </c>
      <c r="AS27" s="65">
        <f t="shared" si="11"/>
        <v>30</v>
      </c>
      <c r="AT27" s="157">
        <f t="shared" si="12"/>
        <v>5</v>
      </c>
      <c r="AU27" s="13"/>
      <c r="AV27" s="13" t="s">
        <v>59</v>
      </c>
      <c r="AW27" s="109">
        <f t="shared" si="19"/>
        <v>8353.2000000000007</v>
      </c>
      <c r="AX27" s="66">
        <f t="shared" si="14"/>
        <v>172.18</v>
      </c>
      <c r="AY27" s="66"/>
      <c r="AZ27" s="66">
        <f t="shared" si="15"/>
        <v>198.22</v>
      </c>
      <c r="BA27" s="67">
        <f t="shared" si="16"/>
        <v>370.4</v>
      </c>
      <c r="BB27" t="s">
        <v>161</v>
      </c>
    </row>
    <row r="28" spans="1:54" ht="21.6" customHeight="1" x14ac:dyDescent="0.3">
      <c r="A28" s="2" t="s">
        <v>162</v>
      </c>
      <c r="B28" s="3" t="s">
        <v>163</v>
      </c>
      <c r="C28" s="3" t="s">
        <v>78</v>
      </c>
      <c r="D28" s="3" t="s">
        <v>53</v>
      </c>
      <c r="E28" s="3">
        <v>5700023797</v>
      </c>
      <c r="F28" s="15" t="s">
        <v>164</v>
      </c>
      <c r="G28" s="144">
        <v>220</v>
      </c>
      <c r="H28" s="394">
        <v>46013</v>
      </c>
      <c r="I28" s="50">
        <v>46048</v>
      </c>
      <c r="J28" s="15">
        <f t="shared" si="0"/>
        <v>35</v>
      </c>
      <c r="K28" s="3" t="s">
        <v>70</v>
      </c>
      <c r="L28" s="15" t="s">
        <v>56</v>
      </c>
      <c r="M28" s="15" t="s">
        <v>165</v>
      </c>
      <c r="N28" s="15" t="s">
        <v>166</v>
      </c>
      <c r="O28" s="15" t="s">
        <v>59</v>
      </c>
      <c r="P28" s="8">
        <v>3507</v>
      </c>
      <c r="Q28" s="44" t="s">
        <v>100</v>
      </c>
      <c r="R28" s="57">
        <f t="shared" si="1"/>
        <v>46013</v>
      </c>
      <c r="S28" s="13" t="s">
        <v>61</v>
      </c>
      <c r="T28" s="35">
        <v>46035</v>
      </c>
      <c r="U28" s="37">
        <v>46031</v>
      </c>
      <c r="V28" s="37">
        <f t="shared" si="17"/>
        <v>46048</v>
      </c>
      <c r="W28" s="59">
        <f t="shared" si="2"/>
        <v>35</v>
      </c>
      <c r="X28" s="59">
        <f t="shared" si="3"/>
        <v>18</v>
      </c>
      <c r="Y28" s="59">
        <f t="shared" si="4"/>
        <v>17</v>
      </c>
      <c r="Z28" s="39">
        <v>391.82</v>
      </c>
      <c r="AA28" s="4" t="s">
        <v>126</v>
      </c>
      <c r="AB28" s="35">
        <v>46035</v>
      </c>
      <c r="AC28" s="13">
        <v>3507</v>
      </c>
      <c r="AD28" s="175">
        <v>7248</v>
      </c>
      <c r="AE28" s="13" t="s">
        <v>63</v>
      </c>
      <c r="AF28" s="35">
        <v>46036</v>
      </c>
      <c r="AG28" s="3" t="str">
        <f t="shared" si="20"/>
        <v>CIF</v>
      </c>
      <c r="AH28" s="13" t="s">
        <v>167</v>
      </c>
      <c r="AI28" s="36" t="e">
        <f>#REF!</f>
        <v>#REF!</v>
      </c>
      <c r="AJ28" s="36">
        <v>183.52</v>
      </c>
      <c r="AK28" s="142">
        <f t="shared" si="6"/>
        <v>5.2329626461362994E-2</v>
      </c>
      <c r="AL28" s="47">
        <v>46045</v>
      </c>
      <c r="AM28" s="153">
        <v>46043</v>
      </c>
      <c r="AN28" s="63">
        <f t="shared" si="7"/>
        <v>7</v>
      </c>
      <c r="AO28" s="34" t="s">
        <v>65</v>
      </c>
      <c r="AP28" s="64">
        <f t="shared" si="18"/>
        <v>46048</v>
      </c>
      <c r="AQ28" s="64">
        <f t="shared" si="9"/>
        <v>46043</v>
      </c>
      <c r="AR28" s="65">
        <f t="shared" si="10"/>
        <v>35</v>
      </c>
      <c r="AS28" s="65">
        <f t="shared" si="11"/>
        <v>30</v>
      </c>
      <c r="AT28" s="157">
        <f t="shared" si="12"/>
        <v>5</v>
      </c>
      <c r="AU28" s="13"/>
      <c r="AV28" s="13" t="s">
        <v>59</v>
      </c>
      <c r="AW28" s="109">
        <f t="shared" si="19"/>
        <v>3507</v>
      </c>
      <c r="AX28" s="66">
        <f t="shared" si="14"/>
        <v>391.82</v>
      </c>
      <c r="AY28" s="66"/>
      <c r="AZ28" s="66">
        <f t="shared" si="15"/>
        <v>183.52</v>
      </c>
      <c r="BA28" s="67">
        <f t="shared" si="16"/>
        <v>575.34</v>
      </c>
    </row>
    <row r="29" spans="1:54" ht="21.6" customHeight="1" x14ac:dyDescent="0.3">
      <c r="A29" s="2" t="s">
        <v>157</v>
      </c>
      <c r="B29" s="3" t="s">
        <v>96</v>
      </c>
      <c r="C29" s="3" t="s">
        <v>78</v>
      </c>
      <c r="D29" s="3" t="s">
        <v>53</v>
      </c>
      <c r="E29" s="3">
        <v>4452851</v>
      </c>
      <c r="F29" s="3" t="s">
        <v>168</v>
      </c>
      <c r="G29" s="144">
        <v>223</v>
      </c>
      <c r="H29" s="394">
        <v>46027</v>
      </c>
      <c r="I29" s="50">
        <v>46050</v>
      </c>
      <c r="J29" s="15">
        <f t="shared" si="0"/>
        <v>23</v>
      </c>
      <c r="K29" s="3" t="s">
        <v>70</v>
      </c>
      <c r="L29" s="3" t="s">
        <v>56</v>
      </c>
      <c r="M29" s="3" t="s">
        <v>159</v>
      </c>
      <c r="N29" s="3" t="s">
        <v>169</v>
      </c>
      <c r="O29" s="15" t="s">
        <v>59</v>
      </c>
      <c r="P29" s="8">
        <v>3510</v>
      </c>
      <c r="Q29" s="44" t="s">
        <v>100</v>
      </c>
      <c r="R29" s="57">
        <f t="shared" si="1"/>
        <v>46027</v>
      </c>
      <c r="S29" s="13" t="s">
        <v>61</v>
      </c>
      <c r="T29" s="35">
        <v>46036</v>
      </c>
      <c r="U29" s="37">
        <v>46037</v>
      </c>
      <c r="V29" s="37">
        <f t="shared" si="17"/>
        <v>46050</v>
      </c>
      <c r="W29" s="59">
        <f t="shared" si="2"/>
        <v>23</v>
      </c>
      <c r="X29" s="59">
        <f t="shared" si="3"/>
        <v>10</v>
      </c>
      <c r="Y29" s="59">
        <f t="shared" si="4"/>
        <v>13</v>
      </c>
      <c r="Z29" s="39">
        <v>102.4</v>
      </c>
      <c r="AA29" s="4" t="s">
        <v>101</v>
      </c>
      <c r="AB29" s="35">
        <v>46038</v>
      </c>
      <c r="AC29" s="13">
        <v>3510</v>
      </c>
      <c r="AD29" s="175">
        <v>7260</v>
      </c>
      <c r="AE29" s="13" t="s">
        <v>63</v>
      </c>
      <c r="AF29" s="35">
        <v>46038</v>
      </c>
      <c r="AG29" s="3" t="str">
        <f t="shared" si="20"/>
        <v>CIF</v>
      </c>
      <c r="AH29" s="13" t="s">
        <v>102</v>
      </c>
      <c r="AI29" s="36" t="e">
        <f>#REF!</f>
        <v>#REF!</v>
      </c>
      <c r="AJ29" s="36">
        <v>369.95</v>
      </c>
      <c r="AK29" s="142">
        <f t="shared" si="6"/>
        <v>0.1053988603988604</v>
      </c>
      <c r="AL29" s="47">
        <v>46048</v>
      </c>
      <c r="AM29" s="153">
        <v>46050</v>
      </c>
      <c r="AN29" s="63">
        <f t="shared" si="7"/>
        <v>12</v>
      </c>
      <c r="AO29" s="34" t="s">
        <v>65</v>
      </c>
      <c r="AP29" s="64">
        <f t="shared" si="18"/>
        <v>46050</v>
      </c>
      <c r="AQ29" s="64">
        <f t="shared" si="9"/>
        <v>46050</v>
      </c>
      <c r="AR29" s="65">
        <f t="shared" si="10"/>
        <v>23</v>
      </c>
      <c r="AS29" s="65">
        <f t="shared" si="11"/>
        <v>23</v>
      </c>
      <c r="AT29" s="157">
        <f t="shared" si="12"/>
        <v>0</v>
      </c>
      <c r="AU29" s="13"/>
      <c r="AV29" s="13" t="s">
        <v>59</v>
      </c>
      <c r="AW29" s="109">
        <f t="shared" si="19"/>
        <v>3510</v>
      </c>
      <c r="AX29" s="66">
        <f t="shared" si="14"/>
        <v>102.4</v>
      </c>
      <c r="AY29" s="66"/>
      <c r="AZ29" s="66">
        <f t="shared" si="15"/>
        <v>369.95</v>
      </c>
      <c r="BA29" s="67">
        <f t="shared" si="16"/>
        <v>472.35</v>
      </c>
    </row>
    <row r="30" spans="1:54" ht="21.6" customHeight="1" x14ac:dyDescent="0.3">
      <c r="A30" s="2" t="s">
        <v>170</v>
      </c>
      <c r="B30" s="3" t="s">
        <v>171</v>
      </c>
      <c r="C30" s="3" t="s">
        <v>78</v>
      </c>
      <c r="D30" s="3" t="s">
        <v>53</v>
      </c>
      <c r="E30" s="3">
        <v>4300000145</v>
      </c>
      <c r="F30" s="3" t="s">
        <v>172</v>
      </c>
      <c r="G30" s="144">
        <v>225</v>
      </c>
      <c r="H30" s="394">
        <v>46027</v>
      </c>
      <c r="I30" s="50">
        <v>46051</v>
      </c>
      <c r="J30" s="15">
        <f t="shared" si="0"/>
        <v>24</v>
      </c>
      <c r="K30" s="3" t="s">
        <v>70</v>
      </c>
      <c r="L30" s="3" t="s">
        <v>56</v>
      </c>
      <c r="M30" s="3" t="s">
        <v>173</v>
      </c>
      <c r="N30" s="3" t="s">
        <v>174</v>
      </c>
      <c r="O30" s="3" t="s">
        <v>59</v>
      </c>
      <c r="P30" s="8">
        <v>6440</v>
      </c>
      <c r="Q30" s="44" t="s">
        <v>100</v>
      </c>
      <c r="R30" s="57">
        <f t="shared" si="1"/>
        <v>46027</v>
      </c>
      <c r="S30" s="13" t="s">
        <v>61</v>
      </c>
      <c r="T30" s="35">
        <v>46038</v>
      </c>
      <c r="U30" s="37">
        <v>46037</v>
      </c>
      <c r="V30" s="37">
        <f t="shared" si="17"/>
        <v>46051</v>
      </c>
      <c r="W30" s="59">
        <f t="shared" si="2"/>
        <v>24</v>
      </c>
      <c r="X30" s="59">
        <f t="shared" si="3"/>
        <v>10</v>
      </c>
      <c r="Y30" s="59">
        <f t="shared" si="4"/>
        <v>14</v>
      </c>
      <c r="Z30" s="39">
        <v>414.94</v>
      </c>
      <c r="AA30" s="4" t="s">
        <v>101</v>
      </c>
      <c r="AB30" s="35">
        <v>46038</v>
      </c>
      <c r="AC30" s="13">
        <v>6440.02</v>
      </c>
      <c r="AD30" s="175">
        <v>7261</v>
      </c>
      <c r="AE30" s="13" t="s">
        <v>63</v>
      </c>
      <c r="AF30" s="35">
        <v>46041</v>
      </c>
      <c r="AG30" s="3" t="str">
        <f t="shared" si="20"/>
        <v>CIF</v>
      </c>
      <c r="AH30" s="13" t="s">
        <v>175</v>
      </c>
      <c r="AI30" s="36" t="e">
        <f>#REF!</f>
        <v>#REF!</v>
      </c>
      <c r="AJ30" s="36">
        <v>817.79</v>
      </c>
      <c r="AK30" s="142">
        <f t="shared" si="6"/>
        <v>0.12698563047940845</v>
      </c>
      <c r="AL30" s="47">
        <v>46049</v>
      </c>
      <c r="AM30" s="153">
        <v>46052</v>
      </c>
      <c r="AN30" s="63">
        <f t="shared" si="7"/>
        <v>11</v>
      </c>
      <c r="AO30" s="34" t="s">
        <v>103</v>
      </c>
      <c r="AP30" s="64">
        <f t="shared" si="18"/>
        <v>46051</v>
      </c>
      <c r="AQ30" s="64">
        <f t="shared" si="9"/>
        <v>46052</v>
      </c>
      <c r="AR30" s="65">
        <f t="shared" si="10"/>
        <v>24</v>
      </c>
      <c r="AS30" s="65">
        <f t="shared" si="11"/>
        <v>25</v>
      </c>
      <c r="AT30" s="157">
        <f t="shared" si="12"/>
        <v>-1</v>
      </c>
      <c r="AU30" s="13"/>
      <c r="AV30" s="13" t="s">
        <v>116</v>
      </c>
      <c r="AW30" s="109">
        <f t="shared" si="19"/>
        <v>6440.02</v>
      </c>
      <c r="AX30" s="66">
        <f t="shared" si="14"/>
        <v>414.94</v>
      </c>
      <c r="AY30" s="66"/>
      <c r="AZ30" s="66">
        <f t="shared" si="15"/>
        <v>817.79</v>
      </c>
      <c r="BA30" s="67">
        <f t="shared" si="16"/>
        <v>1232.73</v>
      </c>
    </row>
    <row r="31" spans="1:54" ht="21.6" customHeight="1" x14ac:dyDescent="0.3">
      <c r="A31" s="2" t="s">
        <v>176</v>
      </c>
      <c r="B31" s="3" t="s">
        <v>163</v>
      </c>
      <c r="C31" s="3" t="s">
        <v>78</v>
      </c>
      <c r="D31" s="3" t="s">
        <v>53</v>
      </c>
      <c r="E31" s="3">
        <v>218155</v>
      </c>
      <c r="F31" s="3" t="s">
        <v>177</v>
      </c>
      <c r="G31" s="144">
        <v>227</v>
      </c>
      <c r="H31" s="394">
        <v>46027</v>
      </c>
      <c r="I31" s="50">
        <v>46062</v>
      </c>
      <c r="J31" s="15">
        <f t="shared" si="0"/>
        <v>35</v>
      </c>
      <c r="K31" s="3" t="s">
        <v>70</v>
      </c>
      <c r="L31" s="3" t="s">
        <v>56</v>
      </c>
      <c r="M31" s="3" t="s">
        <v>178</v>
      </c>
      <c r="N31" s="3" t="s">
        <v>179</v>
      </c>
      <c r="O31" s="3" t="s">
        <v>59</v>
      </c>
      <c r="P31" s="8">
        <v>26000</v>
      </c>
      <c r="Q31" s="44" t="s">
        <v>100</v>
      </c>
      <c r="R31" s="57">
        <f t="shared" si="1"/>
        <v>46027</v>
      </c>
      <c r="S31" s="13" t="s">
        <v>61</v>
      </c>
      <c r="T31" s="35">
        <v>46038</v>
      </c>
      <c r="U31" s="37">
        <v>46041</v>
      </c>
      <c r="V31" s="37">
        <f t="shared" si="17"/>
        <v>46062</v>
      </c>
      <c r="W31" s="59">
        <f t="shared" si="2"/>
        <v>35</v>
      </c>
      <c r="X31" s="59">
        <f t="shared" si="3"/>
        <v>14</v>
      </c>
      <c r="Y31" s="59">
        <f t="shared" si="4"/>
        <v>21</v>
      </c>
      <c r="Z31" s="39">
        <v>3909.86</v>
      </c>
      <c r="AA31" s="4" t="s">
        <v>101</v>
      </c>
      <c r="AB31" s="35">
        <v>46042</v>
      </c>
      <c r="AC31" s="13">
        <v>26000</v>
      </c>
      <c r="AD31" s="175">
        <v>7275</v>
      </c>
      <c r="AE31" s="13" t="s">
        <v>63</v>
      </c>
      <c r="AF31" s="35">
        <v>46045</v>
      </c>
      <c r="AG31" s="3" t="str">
        <f t="shared" si="20"/>
        <v>CIF</v>
      </c>
      <c r="AH31" s="13" t="s">
        <v>180</v>
      </c>
      <c r="AI31" s="36" t="e">
        <f>#REF!</f>
        <v>#REF!</v>
      </c>
      <c r="AJ31" s="36">
        <v>1721.29</v>
      </c>
      <c r="AK31" s="142">
        <f t="shared" si="6"/>
        <v>6.620346153846153E-2</v>
      </c>
      <c r="AL31" s="47">
        <v>46058</v>
      </c>
      <c r="AM31" s="153">
        <v>46052</v>
      </c>
      <c r="AN31" s="63">
        <f t="shared" si="7"/>
        <v>7</v>
      </c>
      <c r="AO31" s="34" t="s">
        <v>65</v>
      </c>
      <c r="AP31" s="64">
        <f t="shared" si="18"/>
        <v>46062</v>
      </c>
      <c r="AQ31" s="64">
        <f t="shared" si="9"/>
        <v>46052</v>
      </c>
      <c r="AR31" s="65">
        <f t="shared" si="10"/>
        <v>35</v>
      </c>
      <c r="AS31" s="65">
        <f t="shared" si="11"/>
        <v>25</v>
      </c>
      <c r="AT31" s="157">
        <f t="shared" si="12"/>
        <v>10</v>
      </c>
      <c r="AU31" s="13"/>
      <c r="AV31" s="13" t="s">
        <v>59</v>
      </c>
      <c r="AW31" s="109">
        <f t="shared" si="19"/>
        <v>26000</v>
      </c>
      <c r="AX31" s="66">
        <f t="shared" si="14"/>
        <v>3909.86</v>
      </c>
      <c r="AY31" s="66"/>
      <c r="AZ31" s="66">
        <f t="shared" si="15"/>
        <v>1721.29</v>
      </c>
      <c r="BA31" s="67">
        <f t="shared" si="16"/>
        <v>5631.15</v>
      </c>
    </row>
    <row r="32" spans="1:54" ht="21.6" customHeight="1" x14ac:dyDescent="0.3">
      <c r="A32" s="2" t="s">
        <v>181</v>
      </c>
      <c r="B32" s="15" t="s">
        <v>51</v>
      </c>
      <c r="C32" s="3" t="s">
        <v>78</v>
      </c>
      <c r="D32" s="3" t="s">
        <v>53</v>
      </c>
      <c r="E32" s="3">
        <v>123027795</v>
      </c>
      <c r="F32" s="3" t="s">
        <v>182</v>
      </c>
      <c r="G32" s="144">
        <v>228</v>
      </c>
      <c r="H32" s="394">
        <v>46027</v>
      </c>
      <c r="I32" s="50">
        <v>46052</v>
      </c>
      <c r="J32" s="15">
        <f t="shared" si="0"/>
        <v>25</v>
      </c>
      <c r="K32" s="3" t="s">
        <v>55</v>
      </c>
      <c r="L32" s="3" t="s">
        <v>56</v>
      </c>
      <c r="M32" s="15" t="s">
        <v>57</v>
      </c>
      <c r="N32" s="3" t="s">
        <v>58</v>
      </c>
      <c r="O32" s="3" t="s">
        <v>59</v>
      </c>
      <c r="P32" s="8">
        <v>25019.64</v>
      </c>
      <c r="Q32" s="44" t="s">
        <v>60</v>
      </c>
      <c r="R32" s="57">
        <f t="shared" si="1"/>
        <v>46027</v>
      </c>
      <c r="S32" s="13" t="s">
        <v>61</v>
      </c>
      <c r="T32" s="35">
        <v>46045</v>
      </c>
      <c r="U32" s="37">
        <v>46045</v>
      </c>
      <c r="V32" s="37">
        <f t="shared" si="17"/>
        <v>46052</v>
      </c>
      <c r="W32" s="59">
        <f t="shared" si="2"/>
        <v>25</v>
      </c>
      <c r="X32" s="59">
        <f t="shared" si="3"/>
        <v>18</v>
      </c>
      <c r="Y32" s="59">
        <f t="shared" si="4"/>
        <v>7</v>
      </c>
      <c r="Z32" s="39">
        <v>5940</v>
      </c>
      <c r="AA32" s="4" t="s">
        <v>74</v>
      </c>
      <c r="AB32" s="35">
        <v>46044</v>
      </c>
      <c r="AC32" s="13">
        <v>25019.63</v>
      </c>
      <c r="AD32" s="174">
        <v>7292</v>
      </c>
      <c r="AE32" s="13" t="s">
        <v>63</v>
      </c>
      <c r="AF32" s="35">
        <v>46045</v>
      </c>
      <c r="AG32" s="3" t="str">
        <f t="shared" si="20"/>
        <v>FOB</v>
      </c>
      <c r="AH32" s="13" t="s">
        <v>89</v>
      </c>
      <c r="AI32" s="36" t="e">
        <f>#REF!</f>
        <v>#REF!</v>
      </c>
      <c r="AJ32" s="36">
        <v>0</v>
      </c>
      <c r="AK32" s="142">
        <f t="shared" si="6"/>
        <v>0</v>
      </c>
      <c r="AL32" s="47">
        <v>46045</v>
      </c>
      <c r="AM32" s="153">
        <v>46045</v>
      </c>
      <c r="AN32" s="63">
        <f t="shared" si="7"/>
        <v>0</v>
      </c>
      <c r="AO32" s="34" t="s">
        <v>65</v>
      </c>
      <c r="AP32" s="64">
        <f t="shared" si="18"/>
        <v>46052</v>
      </c>
      <c r="AQ32" s="64">
        <f t="shared" si="9"/>
        <v>46045</v>
      </c>
      <c r="AR32" s="65">
        <f t="shared" si="10"/>
        <v>25</v>
      </c>
      <c r="AS32" s="65">
        <f t="shared" si="11"/>
        <v>18</v>
      </c>
      <c r="AT32" s="157">
        <f t="shared" si="12"/>
        <v>7</v>
      </c>
      <c r="AU32" s="13"/>
      <c r="AV32" s="13" t="s">
        <v>59</v>
      </c>
      <c r="AW32" s="109">
        <f t="shared" si="19"/>
        <v>25019.63</v>
      </c>
      <c r="AX32" s="66">
        <f t="shared" si="14"/>
        <v>5940</v>
      </c>
      <c r="AY32" s="66"/>
      <c r="AZ32" s="66">
        <f t="shared" si="15"/>
        <v>0</v>
      </c>
      <c r="BA32" s="67">
        <f t="shared" si="16"/>
        <v>5940</v>
      </c>
    </row>
    <row r="33" spans="1:53" ht="21.6" customHeight="1" x14ac:dyDescent="0.3">
      <c r="A33" s="2" t="s">
        <v>181</v>
      </c>
      <c r="B33" s="3" t="s">
        <v>51</v>
      </c>
      <c r="C33" s="3" t="s">
        <v>78</v>
      </c>
      <c r="D33" s="3" t="s">
        <v>53</v>
      </c>
      <c r="E33" s="3">
        <v>123027809</v>
      </c>
      <c r="F33" s="3" t="s">
        <v>183</v>
      </c>
      <c r="G33" s="144">
        <v>253</v>
      </c>
      <c r="H33" s="394">
        <v>46027</v>
      </c>
      <c r="I33" s="50">
        <v>46036</v>
      </c>
      <c r="J33" s="15">
        <f t="shared" si="0"/>
        <v>9</v>
      </c>
      <c r="K33" s="3" t="s">
        <v>55</v>
      </c>
      <c r="L33" s="3" t="s">
        <v>56</v>
      </c>
      <c r="M33" s="3" t="s">
        <v>57</v>
      </c>
      <c r="N33" s="3" t="s">
        <v>58</v>
      </c>
      <c r="O33" s="3" t="s">
        <v>59</v>
      </c>
      <c r="P33" s="8">
        <v>10559.12</v>
      </c>
      <c r="Q33" s="44" t="s">
        <v>60</v>
      </c>
      <c r="R33" s="57">
        <f t="shared" si="1"/>
        <v>46027</v>
      </c>
      <c r="S33" s="13" t="s">
        <v>61</v>
      </c>
      <c r="T33" s="35">
        <v>46036</v>
      </c>
      <c r="U33" s="37">
        <v>46036</v>
      </c>
      <c r="V33" s="37">
        <f t="shared" si="17"/>
        <v>46036</v>
      </c>
      <c r="W33" s="59">
        <f t="shared" si="2"/>
        <v>9</v>
      </c>
      <c r="X33" s="59">
        <f t="shared" si="3"/>
        <v>9</v>
      </c>
      <c r="Y33" s="59">
        <f t="shared" si="4"/>
        <v>0</v>
      </c>
      <c r="Z33" s="39">
        <v>1478.75</v>
      </c>
      <c r="AA33" s="4" t="s">
        <v>101</v>
      </c>
      <c r="AB33" s="35">
        <v>46036</v>
      </c>
      <c r="AC33" s="13">
        <v>10559.12</v>
      </c>
      <c r="AD33" s="174">
        <v>7253</v>
      </c>
      <c r="AE33" s="13" t="s">
        <v>63</v>
      </c>
      <c r="AF33" s="35">
        <v>46036</v>
      </c>
      <c r="AG33" s="3" t="str">
        <f t="shared" si="20"/>
        <v>FOB</v>
      </c>
      <c r="AH33" s="13" t="s">
        <v>89</v>
      </c>
      <c r="AI33" s="36" t="e">
        <f>#REF!</f>
        <v>#REF!</v>
      </c>
      <c r="AJ33" s="36">
        <v>0</v>
      </c>
      <c r="AK33" s="142">
        <f t="shared" si="6"/>
        <v>0</v>
      </c>
      <c r="AL33" s="47">
        <v>46036</v>
      </c>
      <c r="AM33" s="153">
        <f>AF33</f>
        <v>46036</v>
      </c>
      <c r="AN33" s="63">
        <f t="shared" si="7"/>
        <v>0</v>
      </c>
      <c r="AO33" s="34" t="s">
        <v>65</v>
      </c>
      <c r="AP33" s="64">
        <f t="shared" si="18"/>
        <v>46036</v>
      </c>
      <c r="AQ33" s="64">
        <f t="shared" si="9"/>
        <v>46036</v>
      </c>
      <c r="AR33" s="65">
        <f t="shared" si="10"/>
        <v>9</v>
      </c>
      <c r="AS33" s="65">
        <f t="shared" si="11"/>
        <v>9</v>
      </c>
      <c r="AT33" s="157">
        <f t="shared" si="12"/>
        <v>0</v>
      </c>
      <c r="AU33" s="13"/>
      <c r="AV33" s="13" t="s">
        <v>59</v>
      </c>
      <c r="AW33" s="109">
        <f t="shared" si="19"/>
        <v>10559.12</v>
      </c>
      <c r="AX33" s="66">
        <f t="shared" si="14"/>
        <v>1478.75</v>
      </c>
      <c r="AY33" s="66"/>
      <c r="AZ33" s="66">
        <f t="shared" si="15"/>
        <v>0</v>
      </c>
      <c r="BA33" s="67">
        <f t="shared" si="16"/>
        <v>1478.75</v>
      </c>
    </row>
    <row r="34" spans="1:53" ht="21.6" customHeight="1" x14ac:dyDescent="0.3">
      <c r="A34" s="2" t="s">
        <v>181</v>
      </c>
      <c r="B34" s="15" t="s">
        <v>51</v>
      </c>
      <c r="C34" s="3" t="s">
        <v>78</v>
      </c>
      <c r="D34" s="3" t="s">
        <v>53</v>
      </c>
      <c r="E34" s="3">
        <v>123027809</v>
      </c>
      <c r="F34" s="3" t="s">
        <v>183</v>
      </c>
      <c r="G34" s="144">
        <v>262</v>
      </c>
      <c r="H34" s="394">
        <v>46027</v>
      </c>
      <c r="I34" s="50">
        <v>46052</v>
      </c>
      <c r="J34" s="15">
        <f t="shared" si="0"/>
        <v>25</v>
      </c>
      <c r="K34" s="3" t="s">
        <v>55</v>
      </c>
      <c r="L34" s="3" t="s">
        <v>56</v>
      </c>
      <c r="M34" s="15" t="s">
        <v>57</v>
      </c>
      <c r="N34" s="3" t="s">
        <v>58</v>
      </c>
      <c r="O34" s="15" t="s">
        <v>59</v>
      </c>
      <c r="P34" s="8">
        <v>1468.5</v>
      </c>
      <c r="Q34" s="44" t="s">
        <v>60</v>
      </c>
      <c r="R34" s="57">
        <f t="shared" ref="R34:R65" si="21">H34</f>
        <v>46027</v>
      </c>
      <c r="S34" s="13" t="s">
        <v>61</v>
      </c>
      <c r="T34" s="35">
        <v>46045</v>
      </c>
      <c r="U34" s="37">
        <v>46045</v>
      </c>
      <c r="V34" s="37">
        <f t="shared" si="17"/>
        <v>46052</v>
      </c>
      <c r="W34" s="59">
        <f t="shared" si="2"/>
        <v>25</v>
      </c>
      <c r="X34" s="59">
        <f t="shared" si="3"/>
        <v>18</v>
      </c>
      <c r="Y34" s="59">
        <f t="shared" si="4"/>
        <v>7</v>
      </c>
      <c r="Z34" s="39">
        <v>928</v>
      </c>
      <c r="AA34" s="4" t="s">
        <v>74</v>
      </c>
      <c r="AB34" s="35">
        <v>46045</v>
      </c>
      <c r="AC34" s="13">
        <v>1516.23</v>
      </c>
      <c r="AD34" s="174">
        <v>7291</v>
      </c>
      <c r="AE34" s="13" t="s">
        <v>63</v>
      </c>
      <c r="AF34" s="35">
        <v>46045</v>
      </c>
      <c r="AG34" s="3" t="str">
        <f t="shared" si="20"/>
        <v>FOB</v>
      </c>
      <c r="AH34" s="13" t="s">
        <v>89</v>
      </c>
      <c r="AI34" s="36" t="e">
        <f>#REF!</f>
        <v>#REF!</v>
      </c>
      <c r="AJ34" s="36">
        <v>0</v>
      </c>
      <c r="AK34" s="142">
        <f t="shared" ref="AK34:AK65" si="22">AJ34/AC34</f>
        <v>0</v>
      </c>
      <c r="AL34" s="47">
        <v>46045</v>
      </c>
      <c r="AM34" s="153">
        <v>46045</v>
      </c>
      <c r="AN34" s="63">
        <f t="shared" ref="AN34:AN65" si="23">AM34-AF34</f>
        <v>0</v>
      </c>
      <c r="AO34" s="34" t="s">
        <v>65</v>
      </c>
      <c r="AP34" s="64">
        <f t="shared" si="18"/>
        <v>46052</v>
      </c>
      <c r="AQ34" s="64">
        <f t="shared" ref="AQ34:AQ65" si="24">AM34</f>
        <v>46045</v>
      </c>
      <c r="AR34" s="65">
        <f t="shared" si="10"/>
        <v>25</v>
      </c>
      <c r="AS34" s="65">
        <f t="shared" si="11"/>
        <v>18</v>
      </c>
      <c r="AT34" s="157">
        <f t="shared" si="12"/>
        <v>7</v>
      </c>
      <c r="AU34" s="13"/>
      <c r="AV34" s="13" t="s">
        <v>59</v>
      </c>
      <c r="AW34" s="109">
        <f t="shared" si="19"/>
        <v>1516.23</v>
      </c>
      <c r="AX34" s="66">
        <f t="shared" ref="AX34:AX65" si="25">Z34</f>
        <v>928</v>
      </c>
      <c r="AY34" s="66"/>
      <c r="AZ34" s="66">
        <f t="shared" ref="AZ34:AZ65" si="26">AJ34</f>
        <v>0</v>
      </c>
      <c r="BA34" s="67">
        <f t="shared" ref="BA34:BA65" si="27">AX34+AZ34</f>
        <v>928</v>
      </c>
    </row>
    <row r="35" spans="1:53" ht="21.6" customHeight="1" x14ac:dyDescent="0.3">
      <c r="A35" s="2" t="s">
        <v>184</v>
      </c>
      <c r="B35" s="15" t="s">
        <v>171</v>
      </c>
      <c r="C35" s="3" t="s">
        <v>78</v>
      </c>
      <c r="D35" s="3"/>
      <c r="E35" s="3">
        <v>212242</v>
      </c>
      <c r="F35" s="3" t="s">
        <v>185</v>
      </c>
      <c r="G35" s="144">
        <v>230</v>
      </c>
      <c r="H35" s="394">
        <v>46028</v>
      </c>
      <c r="I35" s="50">
        <v>46065</v>
      </c>
      <c r="J35" s="15">
        <f t="shared" si="0"/>
        <v>37</v>
      </c>
      <c r="K35" s="3" t="s">
        <v>70</v>
      </c>
      <c r="L35" s="3" t="s">
        <v>56</v>
      </c>
      <c r="M35" s="15" t="s">
        <v>186</v>
      </c>
      <c r="N35" s="3" t="s">
        <v>187</v>
      </c>
      <c r="O35" s="3" t="s">
        <v>59</v>
      </c>
      <c r="P35" s="8">
        <v>2926.8</v>
      </c>
      <c r="Q35" s="44" t="s">
        <v>100</v>
      </c>
      <c r="R35" s="57">
        <f t="shared" si="21"/>
        <v>46028</v>
      </c>
      <c r="S35" s="13" t="s">
        <v>61</v>
      </c>
      <c r="T35" s="35">
        <v>46038</v>
      </c>
      <c r="U35" s="37">
        <v>46038</v>
      </c>
      <c r="V35" s="37">
        <f t="shared" si="17"/>
        <v>46065</v>
      </c>
      <c r="W35" s="59">
        <f t="shared" si="2"/>
        <v>37</v>
      </c>
      <c r="X35" s="59">
        <f t="shared" si="3"/>
        <v>10</v>
      </c>
      <c r="Y35" s="59">
        <f t="shared" si="4"/>
        <v>27</v>
      </c>
      <c r="Z35" s="39">
        <v>301.41000000000003</v>
      </c>
      <c r="AA35" s="4" t="s">
        <v>101</v>
      </c>
      <c r="AB35" s="35">
        <v>46041</v>
      </c>
      <c r="AC35" s="13">
        <v>2926.8</v>
      </c>
      <c r="AD35" s="175">
        <v>7264</v>
      </c>
      <c r="AE35" s="13" t="s">
        <v>63</v>
      </c>
      <c r="AF35" s="35">
        <v>46044</v>
      </c>
      <c r="AG35" s="3" t="str">
        <f t="shared" si="20"/>
        <v>CIF</v>
      </c>
      <c r="AH35" s="13" t="s">
        <v>188</v>
      </c>
      <c r="AI35" s="36" t="e">
        <f>#REF!</f>
        <v>#REF!</v>
      </c>
      <c r="AJ35" s="36">
        <v>207.66</v>
      </c>
      <c r="AK35" s="142">
        <f t="shared" si="22"/>
        <v>7.0951209512095118E-2</v>
      </c>
      <c r="AL35" s="47">
        <v>46065</v>
      </c>
      <c r="AM35" s="153">
        <v>46050</v>
      </c>
      <c r="AN35" s="63">
        <f t="shared" si="23"/>
        <v>6</v>
      </c>
      <c r="AO35" s="34" t="s">
        <v>65</v>
      </c>
      <c r="AP35" s="64">
        <f t="shared" si="18"/>
        <v>46065</v>
      </c>
      <c r="AQ35" s="64">
        <f t="shared" si="24"/>
        <v>46050</v>
      </c>
      <c r="AR35" s="65">
        <f t="shared" si="10"/>
        <v>37</v>
      </c>
      <c r="AS35" s="65">
        <f t="shared" si="11"/>
        <v>22</v>
      </c>
      <c r="AT35" s="157">
        <f t="shared" si="12"/>
        <v>15</v>
      </c>
      <c r="AU35" s="13"/>
      <c r="AV35" s="13" t="s">
        <v>59</v>
      </c>
      <c r="AW35" s="109">
        <f t="shared" si="19"/>
        <v>2926.8</v>
      </c>
      <c r="AX35" s="66">
        <f t="shared" si="25"/>
        <v>301.41000000000003</v>
      </c>
      <c r="AY35" s="66"/>
      <c r="AZ35" s="66">
        <f t="shared" si="26"/>
        <v>207.66</v>
      </c>
      <c r="BA35" s="67">
        <f t="shared" si="27"/>
        <v>509.07000000000005</v>
      </c>
    </row>
    <row r="36" spans="1:53" ht="21.6" customHeight="1" x14ac:dyDescent="0.3">
      <c r="A36" s="2" t="s">
        <v>189</v>
      </c>
      <c r="B36" s="3" t="s">
        <v>171</v>
      </c>
      <c r="C36" s="3" t="s">
        <v>78</v>
      </c>
      <c r="D36" s="3"/>
      <c r="E36" s="3">
        <v>4501917517</v>
      </c>
      <c r="F36" s="3" t="s">
        <v>53</v>
      </c>
      <c r="G36" s="144">
        <v>231</v>
      </c>
      <c r="H36" s="394">
        <v>46028</v>
      </c>
      <c r="I36" s="20">
        <v>46087</v>
      </c>
      <c r="J36" s="15">
        <f t="shared" si="0"/>
        <v>59</v>
      </c>
      <c r="K36" s="3" t="s">
        <v>70</v>
      </c>
      <c r="L36" s="3" t="s">
        <v>56</v>
      </c>
      <c r="M36" s="3" t="s">
        <v>186</v>
      </c>
      <c r="N36" s="3" t="s">
        <v>190</v>
      </c>
      <c r="O36" s="3" t="s">
        <v>59</v>
      </c>
      <c r="P36" s="8">
        <v>1252.4100000000001</v>
      </c>
      <c r="Q36" s="44" t="s">
        <v>100</v>
      </c>
      <c r="R36" s="57">
        <f t="shared" si="21"/>
        <v>46028</v>
      </c>
      <c r="S36" s="13" t="s">
        <v>61</v>
      </c>
      <c r="T36" s="35">
        <v>46041</v>
      </c>
      <c r="U36" s="37">
        <v>46043</v>
      </c>
      <c r="V36" s="37">
        <f t="shared" si="17"/>
        <v>46087</v>
      </c>
      <c r="W36" s="59">
        <f t="shared" si="2"/>
        <v>59</v>
      </c>
      <c r="X36" s="59">
        <f t="shared" si="3"/>
        <v>15</v>
      </c>
      <c r="Y36" s="59">
        <f t="shared" si="4"/>
        <v>44</v>
      </c>
      <c r="Z36" s="39">
        <v>426.42</v>
      </c>
      <c r="AA36" s="4" t="s">
        <v>101</v>
      </c>
      <c r="AB36" s="35">
        <v>46043</v>
      </c>
      <c r="AC36" s="13">
        <v>1252.4100000000001</v>
      </c>
      <c r="AD36" s="175">
        <v>7278</v>
      </c>
      <c r="AE36" s="13" t="s">
        <v>63</v>
      </c>
      <c r="AF36" s="35">
        <v>46044</v>
      </c>
      <c r="AG36" s="3" t="str">
        <f t="shared" si="20"/>
        <v>CIF</v>
      </c>
      <c r="AH36" s="13" t="s">
        <v>188</v>
      </c>
      <c r="AI36" s="36" t="e">
        <f>#REF!</f>
        <v>#REF!</v>
      </c>
      <c r="AJ36" s="36">
        <v>234.75</v>
      </c>
      <c r="AK36" s="142">
        <f t="shared" si="22"/>
        <v>0.18743861834383307</v>
      </c>
      <c r="AL36" s="47">
        <v>46065</v>
      </c>
      <c r="AM36" s="153">
        <v>46050</v>
      </c>
      <c r="AN36" s="63">
        <f t="shared" si="23"/>
        <v>6</v>
      </c>
      <c r="AO36" s="34" t="s">
        <v>65</v>
      </c>
      <c r="AP36" s="64">
        <f t="shared" si="18"/>
        <v>46087</v>
      </c>
      <c r="AQ36" s="64">
        <f t="shared" si="24"/>
        <v>46050</v>
      </c>
      <c r="AR36" s="65">
        <f t="shared" si="10"/>
        <v>59</v>
      </c>
      <c r="AS36" s="65">
        <f t="shared" si="11"/>
        <v>22</v>
      </c>
      <c r="AT36" s="157">
        <f t="shared" si="12"/>
        <v>37</v>
      </c>
      <c r="AU36" s="13" t="s">
        <v>191</v>
      </c>
      <c r="AV36" s="13" t="s">
        <v>116</v>
      </c>
      <c r="AW36" s="109">
        <f t="shared" si="19"/>
        <v>1252.4100000000001</v>
      </c>
      <c r="AX36" s="66">
        <f t="shared" si="25"/>
        <v>426.42</v>
      </c>
      <c r="AY36" s="66"/>
      <c r="AZ36" s="66">
        <f t="shared" si="26"/>
        <v>234.75</v>
      </c>
      <c r="BA36" s="67">
        <f t="shared" si="27"/>
        <v>661.17000000000007</v>
      </c>
    </row>
    <row r="37" spans="1:53" ht="21.6" customHeight="1" x14ac:dyDescent="0.3">
      <c r="A37" s="2" t="s">
        <v>192</v>
      </c>
      <c r="B37" s="3" t="s">
        <v>171</v>
      </c>
      <c r="C37" s="3" t="s">
        <v>78</v>
      </c>
      <c r="D37" s="3">
        <v>4600000028</v>
      </c>
      <c r="E37" s="3">
        <v>4500063626</v>
      </c>
      <c r="F37" s="3" t="s">
        <v>53</v>
      </c>
      <c r="G37" s="144">
        <v>232</v>
      </c>
      <c r="H37" s="394">
        <v>46029</v>
      </c>
      <c r="I37" s="50">
        <v>46052</v>
      </c>
      <c r="J37" s="15">
        <f t="shared" si="0"/>
        <v>23</v>
      </c>
      <c r="K37" s="3" t="s">
        <v>55</v>
      </c>
      <c r="L37" s="3" t="s">
        <v>56</v>
      </c>
      <c r="M37" s="3" t="s">
        <v>186</v>
      </c>
      <c r="N37" s="3" t="s">
        <v>166</v>
      </c>
      <c r="O37" s="3" t="s">
        <v>59</v>
      </c>
      <c r="P37" s="8">
        <v>620.29</v>
      </c>
      <c r="Q37" s="44" t="s">
        <v>100</v>
      </c>
      <c r="R37" s="57">
        <f t="shared" si="21"/>
        <v>46029</v>
      </c>
      <c r="S37" s="13" t="s">
        <v>61</v>
      </c>
      <c r="T37" s="35">
        <v>46038</v>
      </c>
      <c r="U37" s="37">
        <v>46038</v>
      </c>
      <c r="V37" s="37">
        <f t="shared" si="17"/>
        <v>46052</v>
      </c>
      <c r="W37" s="59">
        <f t="shared" si="2"/>
        <v>23</v>
      </c>
      <c r="X37" s="59">
        <f t="shared" si="3"/>
        <v>9</v>
      </c>
      <c r="Y37" s="59">
        <f t="shared" si="4"/>
        <v>14</v>
      </c>
      <c r="Z37" s="39">
        <v>45.19</v>
      </c>
      <c r="AA37" s="4" t="s">
        <v>101</v>
      </c>
      <c r="AB37" s="35">
        <v>46041</v>
      </c>
      <c r="AC37" s="13">
        <v>620.29</v>
      </c>
      <c r="AD37" s="174">
        <v>7263</v>
      </c>
      <c r="AE37" s="13" t="s">
        <v>63</v>
      </c>
      <c r="AF37" s="35">
        <v>46050</v>
      </c>
      <c r="AG37" s="3" t="str">
        <f t="shared" si="20"/>
        <v>FOB</v>
      </c>
      <c r="AH37" s="13" t="s">
        <v>193</v>
      </c>
      <c r="AI37" s="36" t="e">
        <f>#REF!</f>
        <v>#REF!</v>
      </c>
      <c r="AJ37" s="36">
        <v>0</v>
      </c>
      <c r="AK37" s="142">
        <f t="shared" si="22"/>
        <v>0</v>
      </c>
      <c r="AL37" s="47">
        <v>46043</v>
      </c>
      <c r="AM37" s="153">
        <v>46043</v>
      </c>
      <c r="AN37" s="63">
        <f t="shared" si="23"/>
        <v>-7</v>
      </c>
      <c r="AO37" s="34" t="s">
        <v>65</v>
      </c>
      <c r="AP37" s="64">
        <f t="shared" si="18"/>
        <v>46052</v>
      </c>
      <c r="AQ37" s="64">
        <f t="shared" si="24"/>
        <v>46043</v>
      </c>
      <c r="AR37" s="65">
        <f t="shared" si="10"/>
        <v>23</v>
      </c>
      <c r="AS37" s="65">
        <f t="shared" si="11"/>
        <v>14</v>
      </c>
      <c r="AT37" s="157">
        <f t="shared" si="12"/>
        <v>9</v>
      </c>
      <c r="AU37" s="13"/>
      <c r="AV37" s="13" t="s">
        <v>59</v>
      </c>
      <c r="AW37" s="109">
        <f t="shared" si="19"/>
        <v>620.29</v>
      </c>
      <c r="AX37" s="66">
        <f t="shared" si="25"/>
        <v>45.19</v>
      </c>
      <c r="AY37" s="66"/>
      <c r="AZ37" s="66">
        <f t="shared" si="26"/>
        <v>0</v>
      </c>
      <c r="BA37" s="67">
        <f t="shared" si="27"/>
        <v>45.19</v>
      </c>
    </row>
    <row r="38" spans="1:53" ht="21.6" customHeight="1" x14ac:dyDescent="0.3">
      <c r="A38" s="2" t="s">
        <v>192</v>
      </c>
      <c r="B38" s="3" t="s">
        <v>163</v>
      </c>
      <c r="C38" s="3" t="s">
        <v>78</v>
      </c>
      <c r="D38" s="3">
        <v>4600000028</v>
      </c>
      <c r="E38" s="3">
        <v>4500064718</v>
      </c>
      <c r="F38" s="3" t="s">
        <v>53</v>
      </c>
      <c r="G38" s="144">
        <v>233</v>
      </c>
      <c r="H38" s="394">
        <v>46029</v>
      </c>
      <c r="I38" s="50">
        <v>46057</v>
      </c>
      <c r="J38" s="15">
        <f t="shared" si="0"/>
        <v>28</v>
      </c>
      <c r="K38" s="3" t="s">
        <v>55</v>
      </c>
      <c r="L38" s="3" t="s">
        <v>56</v>
      </c>
      <c r="M38" s="3" t="s">
        <v>178</v>
      </c>
      <c r="N38" s="3" t="s">
        <v>194</v>
      </c>
      <c r="O38" s="3" t="s">
        <v>59</v>
      </c>
      <c r="P38" s="8">
        <v>19360.52</v>
      </c>
      <c r="Q38" s="44" t="s">
        <v>100</v>
      </c>
      <c r="R38" s="57">
        <f t="shared" si="21"/>
        <v>46029</v>
      </c>
      <c r="S38" s="13" t="s">
        <v>61</v>
      </c>
      <c r="T38" s="35">
        <v>46042</v>
      </c>
      <c r="U38" s="37">
        <v>46043</v>
      </c>
      <c r="V38" s="37">
        <f t="shared" ref="V38:V69" si="28">I38</f>
        <v>46057</v>
      </c>
      <c r="W38" s="59">
        <f t="shared" si="2"/>
        <v>28</v>
      </c>
      <c r="X38" s="59">
        <f t="shared" si="3"/>
        <v>14</v>
      </c>
      <c r="Y38" s="59">
        <f t="shared" si="4"/>
        <v>14</v>
      </c>
      <c r="Z38" s="39">
        <v>4110.8999999999996</v>
      </c>
      <c r="AA38" s="4" t="s">
        <v>101</v>
      </c>
      <c r="AB38" s="35">
        <v>46043</v>
      </c>
      <c r="AC38" s="13">
        <v>19360.52</v>
      </c>
      <c r="AD38" s="174">
        <v>7279</v>
      </c>
      <c r="AE38" s="13" t="s">
        <v>63</v>
      </c>
      <c r="AF38" s="35">
        <v>46051</v>
      </c>
      <c r="AG38" s="3" t="str">
        <f t="shared" si="20"/>
        <v>FOB</v>
      </c>
      <c r="AH38" s="13" t="s">
        <v>193</v>
      </c>
      <c r="AI38" s="36" t="e">
        <f>#REF!</f>
        <v>#REF!</v>
      </c>
      <c r="AJ38" s="36">
        <v>0</v>
      </c>
      <c r="AK38" s="142">
        <f t="shared" si="22"/>
        <v>0</v>
      </c>
      <c r="AL38" s="47">
        <v>46043</v>
      </c>
      <c r="AM38" s="153">
        <v>46043</v>
      </c>
      <c r="AN38" s="63">
        <f t="shared" si="23"/>
        <v>-8</v>
      </c>
      <c r="AO38" s="34" t="s">
        <v>65</v>
      </c>
      <c r="AP38" s="64">
        <f t="shared" si="18"/>
        <v>46057</v>
      </c>
      <c r="AQ38" s="64">
        <f t="shared" si="24"/>
        <v>46043</v>
      </c>
      <c r="AR38" s="65">
        <f t="shared" si="10"/>
        <v>28</v>
      </c>
      <c r="AS38" s="65">
        <f t="shared" si="11"/>
        <v>14</v>
      </c>
      <c r="AT38" s="157">
        <f t="shared" si="12"/>
        <v>14</v>
      </c>
      <c r="AU38" s="13"/>
      <c r="AV38" s="13" t="s">
        <v>59</v>
      </c>
      <c r="AW38" s="109">
        <f t="shared" si="19"/>
        <v>19360.52</v>
      </c>
      <c r="AX38" s="66">
        <f t="shared" si="25"/>
        <v>4110.8999999999996</v>
      </c>
      <c r="AY38" s="66"/>
      <c r="AZ38" s="66">
        <f t="shared" si="26"/>
        <v>0</v>
      </c>
      <c r="BA38" s="67">
        <f t="shared" si="27"/>
        <v>4110.8999999999996</v>
      </c>
    </row>
    <row r="39" spans="1:53" ht="21.6" customHeight="1" x14ac:dyDescent="0.3">
      <c r="A39" s="2" t="s">
        <v>195</v>
      </c>
      <c r="B39" s="3" t="s">
        <v>51</v>
      </c>
      <c r="C39" s="3" t="s">
        <v>78</v>
      </c>
      <c r="D39" s="3" t="s">
        <v>53</v>
      </c>
      <c r="E39" s="3">
        <v>5132</v>
      </c>
      <c r="F39" s="3" t="s">
        <v>196</v>
      </c>
      <c r="G39" s="144">
        <v>236</v>
      </c>
      <c r="H39" s="394">
        <v>46030</v>
      </c>
      <c r="I39" s="50">
        <v>46037</v>
      </c>
      <c r="J39" s="15">
        <f t="shared" si="0"/>
        <v>7</v>
      </c>
      <c r="K39" s="3" t="s">
        <v>55</v>
      </c>
      <c r="L39" s="3" t="s">
        <v>56</v>
      </c>
      <c r="M39" s="3" t="s">
        <v>57</v>
      </c>
      <c r="N39" s="3" t="s">
        <v>197</v>
      </c>
      <c r="O39" s="3" t="s">
        <v>59</v>
      </c>
      <c r="P39" s="82">
        <v>2554</v>
      </c>
      <c r="Q39" s="44" t="s">
        <v>94</v>
      </c>
      <c r="R39" s="57">
        <f t="shared" si="21"/>
        <v>46030</v>
      </c>
      <c r="S39" s="13" t="s">
        <v>61</v>
      </c>
      <c r="T39" s="35">
        <v>46035</v>
      </c>
      <c r="U39" s="37">
        <v>46031</v>
      </c>
      <c r="V39" s="37">
        <f t="shared" si="28"/>
        <v>46037</v>
      </c>
      <c r="W39" s="59">
        <f t="shared" si="2"/>
        <v>7</v>
      </c>
      <c r="X39" s="59">
        <f t="shared" si="3"/>
        <v>1</v>
      </c>
      <c r="Y39" s="59">
        <f t="shared" si="4"/>
        <v>6</v>
      </c>
      <c r="Z39" s="39">
        <v>0</v>
      </c>
      <c r="AA39" s="4" t="s">
        <v>126</v>
      </c>
      <c r="AB39" s="35">
        <v>46035</v>
      </c>
      <c r="AC39" s="13">
        <v>2554</v>
      </c>
      <c r="AD39" s="174">
        <v>7246</v>
      </c>
      <c r="AE39" s="13" t="s">
        <v>63</v>
      </c>
      <c r="AF39" s="35">
        <v>46035</v>
      </c>
      <c r="AG39" s="3" t="str">
        <f t="shared" si="20"/>
        <v>FOB</v>
      </c>
      <c r="AH39" s="13" t="s">
        <v>127</v>
      </c>
      <c r="AI39" s="36" t="e">
        <f>#REF!</f>
        <v>#REF!</v>
      </c>
      <c r="AJ39" s="36">
        <v>0</v>
      </c>
      <c r="AK39" s="142">
        <f t="shared" si="22"/>
        <v>0</v>
      </c>
      <c r="AL39" s="47">
        <v>46034</v>
      </c>
      <c r="AM39" s="153">
        <v>46034</v>
      </c>
      <c r="AN39" s="63">
        <f t="shared" si="23"/>
        <v>-1</v>
      </c>
      <c r="AO39" s="34" t="s">
        <v>65</v>
      </c>
      <c r="AP39" s="64">
        <f t="shared" si="18"/>
        <v>46037</v>
      </c>
      <c r="AQ39" s="64">
        <f t="shared" si="24"/>
        <v>46034</v>
      </c>
      <c r="AR39" s="65">
        <f t="shared" si="10"/>
        <v>7</v>
      </c>
      <c r="AS39" s="65">
        <f t="shared" si="11"/>
        <v>4</v>
      </c>
      <c r="AT39" s="157">
        <f t="shared" si="12"/>
        <v>3</v>
      </c>
      <c r="AU39" s="13"/>
      <c r="AV39" s="13" t="s">
        <v>59</v>
      </c>
      <c r="AW39" s="109">
        <f t="shared" si="19"/>
        <v>2554</v>
      </c>
      <c r="AX39" s="66">
        <f t="shared" si="25"/>
        <v>0</v>
      </c>
      <c r="AY39" s="66"/>
      <c r="AZ39" s="66">
        <f t="shared" si="26"/>
        <v>0</v>
      </c>
      <c r="BA39" s="67">
        <f t="shared" si="27"/>
        <v>0</v>
      </c>
    </row>
    <row r="40" spans="1:53" ht="21.6" customHeight="1" x14ac:dyDescent="0.3">
      <c r="A40" s="2" t="s">
        <v>198</v>
      </c>
      <c r="B40" s="3" t="s">
        <v>51</v>
      </c>
      <c r="C40" s="3" t="s">
        <v>78</v>
      </c>
      <c r="D40" s="3" t="s">
        <v>53</v>
      </c>
      <c r="E40" s="3">
        <v>48</v>
      </c>
      <c r="F40" s="3" t="s">
        <v>199</v>
      </c>
      <c r="G40" s="144">
        <v>238</v>
      </c>
      <c r="H40" s="394">
        <v>46030</v>
      </c>
      <c r="I40" s="50">
        <v>46073</v>
      </c>
      <c r="J40" s="15">
        <f t="shared" si="0"/>
        <v>43</v>
      </c>
      <c r="K40" s="3" t="s">
        <v>55</v>
      </c>
      <c r="L40" s="3" t="s">
        <v>56</v>
      </c>
      <c r="M40" s="3" t="s">
        <v>57</v>
      </c>
      <c r="N40" s="3" t="s">
        <v>87</v>
      </c>
      <c r="O40" s="3" t="s">
        <v>59</v>
      </c>
      <c r="P40" s="8">
        <v>3196.8</v>
      </c>
      <c r="Q40" s="44" t="s">
        <v>100</v>
      </c>
      <c r="R40" s="57">
        <f t="shared" si="21"/>
        <v>46030</v>
      </c>
      <c r="S40" s="13" t="s">
        <v>61</v>
      </c>
      <c r="T40" s="35">
        <v>46059</v>
      </c>
      <c r="U40" s="37">
        <v>46058</v>
      </c>
      <c r="V40" s="37">
        <f t="shared" si="28"/>
        <v>46073</v>
      </c>
      <c r="W40" s="59">
        <f t="shared" si="2"/>
        <v>43</v>
      </c>
      <c r="X40" s="59">
        <f t="shared" si="3"/>
        <v>28</v>
      </c>
      <c r="Y40" s="59">
        <f t="shared" si="4"/>
        <v>15</v>
      </c>
      <c r="Z40" s="39">
        <v>139.65</v>
      </c>
      <c r="AA40" s="4" t="s">
        <v>200</v>
      </c>
      <c r="AB40" s="35">
        <v>46064</v>
      </c>
      <c r="AC40" s="13">
        <v>3196.8</v>
      </c>
      <c r="AD40" s="174">
        <v>7333</v>
      </c>
      <c r="AE40" s="13" t="s">
        <v>63</v>
      </c>
      <c r="AF40" s="35">
        <v>46065</v>
      </c>
      <c r="AG40" s="3" t="str">
        <f t="shared" si="20"/>
        <v>FOB</v>
      </c>
      <c r="AH40" s="13" t="s">
        <v>201</v>
      </c>
      <c r="AI40" s="36" t="e">
        <f>#REF!</f>
        <v>#REF!</v>
      </c>
      <c r="AJ40" s="36">
        <v>0</v>
      </c>
      <c r="AK40" s="142">
        <f t="shared" si="22"/>
        <v>0</v>
      </c>
      <c r="AL40" s="47">
        <v>46064</v>
      </c>
      <c r="AM40" s="153">
        <v>46064</v>
      </c>
      <c r="AN40" s="63">
        <f t="shared" si="23"/>
        <v>-1</v>
      </c>
      <c r="AO40" s="34" t="s">
        <v>65</v>
      </c>
      <c r="AP40" s="64">
        <f t="shared" si="18"/>
        <v>46073</v>
      </c>
      <c r="AQ40" s="64">
        <f t="shared" si="24"/>
        <v>46064</v>
      </c>
      <c r="AR40" s="65">
        <f t="shared" si="10"/>
        <v>43</v>
      </c>
      <c r="AS40" s="65">
        <f t="shared" si="11"/>
        <v>34</v>
      </c>
      <c r="AT40" s="157">
        <f t="shared" si="12"/>
        <v>9</v>
      </c>
      <c r="AU40" s="13"/>
      <c r="AV40" s="13" t="s">
        <v>59</v>
      </c>
      <c r="AW40" s="109">
        <f t="shared" si="19"/>
        <v>3196.8</v>
      </c>
      <c r="AX40" s="66">
        <f t="shared" si="25"/>
        <v>139.65</v>
      </c>
      <c r="AY40" s="66"/>
      <c r="AZ40" s="66">
        <f t="shared" si="26"/>
        <v>0</v>
      </c>
      <c r="BA40" s="67">
        <f t="shared" si="27"/>
        <v>139.65</v>
      </c>
    </row>
    <row r="41" spans="1:53" ht="21.6" customHeight="1" x14ac:dyDescent="0.3">
      <c r="A41" s="2" t="s">
        <v>202</v>
      </c>
      <c r="B41" s="3" t="s">
        <v>51</v>
      </c>
      <c r="C41" s="3" t="s">
        <v>78</v>
      </c>
      <c r="D41" s="3" t="s">
        <v>53</v>
      </c>
      <c r="E41" s="3">
        <v>1816</v>
      </c>
      <c r="F41" s="3" t="s">
        <v>203</v>
      </c>
      <c r="G41" s="144">
        <v>239</v>
      </c>
      <c r="H41" s="394">
        <v>46030</v>
      </c>
      <c r="I41" s="20">
        <v>46045</v>
      </c>
      <c r="J41" s="15">
        <f t="shared" si="0"/>
        <v>15</v>
      </c>
      <c r="K41" s="3" t="s">
        <v>55</v>
      </c>
      <c r="L41" s="3" t="s">
        <v>56</v>
      </c>
      <c r="M41" s="3" t="s">
        <v>57</v>
      </c>
      <c r="N41" s="3" t="s">
        <v>204</v>
      </c>
      <c r="O41" s="3" t="s">
        <v>59</v>
      </c>
      <c r="P41" s="8">
        <v>6171.3</v>
      </c>
      <c r="Q41" s="44" t="s">
        <v>100</v>
      </c>
      <c r="R41" s="57">
        <f t="shared" si="21"/>
        <v>46030</v>
      </c>
      <c r="S41" s="13" t="s">
        <v>61</v>
      </c>
      <c r="T41" s="35">
        <v>46045</v>
      </c>
      <c r="U41" s="37">
        <v>46045</v>
      </c>
      <c r="V41" s="37">
        <f t="shared" si="28"/>
        <v>46045</v>
      </c>
      <c r="W41" s="59">
        <f t="shared" si="2"/>
        <v>15</v>
      </c>
      <c r="X41" s="59">
        <f t="shared" si="3"/>
        <v>15</v>
      </c>
      <c r="Y41" s="59">
        <f t="shared" si="4"/>
        <v>0</v>
      </c>
      <c r="Z41" s="39">
        <v>1213.0899999999999</v>
      </c>
      <c r="AA41" s="4" t="s">
        <v>74</v>
      </c>
      <c r="AB41" s="35">
        <v>46044</v>
      </c>
      <c r="AC41" s="13">
        <v>6171.3</v>
      </c>
      <c r="AD41" s="174">
        <v>7284</v>
      </c>
      <c r="AE41" s="13" t="s">
        <v>63</v>
      </c>
      <c r="AF41" s="35">
        <v>46045</v>
      </c>
      <c r="AG41" s="3" t="str">
        <f t="shared" si="20"/>
        <v>FOB</v>
      </c>
      <c r="AH41" s="13" t="s">
        <v>127</v>
      </c>
      <c r="AI41" s="36" t="e">
        <f>#REF!</f>
        <v>#REF!</v>
      </c>
      <c r="AJ41" s="36">
        <v>0</v>
      </c>
      <c r="AK41" s="142">
        <f t="shared" si="22"/>
        <v>0</v>
      </c>
      <c r="AL41" s="47">
        <v>46044</v>
      </c>
      <c r="AM41" s="153">
        <v>46044</v>
      </c>
      <c r="AN41" s="63">
        <f t="shared" si="23"/>
        <v>-1</v>
      </c>
      <c r="AO41" s="34" t="s">
        <v>65</v>
      </c>
      <c r="AP41" s="64">
        <f t="shared" si="18"/>
        <v>46045</v>
      </c>
      <c r="AQ41" s="64">
        <f t="shared" si="24"/>
        <v>46044</v>
      </c>
      <c r="AR41" s="65">
        <f t="shared" si="10"/>
        <v>15</v>
      </c>
      <c r="AS41" s="65">
        <f t="shared" si="11"/>
        <v>14</v>
      </c>
      <c r="AT41" s="157">
        <f t="shared" si="12"/>
        <v>1</v>
      </c>
      <c r="AU41" s="13"/>
      <c r="AV41" s="13" t="s">
        <v>59</v>
      </c>
      <c r="AW41" s="109">
        <f t="shared" si="19"/>
        <v>6171.3</v>
      </c>
      <c r="AX41" s="66">
        <f t="shared" si="25"/>
        <v>1213.0899999999999</v>
      </c>
      <c r="AY41" s="66"/>
      <c r="AZ41" s="66">
        <f t="shared" si="26"/>
        <v>0</v>
      </c>
      <c r="BA41" s="67">
        <f t="shared" si="27"/>
        <v>1213.0899999999999</v>
      </c>
    </row>
    <row r="42" spans="1:53" ht="21.6" customHeight="1" x14ac:dyDescent="0.3">
      <c r="A42" s="2" t="s">
        <v>205</v>
      </c>
      <c r="B42" s="3" t="s">
        <v>77</v>
      </c>
      <c r="C42" s="3" t="s">
        <v>78</v>
      </c>
      <c r="D42" s="3" t="s">
        <v>53</v>
      </c>
      <c r="E42" s="3" t="s">
        <v>53</v>
      </c>
      <c r="F42" s="3" t="s">
        <v>206</v>
      </c>
      <c r="G42" s="144" t="s">
        <v>207</v>
      </c>
      <c r="H42" s="394">
        <v>46030</v>
      </c>
      <c r="I42" s="50">
        <v>46058</v>
      </c>
      <c r="J42" s="15">
        <f t="shared" si="0"/>
        <v>28</v>
      </c>
      <c r="K42" s="3" t="s">
        <v>55</v>
      </c>
      <c r="L42" s="3" t="s">
        <v>56</v>
      </c>
      <c r="M42" s="3" t="s">
        <v>208</v>
      </c>
      <c r="N42" s="3" t="s">
        <v>209</v>
      </c>
      <c r="O42" s="3" t="s">
        <v>59</v>
      </c>
      <c r="P42" s="8">
        <v>2694.65</v>
      </c>
      <c r="Q42" s="44" t="s">
        <v>100</v>
      </c>
      <c r="R42" s="57">
        <f t="shared" si="21"/>
        <v>46030</v>
      </c>
      <c r="S42" s="13" t="s">
        <v>61</v>
      </c>
      <c r="T42" s="35">
        <v>46044</v>
      </c>
      <c r="U42" s="37">
        <v>46044</v>
      </c>
      <c r="V42" s="37">
        <f t="shared" si="28"/>
        <v>46058</v>
      </c>
      <c r="W42" s="59">
        <f t="shared" si="2"/>
        <v>28</v>
      </c>
      <c r="X42" s="59">
        <f t="shared" si="3"/>
        <v>14</v>
      </c>
      <c r="Y42" s="59">
        <f t="shared" si="4"/>
        <v>14</v>
      </c>
      <c r="Z42" s="39">
        <v>308.82</v>
      </c>
      <c r="AA42" s="4" t="s">
        <v>74</v>
      </c>
      <c r="AB42" s="35">
        <v>46058</v>
      </c>
      <c r="AC42" s="13">
        <v>2694.65</v>
      </c>
      <c r="AD42" s="174">
        <v>7320</v>
      </c>
      <c r="AE42" s="13" t="s">
        <v>63</v>
      </c>
      <c r="AF42" s="35">
        <v>46051</v>
      </c>
      <c r="AG42" s="3" t="str">
        <f t="shared" si="20"/>
        <v>FOB</v>
      </c>
      <c r="AH42" s="13" t="s">
        <v>201</v>
      </c>
      <c r="AI42" s="36" t="e">
        <f>#REF!</f>
        <v>#REF!</v>
      </c>
      <c r="AJ42" s="36">
        <v>0</v>
      </c>
      <c r="AK42" s="142">
        <f t="shared" si="22"/>
        <v>0</v>
      </c>
      <c r="AL42" s="47">
        <v>46038</v>
      </c>
      <c r="AM42" s="153">
        <v>46038</v>
      </c>
      <c r="AN42" s="63">
        <f t="shared" si="23"/>
        <v>-13</v>
      </c>
      <c r="AO42" s="34" t="s">
        <v>65</v>
      </c>
      <c r="AP42" s="64">
        <f t="shared" si="18"/>
        <v>46058</v>
      </c>
      <c r="AQ42" s="64">
        <f t="shared" si="24"/>
        <v>46038</v>
      </c>
      <c r="AR42" s="65">
        <f t="shared" si="10"/>
        <v>28</v>
      </c>
      <c r="AS42" s="65">
        <f t="shared" si="11"/>
        <v>8</v>
      </c>
      <c r="AT42" s="157">
        <f t="shared" si="12"/>
        <v>20</v>
      </c>
      <c r="AU42" s="13"/>
      <c r="AV42" s="13" t="s">
        <v>59</v>
      </c>
      <c r="AW42" s="109">
        <f t="shared" si="19"/>
        <v>2694.65</v>
      </c>
      <c r="AX42" s="66">
        <f t="shared" si="25"/>
        <v>308.82</v>
      </c>
      <c r="AY42" s="66"/>
      <c r="AZ42" s="66">
        <f t="shared" si="26"/>
        <v>0</v>
      </c>
      <c r="BA42" s="67">
        <f t="shared" si="27"/>
        <v>308.82</v>
      </c>
    </row>
    <row r="43" spans="1:53" ht="21.6" customHeight="1" x14ac:dyDescent="0.3">
      <c r="A43" s="2" t="s">
        <v>210</v>
      </c>
      <c r="B43" s="15" t="s">
        <v>91</v>
      </c>
      <c r="C43" s="3" t="s">
        <v>78</v>
      </c>
      <c r="D43" s="3" t="s">
        <v>53</v>
      </c>
      <c r="E43" s="3" t="s">
        <v>53</v>
      </c>
      <c r="F43" s="3" t="s">
        <v>211</v>
      </c>
      <c r="G43" s="144">
        <v>240</v>
      </c>
      <c r="H43" s="394">
        <v>46031</v>
      </c>
      <c r="I43" s="50">
        <v>46041</v>
      </c>
      <c r="J43" s="15">
        <f t="shared" si="0"/>
        <v>10</v>
      </c>
      <c r="K43" s="3" t="s">
        <v>55</v>
      </c>
      <c r="L43" s="3" t="s">
        <v>56</v>
      </c>
      <c r="M43" s="15" t="s">
        <v>92</v>
      </c>
      <c r="N43" s="3" t="s">
        <v>212</v>
      </c>
      <c r="O43" s="3" t="s">
        <v>59</v>
      </c>
      <c r="P43" s="8">
        <v>3736</v>
      </c>
      <c r="Q43" s="44" t="s">
        <v>100</v>
      </c>
      <c r="R43" s="57">
        <f t="shared" si="21"/>
        <v>46031</v>
      </c>
      <c r="S43" s="13" t="s">
        <v>61</v>
      </c>
      <c r="T43" s="35">
        <v>46041</v>
      </c>
      <c r="U43" s="37">
        <v>46037</v>
      </c>
      <c r="V43" s="37">
        <f t="shared" si="28"/>
        <v>46041</v>
      </c>
      <c r="W43" s="59">
        <f t="shared" si="2"/>
        <v>10</v>
      </c>
      <c r="X43" s="59">
        <f t="shared" si="3"/>
        <v>6</v>
      </c>
      <c r="Y43" s="59">
        <f t="shared" si="4"/>
        <v>4</v>
      </c>
      <c r="Z43" s="39">
        <v>367.48</v>
      </c>
      <c r="AA43" s="4" t="s">
        <v>101</v>
      </c>
      <c r="AB43" s="35">
        <v>46037</v>
      </c>
      <c r="AC43" s="13">
        <v>3736</v>
      </c>
      <c r="AD43" s="174">
        <v>7256</v>
      </c>
      <c r="AE43" s="13" t="s">
        <v>63</v>
      </c>
      <c r="AF43" s="35">
        <v>46038</v>
      </c>
      <c r="AG43" s="3" t="str">
        <f t="shared" si="20"/>
        <v>FOB</v>
      </c>
      <c r="AH43" s="13" t="s">
        <v>210</v>
      </c>
      <c r="AI43" s="36" t="e">
        <f>#REF!</f>
        <v>#REF!</v>
      </c>
      <c r="AJ43" s="36">
        <v>0</v>
      </c>
      <c r="AK43" s="142">
        <f t="shared" si="22"/>
        <v>0</v>
      </c>
      <c r="AL43" s="47">
        <v>46037</v>
      </c>
      <c r="AM43" s="153">
        <v>46037</v>
      </c>
      <c r="AN43" s="63">
        <f t="shared" si="23"/>
        <v>-1</v>
      </c>
      <c r="AO43" s="34" t="s">
        <v>65</v>
      </c>
      <c r="AP43" s="64">
        <f t="shared" si="18"/>
        <v>46041</v>
      </c>
      <c r="AQ43" s="64">
        <f t="shared" si="24"/>
        <v>46037</v>
      </c>
      <c r="AR43" s="65">
        <f t="shared" si="10"/>
        <v>10</v>
      </c>
      <c r="AS43" s="65">
        <f t="shared" si="11"/>
        <v>6</v>
      </c>
      <c r="AT43" s="157">
        <f t="shared" si="12"/>
        <v>4</v>
      </c>
      <c r="AU43" s="13"/>
      <c r="AV43" s="13" t="s">
        <v>59</v>
      </c>
      <c r="AW43" s="109">
        <f t="shared" si="19"/>
        <v>3736</v>
      </c>
      <c r="AX43" s="66">
        <f t="shared" si="25"/>
        <v>367.48</v>
      </c>
      <c r="AY43" s="66"/>
      <c r="AZ43" s="66">
        <f t="shared" si="26"/>
        <v>0</v>
      </c>
      <c r="BA43" s="67">
        <f t="shared" si="27"/>
        <v>367.48</v>
      </c>
    </row>
    <row r="44" spans="1:53" ht="21.6" customHeight="1" x14ac:dyDescent="0.3">
      <c r="A44" s="2" t="s">
        <v>213</v>
      </c>
      <c r="B44" s="3" t="s">
        <v>77</v>
      </c>
      <c r="C44" s="3" t="s">
        <v>78</v>
      </c>
      <c r="D44" s="3" t="s">
        <v>53</v>
      </c>
      <c r="E44" s="3">
        <v>4421</v>
      </c>
      <c r="F44" s="3" t="s">
        <v>214</v>
      </c>
      <c r="G44" s="144">
        <v>242</v>
      </c>
      <c r="H44" s="394">
        <v>46031</v>
      </c>
      <c r="I44" s="50">
        <v>46063</v>
      </c>
      <c r="J44" s="15">
        <f t="shared" si="0"/>
        <v>32</v>
      </c>
      <c r="K44" s="3" t="s">
        <v>70</v>
      </c>
      <c r="L44" s="3" t="s">
        <v>56</v>
      </c>
      <c r="M44" s="3" t="s">
        <v>81</v>
      </c>
      <c r="N44" s="3" t="s">
        <v>215</v>
      </c>
      <c r="O44" s="3" t="s">
        <v>59</v>
      </c>
      <c r="P44" s="8">
        <v>8176.48</v>
      </c>
      <c r="Q44" s="44" t="s">
        <v>100</v>
      </c>
      <c r="R44" s="57">
        <f t="shared" si="21"/>
        <v>46031</v>
      </c>
      <c r="S44" s="13" t="s">
        <v>61</v>
      </c>
      <c r="T44" s="35">
        <v>46048</v>
      </c>
      <c r="U44" s="37">
        <v>46045</v>
      </c>
      <c r="V44" s="37">
        <f t="shared" si="28"/>
        <v>46063</v>
      </c>
      <c r="W44" s="59">
        <f t="shared" si="2"/>
        <v>32</v>
      </c>
      <c r="X44" s="59">
        <f t="shared" si="3"/>
        <v>14</v>
      </c>
      <c r="Y44" s="59">
        <f t="shared" si="4"/>
        <v>18</v>
      </c>
      <c r="Z44" s="39">
        <v>1221.0999999999999</v>
      </c>
      <c r="AA44" s="4" t="s">
        <v>74</v>
      </c>
      <c r="AB44" s="35">
        <v>46048</v>
      </c>
      <c r="AC44" s="13">
        <v>8176.48</v>
      </c>
      <c r="AD44" s="175">
        <v>7294</v>
      </c>
      <c r="AE44" s="13" t="s">
        <v>63</v>
      </c>
      <c r="AF44" s="35">
        <v>46048</v>
      </c>
      <c r="AG44" s="3" t="str">
        <f t="shared" si="20"/>
        <v>CIF</v>
      </c>
      <c r="AH44" s="13" t="s">
        <v>188</v>
      </c>
      <c r="AI44" s="36" t="e">
        <f>#REF!</f>
        <v>#REF!</v>
      </c>
      <c r="AJ44" s="36">
        <v>436.87</v>
      </c>
      <c r="AK44" s="142">
        <f t="shared" si="22"/>
        <v>5.3430082382638987E-2</v>
      </c>
      <c r="AL44" s="47">
        <v>46055</v>
      </c>
      <c r="AM44" s="153">
        <v>46055</v>
      </c>
      <c r="AN44" s="63">
        <f t="shared" si="23"/>
        <v>7</v>
      </c>
      <c r="AO44" s="34" t="s">
        <v>65</v>
      </c>
      <c r="AP44" s="64">
        <f t="shared" si="18"/>
        <v>46063</v>
      </c>
      <c r="AQ44" s="64">
        <f t="shared" si="24"/>
        <v>46055</v>
      </c>
      <c r="AR44" s="65">
        <f t="shared" si="10"/>
        <v>32</v>
      </c>
      <c r="AS44" s="65">
        <f t="shared" si="11"/>
        <v>24</v>
      </c>
      <c r="AT44" s="157">
        <f t="shared" si="12"/>
        <v>8</v>
      </c>
      <c r="AU44" s="13"/>
      <c r="AV44" s="13" t="s">
        <v>59</v>
      </c>
      <c r="AW44" s="109">
        <f t="shared" si="19"/>
        <v>8176.48</v>
      </c>
      <c r="AX44" s="66">
        <f t="shared" si="25"/>
        <v>1221.0999999999999</v>
      </c>
      <c r="AY44" s="66"/>
      <c r="AZ44" s="66">
        <f t="shared" si="26"/>
        <v>436.87</v>
      </c>
      <c r="BA44" s="67">
        <f t="shared" si="27"/>
        <v>1657.9699999999998</v>
      </c>
    </row>
    <row r="45" spans="1:53" ht="21.6" customHeight="1" x14ac:dyDescent="0.3">
      <c r="A45" s="2" t="s">
        <v>192</v>
      </c>
      <c r="B45" s="3" t="s">
        <v>163</v>
      </c>
      <c r="C45" s="3" t="s">
        <v>78</v>
      </c>
      <c r="D45" s="3" t="s">
        <v>53</v>
      </c>
      <c r="E45" s="3">
        <v>4500061676</v>
      </c>
      <c r="F45" s="3" t="s">
        <v>53</v>
      </c>
      <c r="G45" s="144">
        <v>243</v>
      </c>
      <c r="H45" s="394">
        <v>46031</v>
      </c>
      <c r="I45" s="50">
        <v>46062</v>
      </c>
      <c r="J45" s="15">
        <f t="shared" si="0"/>
        <v>31</v>
      </c>
      <c r="K45" s="3" t="s">
        <v>55</v>
      </c>
      <c r="L45" s="3" t="s">
        <v>56</v>
      </c>
      <c r="M45" s="3" t="s">
        <v>178</v>
      </c>
      <c r="N45" s="3" t="s">
        <v>194</v>
      </c>
      <c r="O45" s="3" t="s">
        <v>59</v>
      </c>
      <c r="P45" s="83">
        <v>2467.56</v>
      </c>
      <c r="Q45" s="44" t="s">
        <v>100</v>
      </c>
      <c r="R45" s="57">
        <f t="shared" si="21"/>
        <v>46031</v>
      </c>
      <c r="S45" s="13" t="s">
        <v>61</v>
      </c>
      <c r="T45" s="35">
        <v>46041</v>
      </c>
      <c r="U45" s="37">
        <v>46038</v>
      </c>
      <c r="V45" s="37">
        <f t="shared" si="28"/>
        <v>46062</v>
      </c>
      <c r="W45" s="59">
        <f t="shared" si="2"/>
        <v>31</v>
      </c>
      <c r="X45" s="59">
        <f t="shared" si="3"/>
        <v>7</v>
      </c>
      <c r="Y45" s="59">
        <f t="shared" si="4"/>
        <v>24</v>
      </c>
      <c r="Z45" s="39">
        <v>191.18</v>
      </c>
      <c r="AA45" s="4" t="s">
        <v>101</v>
      </c>
      <c r="AB45" s="35">
        <v>46038</v>
      </c>
      <c r="AC45" s="13">
        <v>2467.56</v>
      </c>
      <c r="AD45" s="174">
        <v>7262</v>
      </c>
      <c r="AE45" s="13" t="s">
        <v>63</v>
      </c>
      <c r="AF45" s="35">
        <v>46045</v>
      </c>
      <c r="AG45" s="3" t="str">
        <f t="shared" si="20"/>
        <v>FOB</v>
      </c>
      <c r="AH45" s="13" t="s">
        <v>216</v>
      </c>
      <c r="AI45" s="36" t="e">
        <f>#REF!</f>
        <v>#REF!</v>
      </c>
      <c r="AJ45" s="36">
        <v>0</v>
      </c>
      <c r="AK45" s="142">
        <f t="shared" si="22"/>
        <v>0</v>
      </c>
      <c r="AL45" s="47">
        <v>46038</v>
      </c>
      <c r="AM45" s="153">
        <v>46038</v>
      </c>
      <c r="AN45" s="63">
        <f t="shared" si="23"/>
        <v>-7</v>
      </c>
      <c r="AO45" s="34" t="s">
        <v>65</v>
      </c>
      <c r="AP45" s="64">
        <f t="shared" si="18"/>
        <v>46062</v>
      </c>
      <c r="AQ45" s="64">
        <f t="shared" si="24"/>
        <v>46038</v>
      </c>
      <c r="AR45" s="65">
        <f t="shared" si="10"/>
        <v>31</v>
      </c>
      <c r="AS45" s="65">
        <f t="shared" si="11"/>
        <v>7</v>
      </c>
      <c r="AT45" s="157">
        <f t="shared" si="12"/>
        <v>24</v>
      </c>
      <c r="AU45" s="13"/>
      <c r="AV45" s="13" t="s">
        <v>59</v>
      </c>
      <c r="AW45" s="109">
        <f t="shared" si="19"/>
        <v>2467.56</v>
      </c>
      <c r="AX45" s="66">
        <f t="shared" si="25"/>
        <v>191.18</v>
      </c>
      <c r="AY45" s="66"/>
      <c r="AZ45" s="66">
        <f t="shared" si="26"/>
        <v>0</v>
      </c>
      <c r="BA45" s="67">
        <f t="shared" si="27"/>
        <v>191.18</v>
      </c>
    </row>
    <row r="46" spans="1:53" ht="21.6" customHeight="1" x14ac:dyDescent="0.3">
      <c r="A46" s="77" t="s">
        <v>217</v>
      </c>
      <c r="B46" s="3" t="s">
        <v>77</v>
      </c>
      <c r="C46" s="78" t="s">
        <v>78</v>
      </c>
      <c r="D46" s="79" t="s">
        <v>53</v>
      </c>
      <c r="E46" s="78">
        <v>77868</v>
      </c>
      <c r="F46" s="78" t="s">
        <v>218</v>
      </c>
      <c r="G46" s="148">
        <v>244</v>
      </c>
      <c r="H46" s="395">
        <v>46031</v>
      </c>
      <c r="I46" s="80">
        <v>46055</v>
      </c>
      <c r="J46" s="15">
        <f t="shared" si="0"/>
        <v>24</v>
      </c>
      <c r="K46" s="78" t="s">
        <v>55</v>
      </c>
      <c r="L46" s="78" t="s">
        <v>56</v>
      </c>
      <c r="M46" s="78" t="s">
        <v>208</v>
      </c>
      <c r="N46" s="78" t="s">
        <v>219</v>
      </c>
      <c r="O46" s="81" t="s">
        <v>59</v>
      </c>
      <c r="P46" s="83">
        <v>26142.1</v>
      </c>
      <c r="Q46" s="44" t="s">
        <v>60</v>
      </c>
      <c r="R46" s="57">
        <f t="shared" si="21"/>
        <v>46031</v>
      </c>
      <c r="S46" s="13" t="s">
        <v>61</v>
      </c>
      <c r="T46" s="35">
        <v>46052</v>
      </c>
      <c r="U46" s="37">
        <v>46052</v>
      </c>
      <c r="V46" s="37">
        <f t="shared" si="28"/>
        <v>46055</v>
      </c>
      <c r="W46" s="59">
        <f t="shared" si="2"/>
        <v>24</v>
      </c>
      <c r="X46" s="59">
        <f t="shared" si="3"/>
        <v>21</v>
      </c>
      <c r="Y46" s="59">
        <f t="shared" si="4"/>
        <v>3</v>
      </c>
      <c r="Z46" s="39">
        <v>8525.26</v>
      </c>
      <c r="AA46" s="4" t="s">
        <v>62</v>
      </c>
      <c r="AB46" s="35">
        <v>46052</v>
      </c>
      <c r="AC46" s="13">
        <v>26167.87</v>
      </c>
      <c r="AD46" s="174">
        <v>7306</v>
      </c>
      <c r="AE46" s="13" t="s">
        <v>63</v>
      </c>
      <c r="AF46" s="35">
        <v>46059</v>
      </c>
      <c r="AG46" s="3" t="str">
        <f t="shared" si="20"/>
        <v>FOB</v>
      </c>
      <c r="AH46" s="13" t="s">
        <v>127</v>
      </c>
      <c r="AI46" s="36" t="e">
        <f>#REF!</f>
        <v>#REF!</v>
      </c>
      <c r="AJ46" s="36">
        <v>0</v>
      </c>
      <c r="AK46" s="142">
        <f t="shared" si="22"/>
        <v>0</v>
      </c>
      <c r="AL46" s="47">
        <v>46052</v>
      </c>
      <c r="AM46" s="153">
        <v>46052</v>
      </c>
      <c r="AN46" s="63">
        <f t="shared" si="23"/>
        <v>-7</v>
      </c>
      <c r="AO46" s="34" t="s">
        <v>65</v>
      </c>
      <c r="AP46" s="64">
        <f t="shared" si="18"/>
        <v>46055</v>
      </c>
      <c r="AQ46" s="64">
        <f t="shared" si="24"/>
        <v>46052</v>
      </c>
      <c r="AR46" s="65">
        <f t="shared" si="10"/>
        <v>24</v>
      </c>
      <c r="AS46" s="65">
        <f t="shared" si="11"/>
        <v>21</v>
      </c>
      <c r="AT46" s="157">
        <f t="shared" si="12"/>
        <v>3</v>
      </c>
      <c r="AU46" s="13"/>
      <c r="AV46" s="13" t="s">
        <v>59</v>
      </c>
      <c r="AW46" s="109">
        <f t="shared" si="19"/>
        <v>26167.87</v>
      </c>
      <c r="AX46" s="66">
        <f t="shared" si="25"/>
        <v>8525.26</v>
      </c>
      <c r="AY46" s="66"/>
      <c r="AZ46" s="66">
        <f t="shared" si="26"/>
        <v>0</v>
      </c>
      <c r="BA46" s="67">
        <f t="shared" si="27"/>
        <v>8525.26</v>
      </c>
    </row>
    <row r="47" spans="1:53" ht="21.6" customHeight="1" x14ac:dyDescent="0.3">
      <c r="A47" s="2" t="s">
        <v>220</v>
      </c>
      <c r="B47" s="3" t="s">
        <v>91</v>
      </c>
      <c r="C47" s="3" t="s">
        <v>78</v>
      </c>
      <c r="D47" s="3" t="s">
        <v>53</v>
      </c>
      <c r="E47" s="3" t="s">
        <v>53</v>
      </c>
      <c r="F47" s="3" t="s">
        <v>221</v>
      </c>
      <c r="G47" s="144">
        <v>247</v>
      </c>
      <c r="H47" s="394">
        <v>46034</v>
      </c>
      <c r="I47" s="50">
        <v>46048</v>
      </c>
      <c r="J47" s="15">
        <f t="shared" si="0"/>
        <v>14</v>
      </c>
      <c r="K47" s="3" t="s">
        <v>55</v>
      </c>
      <c r="L47" s="3" t="s">
        <v>56</v>
      </c>
      <c r="M47" s="3" t="s">
        <v>92</v>
      </c>
      <c r="N47" s="3" t="s">
        <v>222</v>
      </c>
      <c r="O47" s="3" t="s">
        <v>59</v>
      </c>
      <c r="P47" s="83">
        <v>1945.8</v>
      </c>
      <c r="Q47" s="44" t="s">
        <v>100</v>
      </c>
      <c r="R47" s="57">
        <f t="shared" si="21"/>
        <v>46034</v>
      </c>
      <c r="S47" s="13" t="s">
        <v>61</v>
      </c>
      <c r="T47" s="35">
        <v>46044</v>
      </c>
      <c r="U47" s="37">
        <v>46041</v>
      </c>
      <c r="V47" s="37">
        <f t="shared" si="28"/>
        <v>46048</v>
      </c>
      <c r="W47" s="59">
        <f t="shared" si="2"/>
        <v>14</v>
      </c>
      <c r="X47" s="59">
        <f t="shared" si="3"/>
        <v>7</v>
      </c>
      <c r="Y47" s="59">
        <f t="shared" si="4"/>
        <v>7</v>
      </c>
      <c r="Z47" s="39">
        <v>68.06</v>
      </c>
      <c r="AA47" s="4" t="s">
        <v>101</v>
      </c>
      <c r="AB47" s="35">
        <v>46045</v>
      </c>
      <c r="AC47" s="13">
        <v>1945.8</v>
      </c>
      <c r="AD47" s="174">
        <v>7286</v>
      </c>
      <c r="AE47" s="13" t="s">
        <v>63</v>
      </c>
      <c r="AF47" s="35">
        <v>46045</v>
      </c>
      <c r="AG47" s="3" t="str">
        <f t="shared" si="20"/>
        <v>FOB</v>
      </c>
      <c r="AH47" s="13" t="s">
        <v>223</v>
      </c>
      <c r="AI47" s="36" t="e">
        <f>#REF!</f>
        <v>#REF!</v>
      </c>
      <c r="AJ47" s="36">
        <v>0</v>
      </c>
      <c r="AK47" s="142">
        <f t="shared" si="22"/>
        <v>0</v>
      </c>
      <c r="AL47" s="47">
        <v>46041</v>
      </c>
      <c r="AM47" s="153">
        <v>46041</v>
      </c>
      <c r="AN47" s="63">
        <f t="shared" si="23"/>
        <v>-4</v>
      </c>
      <c r="AO47" s="34" t="s">
        <v>65</v>
      </c>
      <c r="AP47" s="64">
        <f t="shared" si="18"/>
        <v>46048</v>
      </c>
      <c r="AQ47" s="64">
        <f t="shared" si="24"/>
        <v>46041</v>
      </c>
      <c r="AR47" s="65">
        <f t="shared" si="10"/>
        <v>14</v>
      </c>
      <c r="AS47" s="65">
        <f t="shared" si="11"/>
        <v>7</v>
      </c>
      <c r="AT47" s="157">
        <f t="shared" si="12"/>
        <v>7</v>
      </c>
      <c r="AU47" s="13"/>
      <c r="AV47" s="13" t="s">
        <v>59</v>
      </c>
      <c r="AW47" s="109">
        <f t="shared" si="19"/>
        <v>1945.8</v>
      </c>
      <c r="AX47" s="66">
        <f t="shared" si="25"/>
        <v>68.06</v>
      </c>
      <c r="AY47" s="66"/>
      <c r="AZ47" s="66">
        <f t="shared" si="26"/>
        <v>0</v>
      </c>
      <c r="BA47" s="67">
        <f t="shared" si="27"/>
        <v>68.06</v>
      </c>
    </row>
    <row r="48" spans="1:53" ht="21.6" customHeight="1" x14ac:dyDescent="0.3">
      <c r="A48" s="2" t="s">
        <v>217</v>
      </c>
      <c r="B48" s="15" t="s">
        <v>77</v>
      </c>
      <c r="C48" s="3" t="s">
        <v>78</v>
      </c>
      <c r="D48" s="3" t="s">
        <v>53</v>
      </c>
      <c r="E48" s="3">
        <v>77997</v>
      </c>
      <c r="F48" s="3" t="s">
        <v>224</v>
      </c>
      <c r="G48" s="144">
        <v>248</v>
      </c>
      <c r="H48" s="394">
        <v>46034</v>
      </c>
      <c r="I48" s="50">
        <v>46097</v>
      </c>
      <c r="J48" s="15">
        <f t="shared" si="0"/>
        <v>63</v>
      </c>
      <c r="K48" s="3" t="s">
        <v>55</v>
      </c>
      <c r="L48" s="3" t="s">
        <v>56</v>
      </c>
      <c r="M48" s="15" t="s">
        <v>208</v>
      </c>
      <c r="N48" s="3" t="s">
        <v>219</v>
      </c>
      <c r="O48" s="3" t="s">
        <v>59</v>
      </c>
      <c r="P48" s="8">
        <v>22115.5</v>
      </c>
      <c r="Q48" s="44" t="s">
        <v>100</v>
      </c>
      <c r="R48" s="57">
        <f t="shared" si="21"/>
        <v>46034</v>
      </c>
      <c r="S48" s="13" t="s">
        <v>61</v>
      </c>
      <c r="T48" s="35">
        <v>46080</v>
      </c>
      <c r="U48" s="37">
        <v>46076</v>
      </c>
      <c r="V48" s="37">
        <f t="shared" si="28"/>
        <v>46097</v>
      </c>
      <c r="W48" s="59">
        <f t="shared" si="2"/>
        <v>63</v>
      </c>
      <c r="X48" s="59">
        <f t="shared" si="3"/>
        <v>42</v>
      </c>
      <c r="Y48" s="59">
        <f t="shared" si="4"/>
        <v>21</v>
      </c>
      <c r="Z48" s="39">
        <v>3436.13</v>
      </c>
      <c r="AA48" s="4" t="s">
        <v>141</v>
      </c>
      <c r="AB48" s="35">
        <v>46078</v>
      </c>
      <c r="AC48" s="13">
        <v>22115.5</v>
      </c>
      <c r="AD48" s="174">
        <v>7363</v>
      </c>
      <c r="AE48" s="13" t="s">
        <v>63</v>
      </c>
      <c r="AF48" s="35">
        <v>46085</v>
      </c>
      <c r="AG48" s="3" t="str">
        <f t="shared" si="20"/>
        <v>FOB</v>
      </c>
      <c r="AH48" s="13" t="s">
        <v>127</v>
      </c>
      <c r="AI48" s="36" t="e">
        <f>#REF!</f>
        <v>#REF!</v>
      </c>
      <c r="AJ48" s="36">
        <v>0</v>
      </c>
      <c r="AK48" s="142">
        <f t="shared" si="22"/>
        <v>0</v>
      </c>
      <c r="AL48" s="47">
        <v>46077</v>
      </c>
      <c r="AM48" s="153">
        <v>46077</v>
      </c>
      <c r="AN48" s="63">
        <f t="shared" si="23"/>
        <v>-8</v>
      </c>
      <c r="AO48" s="34" t="s">
        <v>65</v>
      </c>
      <c r="AP48" s="64">
        <f t="shared" si="18"/>
        <v>46097</v>
      </c>
      <c r="AQ48" s="64">
        <f t="shared" si="24"/>
        <v>46077</v>
      </c>
      <c r="AR48" s="65">
        <f t="shared" si="10"/>
        <v>63</v>
      </c>
      <c r="AS48" s="65">
        <f t="shared" si="11"/>
        <v>43</v>
      </c>
      <c r="AT48" s="157">
        <f t="shared" si="12"/>
        <v>20</v>
      </c>
      <c r="AU48" s="13"/>
      <c r="AV48" s="13" t="s">
        <v>59</v>
      </c>
      <c r="AW48" s="109">
        <f t="shared" si="19"/>
        <v>22115.5</v>
      </c>
      <c r="AX48" s="66">
        <f t="shared" si="25"/>
        <v>3436.13</v>
      </c>
      <c r="AY48" s="66"/>
      <c r="AZ48" s="66">
        <f t="shared" si="26"/>
        <v>0</v>
      </c>
      <c r="BA48" s="67">
        <f t="shared" si="27"/>
        <v>3436.13</v>
      </c>
    </row>
    <row r="49" spans="1:53" ht="21.6" customHeight="1" x14ac:dyDescent="0.3">
      <c r="A49" s="2" t="s">
        <v>225</v>
      </c>
      <c r="B49" s="15" t="s">
        <v>91</v>
      </c>
      <c r="C49" s="3" t="s">
        <v>52</v>
      </c>
      <c r="D49" s="3" t="s">
        <v>53</v>
      </c>
      <c r="E49" s="3" t="s">
        <v>53</v>
      </c>
      <c r="F49" s="3" t="s">
        <v>226</v>
      </c>
      <c r="G49" s="144">
        <v>249</v>
      </c>
      <c r="H49" s="394">
        <v>46034</v>
      </c>
      <c r="I49" s="50">
        <v>46050</v>
      </c>
      <c r="J49" s="15">
        <f t="shared" si="0"/>
        <v>16</v>
      </c>
      <c r="K49" s="3" t="s">
        <v>55</v>
      </c>
      <c r="L49" s="3" t="s">
        <v>56</v>
      </c>
      <c r="M49" s="15" t="s">
        <v>92</v>
      </c>
      <c r="N49" s="3" t="s">
        <v>227</v>
      </c>
      <c r="O49" s="3" t="s">
        <v>59</v>
      </c>
      <c r="P49" s="8">
        <v>30720</v>
      </c>
      <c r="Q49" s="44" t="s">
        <v>60</v>
      </c>
      <c r="R49" s="57">
        <f t="shared" si="21"/>
        <v>46034</v>
      </c>
      <c r="S49" s="13" t="s">
        <v>61</v>
      </c>
      <c r="T49" s="35">
        <v>46045</v>
      </c>
      <c r="U49" s="37">
        <v>46045</v>
      </c>
      <c r="V49" s="37">
        <f t="shared" si="28"/>
        <v>46050</v>
      </c>
      <c r="W49" s="59">
        <f t="shared" si="2"/>
        <v>16</v>
      </c>
      <c r="X49" s="59">
        <f t="shared" si="3"/>
        <v>11</v>
      </c>
      <c r="Y49" s="59">
        <f t="shared" si="4"/>
        <v>5</v>
      </c>
      <c r="Z49" s="39">
        <v>6569.61</v>
      </c>
      <c r="AA49" s="4" t="s">
        <v>74</v>
      </c>
      <c r="AB49" s="35">
        <v>46044</v>
      </c>
      <c r="AC49" s="13">
        <v>30720</v>
      </c>
      <c r="AD49" s="174">
        <v>7285</v>
      </c>
      <c r="AE49" s="13" t="s">
        <v>63</v>
      </c>
      <c r="AF49" s="35">
        <v>46048</v>
      </c>
      <c r="AG49" s="3" t="str">
        <f t="shared" si="20"/>
        <v>FOB</v>
      </c>
      <c r="AH49" s="13" t="s">
        <v>64</v>
      </c>
      <c r="AI49" s="36" t="e">
        <f>#REF!</f>
        <v>#REF!</v>
      </c>
      <c r="AJ49" s="36">
        <v>0</v>
      </c>
      <c r="AK49" s="142">
        <f t="shared" si="22"/>
        <v>0</v>
      </c>
      <c r="AL49" s="47">
        <v>46048</v>
      </c>
      <c r="AM49" s="153">
        <v>46048</v>
      </c>
      <c r="AN49" s="63">
        <f t="shared" si="23"/>
        <v>0</v>
      </c>
      <c r="AO49" s="34" t="s">
        <v>65</v>
      </c>
      <c r="AP49" s="64">
        <f t="shared" si="18"/>
        <v>46050</v>
      </c>
      <c r="AQ49" s="64">
        <f t="shared" si="24"/>
        <v>46048</v>
      </c>
      <c r="AR49" s="65">
        <f t="shared" si="10"/>
        <v>16</v>
      </c>
      <c r="AS49" s="65">
        <f t="shared" si="11"/>
        <v>14</v>
      </c>
      <c r="AT49" s="157">
        <f t="shared" si="12"/>
        <v>2</v>
      </c>
      <c r="AU49" s="13"/>
      <c r="AV49" s="13" t="s">
        <v>59</v>
      </c>
      <c r="AW49" s="109">
        <f t="shared" si="19"/>
        <v>30720</v>
      </c>
      <c r="AX49" s="66">
        <f t="shared" si="25"/>
        <v>6569.61</v>
      </c>
      <c r="AY49" s="66"/>
      <c r="AZ49" s="66">
        <f t="shared" si="26"/>
        <v>0</v>
      </c>
      <c r="BA49" s="67">
        <f t="shared" si="27"/>
        <v>6569.61</v>
      </c>
    </row>
    <row r="50" spans="1:53" ht="21.6" customHeight="1" x14ac:dyDescent="0.3">
      <c r="A50" s="2" t="s">
        <v>228</v>
      </c>
      <c r="B50" s="3" t="s">
        <v>51</v>
      </c>
      <c r="C50" s="3" t="s">
        <v>78</v>
      </c>
      <c r="D50" s="3" t="s">
        <v>53</v>
      </c>
      <c r="E50" s="3" t="s">
        <v>229</v>
      </c>
      <c r="F50" s="5" t="s">
        <v>230</v>
      </c>
      <c r="G50" s="144">
        <v>250</v>
      </c>
      <c r="H50" s="394">
        <v>46034</v>
      </c>
      <c r="I50" s="50">
        <v>46073</v>
      </c>
      <c r="J50" s="15">
        <f t="shared" si="0"/>
        <v>39</v>
      </c>
      <c r="K50" s="3" t="s">
        <v>70</v>
      </c>
      <c r="L50" s="3" t="s">
        <v>56</v>
      </c>
      <c r="M50" s="3" t="s">
        <v>57</v>
      </c>
      <c r="N50" s="3" t="s">
        <v>87</v>
      </c>
      <c r="O50" s="3" t="s">
        <v>59</v>
      </c>
      <c r="P50" s="8">
        <v>13218.29</v>
      </c>
      <c r="Q50" s="44" t="s">
        <v>100</v>
      </c>
      <c r="R50" s="57">
        <f t="shared" si="21"/>
        <v>46034</v>
      </c>
      <c r="S50" s="13" t="s">
        <v>61</v>
      </c>
      <c r="T50" s="35">
        <v>46065</v>
      </c>
      <c r="U50" s="37">
        <v>46064</v>
      </c>
      <c r="V50" s="37">
        <f t="shared" si="28"/>
        <v>46073</v>
      </c>
      <c r="W50" s="59">
        <f t="shared" si="2"/>
        <v>39</v>
      </c>
      <c r="X50" s="59">
        <f t="shared" si="3"/>
        <v>30</v>
      </c>
      <c r="Y50" s="59">
        <f t="shared" si="4"/>
        <v>9</v>
      </c>
      <c r="Z50" s="39">
        <v>2370.65</v>
      </c>
      <c r="AA50" s="4" t="s">
        <v>231</v>
      </c>
      <c r="AB50" s="35">
        <v>46066</v>
      </c>
      <c r="AC50" s="13">
        <v>13218.29</v>
      </c>
      <c r="AD50" s="175">
        <v>7340</v>
      </c>
      <c r="AE50" s="13" t="s">
        <v>63</v>
      </c>
      <c r="AF50" s="35">
        <v>46071</v>
      </c>
      <c r="AG50" s="3" t="str">
        <f t="shared" si="20"/>
        <v>CIF</v>
      </c>
      <c r="AH50" s="13" t="s">
        <v>127</v>
      </c>
      <c r="AI50" s="36" t="e">
        <f>#REF!</f>
        <v>#REF!</v>
      </c>
      <c r="AJ50" s="36">
        <v>750</v>
      </c>
      <c r="AK50" s="142">
        <f t="shared" si="22"/>
        <v>5.6739563135624956E-2</v>
      </c>
      <c r="AL50" s="47">
        <v>46073</v>
      </c>
      <c r="AM50" s="153">
        <v>46073</v>
      </c>
      <c r="AN50" s="63">
        <f t="shared" si="23"/>
        <v>2</v>
      </c>
      <c r="AO50" s="34" t="s">
        <v>65</v>
      </c>
      <c r="AP50" s="64">
        <f t="shared" si="18"/>
        <v>46073</v>
      </c>
      <c r="AQ50" s="64">
        <f t="shared" si="24"/>
        <v>46073</v>
      </c>
      <c r="AR50" s="65">
        <f t="shared" si="10"/>
        <v>39</v>
      </c>
      <c r="AS50" s="65">
        <f t="shared" si="11"/>
        <v>39</v>
      </c>
      <c r="AT50" s="157">
        <f t="shared" si="12"/>
        <v>0</v>
      </c>
      <c r="AU50" s="13" t="s">
        <v>232</v>
      </c>
      <c r="AV50" s="13" t="s">
        <v>59</v>
      </c>
      <c r="AW50" s="109">
        <f t="shared" si="19"/>
        <v>13218.29</v>
      </c>
      <c r="AX50" s="66">
        <f t="shared" si="25"/>
        <v>2370.65</v>
      </c>
      <c r="AY50" s="66"/>
      <c r="AZ50" s="66">
        <f t="shared" si="26"/>
        <v>750</v>
      </c>
      <c r="BA50" s="67">
        <f t="shared" si="27"/>
        <v>3120.65</v>
      </c>
    </row>
    <row r="51" spans="1:53" ht="21.6" customHeight="1" x14ac:dyDescent="0.3">
      <c r="A51" s="2" t="s">
        <v>233</v>
      </c>
      <c r="B51" s="3" t="s">
        <v>91</v>
      </c>
      <c r="C51" s="3" t="s">
        <v>78</v>
      </c>
      <c r="D51" s="3" t="s">
        <v>53</v>
      </c>
      <c r="E51" s="3" t="s">
        <v>234</v>
      </c>
      <c r="F51" s="3" t="s">
        <v>235</v>
      </c>
      <c r="G51" s="144">
        <v>251</v>
      </c>
      <c r="H51" s="394">
        <v>46035</v>
      </c>
      <c r="I51" s="50">
        <v>46083</v>
      </c>
      <c r="J51" s="15">
        <f t="shared" si="0"/>
        <v>48</v>
      </c>
      <c r="K51" s="3" t="s">
        <v>55</v>
      </c>
      <c r="L51" s="3" t="s">
        <v>56</v>
      </c>
      <c r="M51" s="3" t="s">
        <v>92</v>
      </c>
      <c r="N51" s="3" t="s">
        <v>236</v>
      </c>
      <c r="O51" s="3" t="s">
        <v>59</v>
      </c>
      <c r="P51" s="8">
        <v>2565.1999999999998</v>
      </c>
      <c r="Q51" s="44" t="s">
        <v>94</v>
      </c>
      <c r="R51" s="57">
        <f t="shared" si="21"/>
        <v>46035</v>
      </c>
      <c r="S51" s="13" t="s">
        <v>61</v>
      </c>
      <c r="T51" s="35">
        <v>46045</v>
      </c>
      <c r="U51" s="37">
        <v>46044</v>
      </c>
      <c r="V51" s="37">
        <f t="shared" si="28"/>
        <v>46083</v>
      </c>
      <c r="W51" s="59">
        <f t="shared" si="2"/>
        <v>48</v>
      </c>
      <c r="X51" s="59">
        <f t="shared" si="3"/>
        <v>9</v>
      </c>
      <c r="Y51" s="59">
        <f t="shared" si="4"/>
        <v>39</v>
      </c>
      <c r="Z51" s="39">
        <v>544.20000000000005</v>
      </c>
      <c r="AA51" s="4" t="s">
        <v>74</v>
      </c>
      <c r="AB51" s="35">
        <v>46045</v>
      </c>
      <c r="AC51" s="13">
        <v>2565.1999999999998</v>
      </c>
      <c r="AD51" s="174">
        <v>7293</v>
      </c>
      <c r="AE51" s="13" t="s">
        <v>63</v>
      </c>
      <c r="AF51" s="35">
        <v>46049</v>
      </c>
      <c r="AG51" s="3" t="str">
        <f t="shared" si="20"/>
        <v>FOB</v>
      </c>
      <c r="AH51" s="13" t="s">
        <v>237</v>
      </c>
      <c r="AI51" s="36" t="e">
        <f>#REF!</f>
        <v>#REF!</v>
      </c>
      <c r="AJ51" s="36">
        <v>0</v>
      </c>
      <c r="AK51" s="142">
        <f t="shared" si="22"/>
        <v>0</v>
      </c>
      <c r="AL51" s="47">
        <v>46045</v>
      </c>
      <c r="AM51" s="153">
        <v>46045</v>
      </c>
      <c r="AN51" s="63">
        <f t="shared" si="23"/>
        <v>-4</v>
      </c>
      <c r="AO51" s="34" t="s">
        <v>65</v>
      </c>
      <c r="AP51" s="64">
        <f t="shared" si="18"/>
        <v>46083</v>
      </c>
      <c r="AQ51" s="64">
        <f t="shared" si="24"/>
        <v>46045</v>
      </c>
      <c r="AR51" s="65">
        <f t="shared" si="10"/>
        <v>48</v>
      </c>
      <c r="AS51" s="65">
        <f t="shared" si="11"/>
        <v>10</v>
      </c>
      <c r="AT51" s="157">
        <f t="shared" si="12"/>
        <v>38</v>
      </c>
      <c r="AU51" s="13"/>
      <c r="AV51" s="13" t="s">
        <v>59</v>
      </c>
      <c r="AW51" s="109">
        <f t="shared" si="19"/>
        <v>2565.1999999999998</v>
      </c>
      <c r="AX51" s="66">
        <f t="shared" si="25"/>
        <v>544.20000000000005</v>
      </c>
      <c r="AY51" s="66"/>
      <c r="AZ51" s="66">
        <f t="shared" si="26"/>
        <v>0</v>
      </c>
      <c r="BA51" s="67">
        <f t="shared" si="27"/>
        <v>544.20000000000005</v>
      </c>
    </row>
    <row r="52" spans="1:53" ht="21.6" customHeight="1" x14ac:dyDescent="0.3">
      <c r="A52" s="2" t="s">
        <v>95</v>
      </c>
      <c r="B52" s="3" t="s">
        <v>96</v>
      </c>
      <c r="C52" s="3" t="s">
        <v>78</v>
      </c>
      <c r="D52" s="3" t="s">
        <v>97</v>
      </c>
      <c r="E52" s="3">
        <v>4500010451</v>
      </c>
      <c r="F52" s="3" t="s">
        <v>53</v>
      </c>
      <c r="G52" s="144">
        <v>255</v>
      </c>
      <c r="H52" s="394">
        <v>46035</v>
      </c>
      <c r="I52" s="50">
        <v>46079</v>
      </c>
      <c r="J52" s="15">
        <f t="shared" si="0"/>
        <v>44</v>
      </c>
      <c r="K52" s="3" t="s">
        <v>70</v>
      </c>
      <c r="L52" s="3" t="s">
        <v>56</v>
      </c>
      <c r="M52" s="3" t="s">
        <v>98</v>
      </c>
      <c r="N52" s="3" t="s">
        <v>99</v>
      </c>
      <c r="O52" s="3" t="s">
        <v>59</v>
      </c>
      <c r="P52" s="8">
        <v>80393.84</v>
      </c>
      <c r="Q52" s="44" t="s">
        <v>60</v>
      </c>
      <c r="R52" s="57">
        <f t="shared" si="21"/>
        <v>46035</v>
      </c>
      <c r="S52" s="13" t="s">
        <v>61</v>
      </c>
      <c r="T52" s="35">
        <v>46077</v>
      </c>
      <c r="U52" s="37">
        <v>46072</v>
      </c>
      <c r="V52" s="37">
        <f t="shared" si="28"/>
        <v>46079</v>
      </c>
      <c r="W52" s="59">
        <f t="shared" si="2"/>
        <v>44</v>
      </c>
      <c r="X52" s="59">
        <f t="shared" si="3"/>
        <v>37</v>
      </c>
      <c r="Y52" s="59">
        <f t="shared" si="4"/>
        <v>7</v>
      </c>
      <c r="Z52" s="39">
        <v>33009.94</v>
      </c>
      <c r="AA52" s="4" t="s">
        <v>238</v>
      </c>
      <c r="AB52" s="35">
        <v>46076</v>
      </c>
      <c r="AC52" s="13">
        <v>80393.84</v>
      </c>
      <c r="AD52" s="175">
        <v>7356</v>
      </c>
      <c r="AE52" s="13" t="s">
        <v>63</v>
      </c>
      <c r="AF52" s="35">
        <v>46077</v>
      </c>
      <c r="AG52" s="3" t="str">
        <f t="shared" si="20"/>
        <v>CIF</v>
      </c>
      <c r="AH52" s="13" t="s">
        <v>64</v>
      </c>
      <c r="AI52" s="36" t="e">
        <f>#REF!</f>
        <v>#REF!</v>
      </c>
      <c r="AJ52" s="36">
        <v>0</v>
      </c>
      <c r="AK52" s="142">
        <f t="shared" si="22"/>
        <v>0</v>
      </c>
      <c r="AL52" s="47">
        <v>46077</v>
      </c>
      <c r="AM52" s="153">
        <v>46077</v>
      </c>
      <c r="AN52" s="63">
        <f t="shared" si="23"/>
        <v>0</v>
      </c>
      <c r="AO52" s="34" t="s">
        <v>65</v>
      </c>
      <c r="AP52" s="64">
        <f t="shared" ref="AP52:AP83" si="29">I52</f>
        <v>46079</v>
      </c>
      <c r="AQ52" s="64">
        <f t="shared" si="24"/>
        <v>46077</v>
      </c>
      <c r="AR52" s="65">
        <f t="shared" si="10"/>
        <v>44</v>
      </c>
      <c r="AS52" s="65">
        <f t="shared" si="11"/>
        <v>42</v>
      </c>
      <c r="AT52" s="157">
        <f t="shared" si="12"/>
        <v>2</v>
      </c>
      <c r="AU52" s="13"/>
      <c r="AV52" s="13" t="s">
        <v>59</v>
      </c>
      <c r="AW52" s="109">
        <f t="shared" si="19"/>
        <v>80393.84</v>
      </c>
      <c r="AX52" s="66">
        <f t="shared" si="25"/>
        <v>33009.94</v>
      </c>
      <c r="AY52" s="66"/>
      <c r="AZ52" s="66">
        <f t="shared" si="26"/>
        <v>0</v>
      </c>
      <c r="BA52" s="67">
        <f t="shared" si="27"/>
        <v>33009.94</v>
      </c>
    </row>
    <row r="53" spans="1:53" ht="21.6" customHeight="1" x14ac:dyDescent="0.3">
      <c r="A53" s="113" t="s">
        <v>239</v>
      </c>
      <c r="B53" s="3" t="s">
        <v>163</v>
      </c>
      <c r="C53" s="3" t="s">
        <v>78</v>
      </c>
      <c r="D53" s="3" t="s">
        <v>53</v>
      </c>
      <c r="E53" s="3" t="s">
        <v>240</v>
      </c>
      <c r="F53" s="3" t="s">
        <v>241</v>
      </c>
      <c r="G53" s="111">
        <v>257</v>
      </c>
      <c r="H53" s="394">
        <v>46036</v>
      </c>
      <c r="I53" s="50">
        <v>46057</v>
      </c>
      <c r="J53" s="15">
        <f t="shared" si="0"/>
        <v>21</v>
      </c>
      <c r="K53" s="3" t="s">
        <v>55</v>
      </c>
      <c r="L53" s="3" t="s">
        <v>56</v>
      </c>
      <c r="M53" s="3" t="s">
        <v>242</v>
      </c>
      <c r="N53" s="3" t="s">
        <v>243</v>
      </c>
      <c r="O53" s="3" t="s">
        <v>59</v>
      </c>
      <c r="P53" s="16">
        <v>1999.8</v>
      </c>
      <c r="Q53" s="44" t="s">
        <v>94</v>
      </c>
      <c r="R53" s="57">
        <f t="shared" si="21"/>
        <v>46036</v>
      </c>
      <c r="S53" s="13" t="s">
        <v>61</v>
      </c>
      <c r="T53" s="35">
        <v>46045</v>
      </c>
      <c r="U53" s="37">
        <v>46043</v>
      </c>
      <c r="V53" s="37">
        <f t="shared" si="28"/>
        <v>46057</v>
      </c>
      <c r="W53" s="59">
        <f t="shared" si="2"/>
        <v>21</v>
      </c>
      <c r="X53" s="59">
        <f t="shared" si="3"/>
        <v>7</v>
      </c>
      <c r="Y53" s="59">
        <f t="shared" si="4"/>
        <v>14</v>
      </c>
      <c r="Z53" s="39">
        <v>126.19</v>
      </c>
      <c r="AA53" s="4" t="s">
        <v>74</v>
      </c>
      <c r="AB53" s="35">
        <v>46044</v>
      </c>
      <c r="AC53" s="13">
        <v>1999.8</v>
      </c>
      <c r="AD53" s="174">
        <v>7281</v>
      </c>
      <c r="AE53" s="13" t="s">
        <v>63</v>
      </c>
      <c r="AF53" s="35">
        <v>46045</v>
      </c>
      <c r="AG53" s="3" t="str">
        <f t="shared" si="20"/>
        <v>FOB</v>
      </c>
      <c r="AH53" s="13" t="s">
        <v>180</v>
      </c>
      <c r="AI53" s="36" t="e">
        <f>#REF!</f>
        <v>#REF!</v>
      </c>
      <c r="AJ53" s="36">
        <v>0</v>
      </c>
      <c r="AK53" s="142">
        <f t="shared" si="22"/>
        <v>0</v>
      </c>
      <c r="AL53" s="47">
        <v>46043</v>
      </c>
      <c r="AM53" s="153">
        <v>46043</v>
      </c>
      <c r="AN53" s="63">
        <f t="shared" si="23"/>
        <v>-2</v>
      </c>
      <c r="AO53" s="34" t="s">
        <v>65</v>
      </c>
      <c r="AP53" s="64">
        <f t="shared" si="29"/>
        <v>46057</v>
      </c>
      <c r="AQ53" s="64">
        <f t="shared" si="24"/>
        <v>46043</v>
      </c>
      <c r="AR53" s="65">
        <f t="shared" si="10"/>
        <v>21</v>
      </c>
      <c r="AS53" s="65">
        <f t="shared" si="11"/>
        <v>7</v>
      </c>
      <c r="AT53" s="157">
        <f t="shared" si="12"/>
        <v>14</v>
      </c>
      <c r="AU53" s="13"/>
      <c r="AV53" s="13" t="s">
        <v>59</v>
      </c>
      <c r="AW53" s="109">
        <f t="shared" ref="AW53:AW84" si="30">AC53</f>
        <v>1999.8</v>
      </c>
      <c r="AX53" s="66">
        <f t="shared" si="25"/>
        <v>126.19</v>
      </c>
      <c r="AY53" s="66"/>
      <c r="AZ53" s="66">
        <f t="shared" si="26"/>
        <v>0</v>
      </c>
      <c r="BA53" s="67">
        <f t="shared" si="27"/>
        <v>126.19</v>
      </c>
    </row>
    <row r="54" spans="1:53" ht="21.6" customHeight="1" x14ac:dyDescent="0.3">
      <c r="A54" s="113" t="s">
        <v>95</v>
      </c>
      <c r="B54" s="3" t="s">
        <v>96</v>
      </c>
      <c r="C54" s="3" t="s">
        <v>78</v>
      </c>
      <c r="D54" s="3" t="s">
        <v>53</v>
      </c>
      <c r="E54" s="3">
        <v>4500010450</v>
      </c>
      <c r="F54" s="3" t="s">
        <v>244</v>
      </c>
      <c r="G54" s="111">
        <v>258</v>
      </c>
      <c r="H54" s="394">
        <v>46036</v>
      </c>
      <c r="I54" s="50">
        <v>46066</v>
      </c>
      <c r="J54" s="15">
        <f t="shared" si="0"/>
        <v>30</v>
      </c>
      <c r="K54" s="3" t="s">
        <v>70</v>
      </c>
      <c r="L54" s="3" t="s">
        <v>56</v>
      </c>
      <c r="M54" s="3" t="s">
        <v>98</v>
      </c>
      <c r="N54" s="3" t="s">
        <v>99</v>
      </c>
      <c r="O54" s="3" t="s">
        <v>59</v>
      </c>
      <c r="P54" s="16">
        <v>68274.600000000006</v>
      </c>
      <c r="Q54" s="44" t="s">
        <v>60</v>
      </c>
      <c r="R54" s="57">
        <f t="shared" si="21"/>
        <v>46036</v>
      </c>
      <c r="S54" s="13" t="s">
        <v>61</v>
      </c>
      <c r="T54" s="35">
        <v>46056</v>
      </c>
      <c r="U54" s="37">
        <v>46056</v>
      </c>
      <c r="V54" s="37">
        <f t="shared" si="28"/>
        <v>46066</v>
      </c>
      <c r="W54" s="59">
        <f t="shared" si="2"/>
        <v>30</v>
      </c>
      <c r="X54" s="59">
        <f t="shared" si="3"/>
        <v>20</v>
      </c>
      <c r="Y54" s="59">
        <f t="shared" si="4"/>
        <v>10</v>
      </c>
      <c r="Z54" s="39">
        <v>12475.97</v>
      </c>
      <c r="AA54" s="4" t="s">
        <v>200</v>
      </c>
      <c r="AB54" s="35">
        <v>46057</v>
      </c>
      <c r="AC54" s="13">
        <v>68274.600000000006</v>
      </c>
      <c r="AD54" s="175">
        <v>7313</v>
      </c>
      <c r="AE54" s="13" t="s">
        <v>63</v>
      </c>
      <c r="AF54" s="35">
        <v>46057</v>
      </c>
      <c r="AG54" s="3" t="str">
        <f t="shared" si="20"/>
        <v>CIF</v>
      </c>
      <c r="AH54" s="13" t="s">
        <v>245</v>
      </c>
      <c r="AI54" s="36" t="e">
        <f>#REF!</f>
        <v>#REF!</v>
      </c>
      <c r="AJ54" s="36">
        <v>1300</v>
      </c>
      <c r="AK54" s="142">
        <f t="shared" si="22"/>
        <v>1.9040756005893843E-2</v>
      </c>
      <c r="AL54" s="47">
        <v>46065</v>
      </c>
      <c r="AM54" s="153">
        <v>46062</v>
      </c>
      <c r="AN54" s="63">
        <f t="shared" si="23"/>
        <v>5</v>
      </c>
      <c r="AO54" s="34" t="s">
        <v>65</v>
      </c>
      <c r="AP54" s="64">
        <f t="shared" si="29"/>
        <v>46066</v>
      </c>
      <c r="AQ54" s="64">
        <f t="shared" si="24"/>
        <v>46062</v>
      </c>
      <c r="AR54" s="65">
        <f t="shared" si="10"/>
        <v>30</v>
      </c>
      <c r="AS54" s="65">
        <f t="shared" si="11"/>
        <v>26</v>
      </c>
      <c r="AT54" s="157">
        <f t="shared" si="12"/>
        <v>4</v>
      </c>
      <c r="AU54" s="13"/>
      <c r="AV54" s="13" t="s">
        <v>59</v>
      </c>
      <c r="AW54" s="109">
        <f t="shared" si="30"/>
        <v>68274.600000000006</v>
      </c>
      <c r="AX54" s="66">
        <f t="shared" si="25"/>
        <v>12475.97</v>
      </c>
      <c r="AY54" s="66"/>
      <c r="AZ54" s="66">
        <f t="shared" si="26"/>
        <v>1300</v>
      </c>
      <c r="BA54" s="67">
        <f t="shared" si="27"/>
        <v>13775.97</v>
      </c>
    </row>
    <row r="55" spans="1:53" ht="21.6" customHeight="1" x14ac:dyDescent="0.3">
      <c r="A55" s="113" t="s">
        <v>246</v>
      </c>
      <c r="B55" s="3" t="s">
        <v>91</v>
      </c>
      <c r="C55" s="3" t="s">
        <v>52</v>
      </c>
      <c r="D55" s="3" t="s">
        <v>53</v>
      </c>
      <c r="E55" s="3" t="s">
        <v>53</v>
      </c>
      <c r="F55" s="3" t="s">
        <v>247</v>
      </c>
      <c r="G55" s="111">
        <v>263</v>
      </c>
      <c r="H55" s="394">
        <v>46041</v>
      </c>
      <c r="I55" s="50">
        <v>46045</v>
      </c>
      <c r="J55" s="15">
        <f t="shared" si="0"/>
        <v>4</v>
      </c>
      <c r="K55" s="3" t="s">
        <v>55</v>
      </c>
      <c r="L55" s="3" t="s">
        <v>56</v>
      </c>
      <c r="M55" s="3" t="s">
        <v>92</v>
      </c>
      <c r="N55" s="3" t="s">
        <v>248</v>
      </c>
      <c r="O55" s="3" t="s">
        <v>59</v>
      </c>
      <c r="P55" s="16">
        <v>26420</v>
      </c>
      <c r="Q55" s="44" t="s">
        <v>60</v>
      </c>
      <c r="R55" s="57">
        <f t="shared" si="21"/>
        <v>46041</v>
      </c>
      <c r="S55" s="13" t="s">
        <v>61</v>
      </c>
      <c r="T55" s="35">
        <v>46042</v>
      </c>
      <c r="U55" s="37">
        <v>46042</v>
      </c>
      <c r="V55" s="37">
        <f t="shared" si="28"/>
        <v>46045</v>
      </c>
      <c r="W55" s="59">
        <f t="shared" si="2"/>
        <v>4</v>
      </c>
      <c r="X55" s="59">
        <f t="shared" si="3"/>
        <v>1</v>
      </c>
      <c r="Y55" s="59">
        <f t="shared" si="4"/>
        <v>3</v>
      </c>
      <c r="Z55" s="39">
        <v>2192.61</v>
      </c>
      <c r="AA55" s="4" t="s">
        <v>74</v>
      </c>
      <c r="AB55" s="35">
        <v>46042</v>
      </c>
      <c r="AC55" s="13">
        <v>26420</v>
      </c>
      <c r="AD55" s="174">
        <v>7271</v>
      </c>
      <c r="AE55" s="13" t="s">
        <v>63</v>
      </c>
      <c r="AF55" s="35">
        <v>46042</v>
      </c>
      <c r="AG55" s="3" t="str">
        <f t="shared" si="20"/>
        <v>FOB</v>
      </c>
      <c r="AH55" s="13" t="s">
        <v>249</v>
      </c>
      <c r="AI55" s="36" t="e">
        <f>#REF!</f>
        <v>#REF!</v>
      </c>
      <c r="AJ55" s="36">
        <v>0</v>
      </c>
      <c r="AK55" s="142">
        <f t="shared" si="22"/>
        <v>0</v>
      </c>
      <c r="AL55" s="47">
        <v>46042</v>
      </c>
      <c r="AM55" s="153">
        <v>46042</v>
      </c>
      <c r="AN55" s="63">
        <f t="shared" si="23"/>
        <v>0</v>
      </c>
      <c r="AO55" s="34" t="s">
        <v>65</v>
      </c>
      <c r="AP55" s="64">
        <f t="shared" si="29"/>
        <v>46045</v>
      </c>
      <c r="AQ55" s="64">
        <f t="shared" si="24"/>
        <v>46042</v>
      </c>
      <c r="AR55" s="65">
        <f t="shared" si="10"/>
        <v>4</v>
      </c>
      <c r="AS55" s="65">
        <f t="shared" si="11"/>
        <v>1</v>
      </c>
      <c r="AT55" s="157">
        <f t="shared" si="12"/>
        <v>3</v>
      </c>
      <c r="AU55" s="13" t="s">
        <v>250</v>
      </c>
      <c r="AV55" s="13" t="s">
        <v>116</v>
      </c>
      <c r="AW55" s="109">
        <f t="shared" si="30"/>
        <v>26420</v>
      </c>
      <c r="AX55" s="66">
        <f t="shared" si="25"/>
        <v>2192.61</v>
      </c>
      <c r="AY55" s="66"/>
      <c r="AZ55" s="66">
        <f t="shared" si="26"/>
        <v>0</v>
      </c>
      <c r="BA55" s="67">
        <f t="shared" si="27"/>
        <v>2192.61</v>
      </c>
    </row>
    <row r="56" spans="1:53" ht="21.6" customHeight="1" x14ac:dyDescent="0.3">
      <c r="A56" s="113" t="s">
        <v>90</v>
      </c>
      <c r="B56" s="3" t="s">
        <v>91</v>
      </c>
      <c r="C56" s="3" t="s">
        <v>78</v>
      </c>
      <c r="D56" s="3" t="s">
        <v>53</v>
      </c>
      <c r="E56" s="3">
        <v>4412311331</v>
      </c>
      <c r="F56" s="3" t="s">
        <v>53</v>
      </c>
      <c r="G56" s="111">
        <v>264</v>
      </c>
      <c r="H56" s="394">
        <v>46041</v>
      </c>
      <c r="I56" s="50">
        <v>46059</v>
      </c>
      <c r="J56" s="15">
        <f t="shared" si="0"/>
        <v>18</v>
      </c>
      <c r="K56" s="3" t="s">
        <v>70</v>
      </c>
      <c r="L56" s="3" t="s">
        <v>56</v>
      </c>
      <c r="M56" s="3" t="s">
        <v>92</v>
      </c>
      <c r="N56" s="3" t="s">
        <v>93</v>
      </c>
      <c r="O56" s="3" t="s">
        <v>59</v>
      </c>
      <c r="P56" s="16">
        <v>17808</v>
      </c>
      <c r="Q56" s="44" t="s">
        <v>100</v>
      </c>
      <c r="R56" s="57">
        <f t="shared" si="21"/>
        <v>46041</v>
      </c>
      <c r="S56" s="13" t="s">
        <v>61</v>
      </c>
      <c r="T56" s="35">
        <v>46059</v>
      </c>
      <c r="U56" s="37">
        <v>46059</v>
      </c>
      <c r="V56" s="37">
        <f t="shared" si="28"/>
        <v>46059</v>
      </c>
      <c r="W56" s="59">
        <f t="shared" si="2"/>
        <v>18</v>
      </c>
      <c r="X56" s="59">
        <f t="shared" si="3"/>
        <v>18</v>
      </c>
      <c r="Y56" s="59">
        <f t="shared" si="4"/>
        <v>0</v>
      </c>
      <c r="Z56" s="143"/>
      <c r="AA56" s="4" t="s">
        <v>200</v>
      </c>
      <c r="AB56" s="35">
        <v>46059</v>
      </c>
      <c r="AC56" s="13">
        <v>17808</v>
      </c>
      <c r="AD56" s="175">
        <v>7323</v>
      </c>
      <c r="AE56" s="13" t="s">
        <v>63</v>
      </c>
      <c r="AF56" s="35">
        <v>46059</v>
      </c>
      <c r="AG56" s="3" t="str">
        <f t="shared" si="20"/>
        <v>CIF</v>
      </c>
      <c r="AH56" s="13" t="s">
        <v>64</v>
      </c>
      <c r="AI56" s="36" t="e">
        <f>#REF!</f>
        <v>#REF!</v>
      </c>
      <c r="AJ56" s="36">
        <v>0</v>
      </c>
      <c r="AK56" s="142">
        <f t="shared" si="22"/>
        <v>0</v>
      </c>
      <c r="AL56" s="47">
        <v>46059</v>
      </c>
      <c r="AM56" s="153">
        <v>46059</v>
      </c>
      <c r="AN56" s="63">
        <f t="shared" si="23"/>
        <v>0</v>
      </c>
      <c r="AO56" s="34" t="s">
        <v>65</v>
      </c>
      <c r="AP56" s="64">
        <f t="shared" si="29"/>
        <v>46059</v>
      </c>
      <c r="AQ56" s="64">
        <f t="shared" si="24"/>
        <v>46059</v>
      </c>
      <c r="AR56" s="65">
        <f t="shared" si="10"/>
        <v>18</v>
      </c>
      <c r="AS56" s="65">
        <f t="shared" si="11"/>
        <v>18</v>
      </c>
      <c r="AT56" s="157">
        <f t="shared" si="12"/>
        <v>0</v>
      </c>
      <c r="AU56" s="13"/>
      <c r="AV56" s="13" t="s">
        <v>59</v>
      </c>
      <c r="AW56" s="109">
        <f t="shared" si="30"/>
        <v>17808</v>
      </c>
      <c r="AX56" s="66">
        <f t="shared" si="25"/>
        <v>0</v>
      </c>
      <c r="AY56" s="66"/>
      <c r="AZ56" s="66">
        <f t="shared" si="26"/>
        <v>0</v>
      </c>
      <c r="BA56" s="67">
        <f t="shared" si="27"/>
        <v>0</v>
      </c>
    </row>
    <row r="57" spans="1:53" ht="21.6" customHeight="1" x14ac:dyDescent="0.3">
      <c r="A57" s="113" t="s">
        <v>90</v>
      </c>
      <c r="B57" s="3" t="s">
        <v>91</v>
      </c>
      <c r="C57" s="3" t="s">
        <v>78</v>
      </c>
      <c r="D57" s="3" t="s">
        <v>53</v>
      </c>
      <c r="E57" s="3">
        <v>4412309537</v>
      </c>
      <c r="F57" s="3" t="s">
        <v>53</v>
      </c>
      <c r="G57" s="111">
        <v>265</v>
      </c>
      <c r="H57" s="394">
        <v>46041</v>
      </c>
      <c r="I57" s="50">
        <v>46059</v>
      </c>
      <c r="J57" s="15">
        <f t="shared" si="0"/>
        <v>18</v>
      </c>
      <c r="K57" s="3" t="s">
        <v>70</v>
      </c>
      <c r="L57" s="3" t="s">
        <v>56</v>
      </c>
      <c r="M57" s="3" t="s">
        <v>92</v>
      </c>
      <c r="N57" s="3" t="s">
        <v>93</v>
      </c>
      <c r="O57" s="3" t="s">
        <v>59</v>
      </c>
      <c r="P57" s="16">
        <v>1436</v>
      </c>
      <c r="Q57" s="44" t="s">
        <v>100</v>
      </c>
      <c r="R57" s="57">
        <f t="shared" si="21"/>
        <v>46041</v>
      </c>
      <c r="S57" s="13" t="s">
        <v>61</v>
      </c>
      <c r="T57" s="35">
        <v>46059</v>
      </c>
      <c r="U57" s="37">
        <v>46059</v>
      </c>
      <c r="V57" s="37">
        <f t="shared" si="28"/>
        <v>46059</v>
      </c>
      <c r="W57" s="59">
        <f t="shared" si="2"/>
        <v>18</v>
      </c>
      <c r="X57" s="59">
        <f t="shared" si="3"/>
        <v>18</v>
      </c>
      <c r="Y57" s="59">
        <f t="shared" si="4"/>
        <v>0</v>
      </c>
      <c r="Z57" s="39">
        <v>142.97</v>
      </c>
      <c r="AA57" s="4" t="s">
        <v>200</v>
      </c>
      <c r="AB57" s="35">
        <v>46059</v>
      </c>
      <c r="AC57" s="13">
        <v>1436</v>
      </c>
      <c r="AD57" s="175">
        <v>7322</v>
      </c>
      <c r="AE57" s="13" t="s">
        <v>63</v>
      </c>
      <c r="AF57" s="35">
        <v>46059</v>
      </c>
      <c r="AG57" s="3" t="str">
        <f t="shared" si="20"/>
        <v>CIF</v>
      </c>
      <c r="AH57" s="13" t="s">
        <v>64</v>
      </c>
      <c r="AI57" s="36" t="e">
        <f>#REF!</f>
        <v>#REF!</v>
      </c>
      <c r="AJ57" s="36">
        <v>0</v>
      </c>
      <c r="AK57" s="142">
        <f t="shared" si="22"/>
        <v>0</v>
      </c>
      <c r="AL57" s="47">
        <v>46059</v>
      </c>
      <c r="AM57" s="153">
        <v>46059</v>
      </c>
      <c r="AN57" s="63">
        <f t="shared" si="23"/>
        <v>0</v>
      </c>
      <c r="AO57" s="34" t="s">
        <v>65</v>
      </c>
      <c r="AP57" s="64">
        <f t="shared" si="29"/>
        <v>46059</v>
      </c>
      <c r="AQ57" s="64">
        <f t="shared" si="24"/>
        <v>46059</v>
      </c>
      <c r="AR57" s="65">
        <f t="shared" si="10"/>
        <v>18</v>
      </c>
      <c r="AS57" s="65">
        <f t="shared" si="11"/>
        <v>18</v>
      </c>
      <c r="AT57" s="157">
        <f t="shared" si="12"/>
        <v>0</v>
      </c>
      <c r="AU57" s="13"/>
      <c r="AV57" s="13" t="s">
        <v>59</v>
      </c>
      <c r="AW57" s="109">
        <f t="shared" si="30"/>
        <v>1436</v>
      </c>
      <c r="AX57" s="66">
        <f t="shared" si="25"/>
        <v>142.97</v>
      </c>
      <c r="AY57" s="66"/>
      <c r="AZ57" s="66">
        <f t="shared" si="26"/>
        <v>0</v>
      </c>
      <c r="BA57" s="67">
        <f t="shared" si="27"/>
        <v>142.97</v>
      </c>
    </row>
    <row r="58" spans="1:53" ht="21" customHeight="1" x14ac:dyDescent="0.3">
      <c r="A58" s="113" t="s">
        <v>251</v>
      </c>
      <c r="B58" s="3" t="s">
        <v>91</v>
      </c>
      <c r="C58" s="3" t="s">
        <v>52</v>
      </c>
      <c r="D58" s="3" t="s">
        <v>53</v>
      </c>
      <c r="E58" s="3">
        <v>4501917663</v>
      </c>
      <c r="F58" s="3" t="s">
        <v>53</v>
      </c>
      <c r="G58" s="111">
        <v>266</v>
      </c>
      <c r="H58" s="394">
        <v>46042</v>
      </c>
      <c r="I58" s="50">
        <v>46094</v>
      </c>
      <c r="J58" s="15">
        <f t="shared" si="0"/>
        <v>52</v>
      </c>
      <c r="K58" s="3" t="s">
        <v>70</v>
      </c>
      <c r="L58" s="3" t="s">
        <v>56</v>
      </c>
      <c r="M58" s="3" t="s">
        <v>92</v>
      </c>
      <c r="N58" s="3" t="s">
        <v>252</v>
      </c>
      <c r="O58" s="3" t="s">
        <v>59</v>
      </c>
      <c r="P58" s="16">
        <v>9266.74</v>
      </c>
      <c r="Q58" s="44" t="s">
        <v>60</v>
      </c>
      <c r="R58" s="57">
        <f t="shared" si="21"/>
        <v>46042</v>
      </c>
      <c r="S58" s="13" t="s">
        <v>61</v>
      </c>
      <c r="T58" s="35">
        <v>46058</v>
      </c>
      <c r="U58" s="37">
        <v>46051</v>
      </c>
      <c r="V58" s="37">
        <f t="shared" si="28"/>
        <v>46094</v>
      </c>
      <c r="W58" s="59">
        <f t="shared" si="2"/>
        <v>52</v>
      </c>
      <c r="X58" s="59">
        <f t="shared" si="3"/>
        <v>9</v>
      </c>
      <c r="Y58" s="59">
        <f t="shared" si="4"/>
        <v>43</v>
      </c>
      <c r="Z58" s="39">
        <v>2244.15</v>
      </c>
      <c r="AA58" s="4" t="s">
        <v>62</v>
      </c>
      <c r="AB58" s="35">
        <v>46052</v>
      </c>
      <c r="AC58" s="13">
        <v>9266.74</v>
      </c>
      <c r="AD58" s="175">
        <v>7303</v>
      </c>
      <c r="AE58" s="13" t="s">
        <v>63</v>
      </c>
      <c r="AF58" s="35">
        <v>46052</v>
      </c>
      <c r="AG58" s="3" t="str">
        <f t="shared" si="20"/>
        <v>CIF</v>
      </c>
      <c r="AH58" s="13" t="s">
        <v>64</v>
      </c>
      <c r="AI58" s="36" t="e">
        <f>#REF!</f>
        <v>#REF!</v>
      </c>
      <c r="AJ58" s="36">
        <v>0</v>
      </c>
      <c r="AK58" s="142">
        <f t="shared" si="22"/>
        <v>0</v>
      </c>
      <c r="AL58" s="47">
        <v>46052</v>
      </c>
      <c r="AM58" s="153">
        <v>46052</v>
      </c>
      <c r="AN58" s="63">
        <f t="shared" si="23"/>
        <v>0</v>
      </c>
      <c r="AO58" s="34" t="s">
        <v>65</v>
      </c>
      <c r="AP58" s="64">
        <f t="shared" si="29"/>
        <v>46094</v>
      </c>
      <c r="AQ58" s="64">
        <f t="shared" si="24"/>
        <v>46052</v>
      </c>
      <c r="AR58" s="65">
        <f t="shared" si="10"/>
        <v>52</v>
      </c>
      <c r="AS58" s="65">
        <f t="shared" si="11"/>
        <v>10</v>
      </c>
      <c r="AT58" s="157">
        <f t="shared" si="12"/>
        <v>42</v>
      </c>
      <c r="AU58" s="13"/>
      <c r="AV58" s="13" t="s">
        <v>59</v>
      </c>
      <c r="AW58" s="109">
        <f t="shared" si="30"/>
        <v>9266.74</v>
      </c>
      <c r="AX58" s="66">
        <f t="shared" si="25"/>
        <v>2244.15</v>
      </c>
      <c r="AY58" s="66"/>
      <c r="AZ58" s="66">
        <f t="shared" si="26"/>
        <v>0</v>
      </c>
      <c r="BA58" s="67">
        <f t="shared" si="27"/>
        <v>2244.15</v>
      </c>
    </row>
    <row r="59" spans="1:53" ht="21.6" customHeight="1" x14ac:dyDescent="0.3">
      <c r="A59" s="113" t="s">
        <v>253</v>
      </c>
      <c r="B59" s="3" t="s">
        <v>96</v>
      </c>
      <c r="C59" s="3" t="s">
        <v>78</v>
      </c>
      <c r="D59" s="3" t="s">
        <v>53</v>
      </c>
      <c r="E59" s="3">
        <v>112387455</v>
      </c>
      <c r="F59" s="3" t="s">
        <v>254</v>
      </c>
      <c r="G59" s="111">
        <v>269</v>
      </c>
      <c r="H59" s="394">
        <v>46042</v>
      </c>
      <c r="I59" s="50">
        <v>46072</v>
      </c>
      <c r="J59" s="15">
        <f t="shared" si="0"/>
        <v>30</v>
      </c>
      <c r="K59" s="3" t="s">
        <v>55</v>
      </c>
      <c r="L59" s="3" t="s">
        <v>56</v>
      </c>
      <c r="M59" s="3" t="s">
        <v>255</v>
      </c>
      <c r="N59" s="3" t="s">
        <v>256</v>
      </c>
      <c r="O59" s="3" t="s">
        <v>59</v>
      </c>
      <c r="P59" s="16">
        <v>3816.7</v>
      </c>
      <c r="Q59" s="44" t="s">
        <v>100</v>
      </c>
      <c r="R59" s="57">
        <f t="shared" si="21"/>
        <v>46042</v>
      </c>
      <c r="S59" s="13" t="s">
        <v>61</v>
      </c>
      <c r="T59" s="35">
        <v>46056</v>
      </c>
      <c r="U59" s="37">
        <v>46056</v>
      </c>
      <c r="V59" s="37">
        <f t="shared" si="28"/>
        <v>46072</v>
      </c>
      <c r="W59" s="59">
        <f t="shared" si="2"/>
        <v>30</v>
      </c>
      <c r="X59" s="59">
        <f t="shared" si="3"/>
        <v>14</v>
      </c>
      <c r="Y59" s="59">
        <f t="shared" si="4"/>
        <v>16</v>
      </c>
      <c r="Z59" s="39">
        <v>387.04</v>
      </c>
      <c r="AA59" s="4" t="s">
        <v>200</v>
      </c>
      <c r="AB59" s="35">
        <v>46057</v>
      </c>
      <c r="AC59" s="13">
        <v>3816.7</v>
      </c>
      <c r="AD59" s="174">
        <v>7314</v>
      </c>
      <c r="AE59" s="13" t="s">
        <v>63</v>
      </c>
      <c r="AF59" s="35">
        <v>46057</v>
      </c>
      <c r="AG59" s="3" t="str">
        <f t="shared" si="20"/>
        <v>FOB</v>
      </c>
      <c r="AH59" s="13" t="s">
        <v>257</v>
      </c>
      <c r="AI59" s="36" t="e">
        <f>#REF!</f>
        <v>#REF!</v>
      </c>
      <c r="AJ59" s="36">
        <v>0</v>
      </c>
      <c r="AK59" s="142">
        <f t="shared" si="22"/>
        <v>0</v>
      </c>
      <c r="AL59" s="47">
        <v>46057</v>
      </c>
      <c r="AM59" s="153">
        <v>46057</v>
      </c>
      <c r="AN59" s="63">
        <f t="shared" si="23"/>
        <v>0</v>
      </c>
      <c r="AO59" s="34" t="s">
        <v>65</v>
      </c>
      <c r="AP59" s="64">
        <f t="shared" si="29"/>
        <v>46072</v>
      </c>
      <c r="AQ59" s="64">
        <f t="shared" si="24"/>
        <v>46057</v>
      </c>
      <c r="AR59" s="65">
        <f t="shared" si="10"/>
        <v>30</v>
      </c>
      <c r="AS59" s="65">
        <f t="shared" si="11"/>
        <v>15</v>
      </c>
      <c r="AT59" s="157">
        <f t="shared" si="12"/>
        <v>15</v>
      </c>
      <c r="AU59" s="13"/>
      <c r="AV59" s="13" t="s">
        <v>59</v>
      </c>
      <c r="AW59" s="109">
        <f t="shared" si="30"/>
        <v>3816.7</v>
      </c>
      <c r="AX59" s="66">
        <f t="shared" si="25"/>
        <v>387.04</v>
      </c>
      <c r="AY59" s="66"/>
      <c r="AZ59" s="66">
        <f t="shared" si="26"/>
        <v>0</v>
      </c>
      <c r="BA59" s="67">
        <f t="shared" si="27"/>
        <v>387.04</v>
      </c>
    </row>
    <row r="60" spans="1:53" ht="21.6" customHeight="1" x14ac:dyDescent="0.3">
      <c r="A60" s="113" t="s">
        <v>258</v>
      </c>
      <c r="B60" s="3" t="s">
        <v>163</v>
      </c>
      <c r="C60" s="3" t="s">
        <v>78</v>
      </c>
      <c r="D60" s="3" t="s">
        <v>53</v>
      </c>
      <c r="E60" s="3">
        <v>26886</v>
      </c>
      <c r="F60" s="3" t="s">
        <v>259</v>
      </c>
      <c r="G60" s="111">
        <v>270</v>
      </c>
      <c r="H60" s="394">
        <v>46042</v>
      </c>
      <c r="I60" s="50">
        <v>46076</v>
      </c>
      <c r="J60" s="15">
        <f t="shared" si="0"/>
        <v>34</v>
      </c>
      <c r="K60" s="3" t="s">
        <v>70</v>
      </c>
      <c r="L60" s="3" t="s">
        <v>56</v>
      </c>
      <c r="M60" s="3" t="s">
        <v>165</v>
      </c>
      <c r="N60" s="3" t="s">
        <v>166</v>
      </c>
      <c r="O60" s="3" t="s">
        <v>59</v>
      </c>
      <c r="P60" s="16">
        <v>7696.68</v>
      </c>
      <c r="Q60" s="44" t="s">
        <v>100</v>
      </c>
      <c r="R60" s="57">
        <f t="shared" si="21"/>
        <v>46042</v>
      </c>
      <c r="S60" s="13" t="s">
        <v>61</v>
      </c>
      <c r="T60" s="35">
        <v>46057</v>
      </c>
      <c r="U60" s="37">
        <v>46050</v>
      </c>
      <c r="V60" s="37">
        <f t="shared" si="28"/>
        <v>46076</v>
      </c>
      <c r="W60" s="59">
        <f t="shared" si="2"/>
        <v>34</v>
      </c>
      <c r="X60" s="59">
        <f t="shared" si="3"/>
        <v>8</v>
      </c>
      <c r="Y60" s="59">
        <f t="shared" si="4"/>
        <v>26</v>
      </c>
      <c r="Z60" s="39">
        <v>767.63</v>
      </c>
      <c r="AA60" s="4" t="s">
        <v>62</v>
      </c>
      <c r="AB60" s="35">
        <v>46051</v>
      </c>
      <c r="AC60" s="13">
        <v>7696.68</v>
      </c>
      <c r="AD60" s="175">
        <v>7302</v>
      </c>
      <c r="AE60" s="13" t="s">
        <v>63</v>
      </c>
      <c r="AF60" s="35">
        <v>46055</v>
      </c>
      <c r="AG60" s="3" t="str">
        <f t="shared" si="20"/>
        <v>CIF</v>
      </c>
      <c r="AH60" s="13" t="s">
        <v>167</v>
      </c>
      <c r="AI60" s="36" t="e">
        <f>#REF!</f>
        <v>#REF!</v>
      </c>
      <c r="AJ60" s="36">
        <v>244.23</v>
      </c>
      <c r="AK60" s="142">
        <f t="shared" si="22"/>
        <v>3.1731863608724799E-2</v>
      </c>
      <c r="AL60" s="47">
        <v>45699</v>
      </c>
      <c r="AM60" s="153">
        <v>46059</v>
      </c>
      <c r="AN60" s="63">
        <f t="shared" si="23"/>
        <v>4</v>
      </c>
      <c r="AO60" s="34" t="s">
        <v>65</v>
      </c>
      <c r="AP60" s="64">
        <f t="shared" si="29"/>
        <v>46076</v>
      </c>
      <c r="AQ60" s="64">
        <f t="shared" si="24"/>
        <v>46059</v>
      </c>
      <c r="AR60" s="65">
        <f t="shared" si="10"/>
        <v>34</v>
      </c>
      <c r="AS60" s="65">
        <f t="shared" si="11"/>
        <v>17</v>
      </c>
      <c r="AT60" s="157">
        <f t="shared" si="12"/>
        <v>17</v>
      </c>
      <c r="AU60" s="13"/>
      <c r="AV60" s="13" t="s">
        <v>59</v>
      </c>
      <c r="AW60" s="109">
        <f t="shared" si="30"/>
        <v>7696.68</v>
      </c>
      <c r="AX60" s="66">
        <f t="shared" si="25"/>
        <v>767.63</v>
      </c>
      <c r="AY60" s="66"/>
      <c r="AZ60" s="66">
        <f t="shared" si="26"/>
        <v>244.23</v>
      </c>
      <c r="BA60" s="67">
        <f t="shared" si="27"/>
        <v>1011.86</v>
      </c>
    </row>
    <row r="61" spans="1:53" ht="21" customHeight="1" x14ac:dyDescent="0.3">
      <c r="A61" s="113" t="s">
        <v>260</v>
      </c>
      <c r="B61" s="15" t="s">
        <v>77</v>
      </c>
      <c r="C61" s="3" t="s">
        <v>78</v>
      </c>
      <c r="D61" s="3"/>
      <c r="E61" s="92" t="s">
        <v>261</v>
      </c>
      <c r="F61" s="3" t="s">
        <v>262</v>
      </c>
      <c r="G61" s="111">
        <v>277</v>
      </c>
      <c r="H61" s="394">
        <v>46043</v>
      </c>
      <c r="I61" s="50">
        <v>46072</v>
      </c>
      <c r="J61" s="15">
        <f t="shared" si="0"/>
        <v>29</v>
      </c>
      <c r="K61" s="3" t="s">
        <v>70</v>
      </c>
      <c r="L61" s="3" t="s">
        <v>56</v>
      </c>
      <c r="M61" s="15" t="s">
        <v>208</v>
      </c>
      <c r="N61" s="3" t="s">
        <v>263</v>
      </c>
      <c r="O61" s="3" t="s">
        <v>59</v>
      </c>
      <c r="P61" s="16">
        <v>10420.26</v>
      </c>
      <c r="Q61" s="44" t="s">
        <v>100</v>
      </c>
      <c r="R61" s="57">
        <f t="shared" si="21"/>
        <v>46043</v>
      </c>
      <c r="S61" s="13" t="s">
        <v>61</v>
      </c>
      <c r="T61" s="35">
        <v>46059</v>
      </c>
      <c r="U61" s="37">
        <v>46056</v>
      </c>
      <c r="V61" s="37">
        <f t="shared" si="28"/>
        <v>46072</v>
      </c>
      <c r="W61" s="59">
        <f t="shared" si="2"/>
        <v>29</v>
      </c>
      <c r="X61" s="59">
        <f t="shared" si="3"/>
        <v>13</v>
      </c>
      <c r="Y61" s="59">
        <f t="shared" si="4"/>
        <v>16</v>
      </c>
      <c r="Z61" s="39">
        <v>2357.29</v>
      </c>
      <c r="AA61" s="4" t="s">
        <v>200</v>
      </c>
      <c r="AB61" s="35">
        <v>46057</v>
      </c>
      <c r="AC61" s="13">
        <v>10420.26</v>
      </c>
      <c r="AD61" s="175">
        <v>7315</v>
      </c>
      <c r="AE61" s="13" t="s">
        <v>63</v>
      </c>
      <c r="AF61" s="35">
        <v>46057</v>
      </c>
      <c r="AG61" s="3" t="str">
        <f t="shared" si="20"/>
        <v>CIF</v>
      </c>
      <c r="AH61" s="13" t="s">
        <v>102</v>
      </c>
      <c r="AI61" s="36" t="e">
        <f>#REF!</f>
        <v>#REF!</v>
      </c>
      <c r="AJ61" s="36">
        <v>292.95</v>
      </c>
      <c r="AK61" s="142">
        <f t="shared" si="22"/>
        <v>2.8113501966361681E-2</v>
      </c>
      <c r="AL61" s="47">
        <v>46064</v>
      </c>
      <c r="AM61" s="153">
        <v>46072</v>
      </c>
      <c r="AN61" s="63">
        <f t="shared" si="23"/>
        <v>15</v>
      </c>
      <c r="AO61" s="34" t="s">
        <v>65</v>
      </c>
      <c r="AP61" s="64">
        <f t="shared" si="29"/>
        <v>46072</v>
      </c>
      <c r="AQ61" s="64">
        <f t="shared" si="24"/>
        <v>46072</v>
      </c>
      <c r="AR61" s="65">
        <f t="shared" si="10"/>
        <v>29</v>
      </c>
      <c r="AS61" s="65">
        <f t="shared" si="11"/>
        <v>29</v>
      </c>
      <c r="AT61" s="157">
        <f t="shared" si="12"/>
        <v>0</v>
      </c>
      <c r="AU61" s="13"/>
      <c r="AV61" s="13" t="s">
        <v>59</v>
      </c>
      <c r="AW61" s="109">
        <f t="shared" si="30"/>
        <v>10420.26</v>
      </c>
      <c r="AX61" s="66">
        <f t="shared" si="25"/>
        <v>2357.29</v>
      </c>
      <c r="AY61" s="66"/>
      <c r="AZ61" s="66">
        <f t="shared" si="26"/>
        <v>292.95</v>
      </c>
      <c r="BA61" s="67">
        <f t="shared" si="27"/>
        <v>2650.24</v>
      </c>
    </row>
    <row r="62" spans="1:53" ht="21.6" customHeight="1" x14ac:dyDescent="0.3">
      <c r="A62" s="5" t="s">
        <v>264</v>
      </c>
      <c r="B62" s="3" t="s">
        <v>171</v>
      </c>
      <c r="C62" s="115" t="s">
        <v>78</v>
      </c>
      <c r="D62" s="115" t="s">
        <v>53</v>
      </c>
      <c r="E62" s="115" t="s">
        <v>53</v>
      </c>
      <c r="F62" s="115" t="s">
        <v>265</v>
      </c>
      <c r="G62" s="360">
        <v>279</v>
      </c>
      <c r="H62" s="396">
        <v>46043</v>
      </c>
      <c r="I62" s="116">
        <v>46071</v>
      </c>
      <c r="J62" s="15">
        <f t="shared" si="0"/>
        <v>28</v>
      </c>
      <c r="K62" s="115" t="s">
        <v>70</v>
      </c>
      <c r="L62" s="115" t="s">
        <v>56</v>
      </c>
      <c r="M62" s="115" t="s">
        <v>173</v>
      </c>
      <c r="N62" s="115" t="s">
        <v>266</v>
      </c>
      <c r="O62" s="115" t="s">
        <v>59</v>
      </c>
      <c r="P62" s="17">
        <v>2003.1</v>
      </c>
      <c r="Q62" s="117" t="s">
        <v>100</v>
      </c>
      <c r="R62" s="162">
        <f t="shared" si="21"/>
        <v>46043</v>
      </c>
      <c r="S62" s="118" t="s">
        <v>61</v>
      </c>
      <c r="T62" s="119">
        <v>46056</v>
      </c>
      <c r="U62" s="120">
        <v>46057</v>
      </c>
      <c r="V62" s="120">
        <f t="shared" si="28"/>
        <v>46071</v>
      </c>
      <c r="W62" s="59">
        <f t="shared" si="2"/>
        <v>28</v>
      </c>
      <c r="X62" s="59">
        <f t="shared" si="3"/>
        <v>14</v>
      </c>
      <c r="Y62" s="59">
        <f t="shared" si="4"/>
        <v>14</v>
      </c>
      <c r="Z62" s="121">
        <v>368.72</v>
      </c>
      <c r="AA62" s="122" t="s">
        <v>200</v>
      </c>
      <c r="AB62" s="119">
        <v>46061</v>
      </c>
      <c r="AC62" s="118">
        <v>6854.02</v>
      </c>
      <c r="AD62" s="176">
        <v>7327</v>
      </c>
      <c r="AE62" s="118" t="s">
        <v>63</v>
      </c>
      <c r="AF62" s="119">
        <v>46062</v>
      </c>
      <c r="AG62" s="115" t="str">
        <f t="shared" si="20"/>
        <v>CIF</v>
      </c>
      <c r="AH62" s="118" t="s">
        <v>245</v>
      </c>
      <c r="AI62" s="123" t="e">
        <f>#REF!</f>
        <v>#REF!</v>
      </c>
      <c r="AJ62" s="123">
        <v>3289.94</v>
      </c>
      <c r="AK62" s="142">
        <f t="shared" si="22"/>
        <v>0.48000151735769664</v>
      </c>
      <c r="AL62" s="124">
        <v>46063</v>
      </c>
      <c r="AM62" s="154">
        <v>46063</v>
      </c>
      <c r="AN62" s="63">
        <f t="shared" si="23"/>
        <v>1</v>
      </c>
      <c r="AO62" s="125" t="s">
        <v>65</v>
      </c>
      <c r="AP62" s="163">
        <f t="shared" si="29"/>
        <v>46071</v>
      </c>
      <c r="AQ62" s="163">
        <f t="shared" si="24"/>
        <v>46063</v>
      </c>
      <c r="AR62" s="65">
        <f t="shared" si="10"/>
        <v>28</v>
      </c>
      <c r="AS62" s="65">
        <f t="shared" si="11"/>
        <v>20</v>
      </c>
      <c r="AT62" s="157">
        <f t="shared" si="12"/>
        <v>8</v>
      </c>
      <c r="AU62" s="118"/>
      <c r="AV62" s="118" t="s">
        <v>59</v>
      </c>
      <c r="AW62" s="126">
        <f t="shared" si="30"/>
        <v>6854.02</v>
      </c>
      <c r="AX62" s="164">
        <f t="shared" si="25"/>
        <v>368.72</v>
      </c>
      <c r="AY62" s="164"/>
      <c r="AZ62" s="164">
        <f t="shared" si="26"/>
        <v>3289.94</v>
      </c>
      <c r="BA62" s="127">
        <f t="shared" si="27"/>
        <v>3658.66</v>
      </c>
    </row>
    <row r="63" spans="1:53" ht="21.6" customHeight="1" x14ac:dyDescent="0.3">
      <c r="A63" s="301" t="s">
        <v>267</v>
      </c>
      <c r="B63" s="3" t="s">
        <v>163</v>
      </c>
      <c r="C63" s="3" t="s">
        <v>78</v>
      </c>
      <c r="D63" s="3" t="s">
        <v>53</v>
      </c>
      <c r="E63" s="3">
        <v>218800</v>
      </c>
      <c r="F63" s="114" t="s">
        <v>268</v>
      </c>
      <c r="G63" s="144">
        <v>282</v>
      </c>
      <c r="H63" s="394">
        <v>46045</v>
      </c>
      <c r="I63" s="50">
        <v>46066</v>
      </c>
      <c r="J63" s="15">
        <f t="shared" si="0"/>
        <v>21</v>
      </c>
      <c r="K63" s="3" t="s">
        <v>55</v>
      </c>
      <c r="L63" s="3" t="s">
        <v>56</v>
      </c>
      <c r="M63" s="3" t="s">
        <v>178</v>
      </c>
      <c r="N63" s="3" t="s">
        <v>179</v>
      </c>
      <c r="O63" s="3" t="s">
        <v>59</v>
      </c>
      <c r="P63" s="8">
        <v>3300</v>
      </c>
      <c r="Q63" s="44" t="s">
        <v>100</v>
      </c>
      <c r="R63" s="35">
        <f t="shared" si="21"/>
        <v>46045</v>
      </c>
      <c r="S63" s="13" t="s">
        <v>61</v>
      </c>
      <c r="T63" s="35">
        <v>46059</v>
      </c>
      <c r="U63" s="37">
        <v>46056</v>
      </c>
      <c r="V63" s="37">
        <f t="shared" si="28"/>
        <v>46066</v>
      </c>
      <c r="W63" s="59">
        <f t="shared" si="2"/>
        <v>21</v>
      </c>
      <c r="X63" s="59">
        <f t="shared" si="3"/>
        <v>11</v>
      </c>
      <c r="Y63" s="59">
        <f t="shared" si="4"/>
        <v>10</v>
      </c>
      <c r="Z63" s="39">
        <v>373.04</v>
      </c>
      <c r="AA63" s="4" t="s">
        <v>200</v>
      </c>
      <c r="AB63" s="35">
        <v>46065</v>
      </c>
      <c r="AC63" s="13">
        <v>3300</v>
      </c>
      <c r="AD63" s="174">
        <v>7338</v>
      </c>
      <c r="AE63" s="13" t="s">
        <v>63</v>
      </c>
      <c r="AF63" s="35">
        <v>46066</v>
      </c>
      <c r="AG63" s="3" t="str">
        <f t="shared" si="20"/>
        <v>FOB</v>
      </c>
      <c r="AH63" s="13" t="s">
        <v>151</v>
      </c>
      <c r="AI63" s="36" t="e">
        <f>#REF!</f>
        <v>#REF!</v>
      </c>
      <c r="AJ63" s="36">
        <v>0</v>
      </c>
      <c r="AK63" s="142">
        <f t="shared" si="22"/>
        <v>0</v>
      </c>
      <c r="AL63" s="47">
        <v>46056</v>
      </c>
      <c r="AM63" s="153">
        <v>46056</v>
      </c>
      <c r="AN63" s="63">
        <f t="shared" si="23"/>
        <v>-10</v>
      </c>
      <c r="AO63" s="34" t="s">
        <v>65</v>
      </c>
      <c r="AP63" s="128">
        <f t="shared" si="29"/>
        <v>46066</v>
      </c>
      <c r="AQ63" s="128">
        <f t="shared" si="24"/>
        <v>46056</v>
      </c>
      <c r="AR63" s="65">
        <f t="shared" si="10"/>
        <v>21</v>
      </c>
      <c r="AS63" s="65">
        <f t="shared" si="11"/>
        <v>11</v>
      </c>
      <c r="AT63" s="157">
        <f t="shared" si="12"/>
        <v>10</v>
      </c>
      <c r="AU63" s="13"/>
      <c r="AV63" s="13" t="s">
        <v>59</v>
      </c>
      <c r="AW63" s="109">
        <f t="shared" si="30"/>
        <v>3300</v>
      </c>
      <c r="AX63" s="129">
        <f t="shared" si="25"/>
        <v>373.04</v>
      </c>
      <c r="AY63" s="129"/>
      <c r="AZ63" s="129">
        <f t="shared" si="26"/>
        <v>0</v>
      </c>
      <c r="BA63" s="130">
        <f t="shared" si="27"/>
        <v>373.04</v>
      </c>
    </row>
    <row r="64" spans="1:53" ht="21.6" customHeight="1" x14ac:dyDescent="0.3">
      <c r="A64" s="2" t="s">
        <v>269</v>
      </c>
      <c r="B64" s="15" t="s">
        <v>51</v>
      </c>
      <c r="C64" s="3" t="s">
        <v>78</v>
      </c>
      <c r="D64" s="3" t="s">
        <v>53</v>
      </c>
      <c r="E64" s="3">
        <v>5100028157</v>
      </c>
      <c r="F64" s="3" t="s">
        <v>270</v>
      </c>
      <c r="G64" s="144">
        <v>283</v>
      </c>
      <c r="H64" s="394">
        <v>46045</v>
      </c>
      <c r="I64" s="50">
        <v>46080</v>
      </c>
      <c r="J64" s="15">
        <f t="shared" si="0"/>
        <v>35</v>
      </c>
      <c r="K64" s="3" t="s">
        <v>70</v>
      </c>
      <c r="L64" s="3" t="s">
        <v>56</v>
      </c>
      <c r="M64" s="15" t="s">
        <v>57</v>
      </c>
      <c r="N64" s="3" t="s">
        <v>58</v>
      </c>
      <c r="O64" s="3" t="s">
        <v>59</v>
      </c>
      <c r="P64" s="8">
        <v>18400.12</v>
      </c>
      <c r="Q64" s="44" t="s">
        <v>100</v>
      </c>
      <c r="R64" s="57">
        <f t="shared" si="21"/>
        <v>46045</v>
      </c>
      <c r="S64" s="13" t="s">
        <v>61</v>
      </c>
      <c r="T64" s="35">
        <v>46064</v>
      </c>
      <c r="U64" s="37">
        <v>46058</v>
      </c>
      <c r="V64" s="37">
        <f t="shared" si="28"/>
        <v>46080</v>
      </c>
      <c r="W64" s="59">
        <f t="shared" si="2"/>
        <v>35</v>
      </c>
      <c r="X64" s="59">
        <f t="shared" si="3"/>
        <v>13</v>
      </c>
      <c r="Y64" s="59">
        <f t="shared" si="4"/>
        <v>22</v>
      </c>
      <c r="Z64" s="39">
        <v>2571.23</v>
      </c>
      <c r="AA64" s="4" t="s">
        <v>200</v>
      </c>
      <c r="AB64" s="35">
        <v>46059</v>
      </c>
      <c r="AC64" s="13">
        <v>18400.12</v>
      </c>
      <c r="AD64" s="175">
        <v>7336</v>
      </c>
      <c r="AE64" s="13" t="s">
        <v>63</v>
      </c>
      <c r="AF64" s="35">
        <v>46062</v>
      </c>
      <c r="AG64" s="3" t="str">
        <f t="shared" si="20"/>
        <v>CIF</v>
      </c>
      <c r="AH64" s="13" t="s">
        <v>245</v>
      </c>
      <c r="AI64" s="36" t="e">
        <f>#REF!</f>
        <v>#REF!</v>
      </c>
      <c r="AJ64" s="36">
        <v>336.61</v>
      </c>
      <c r="AK64" s="142">
        <f t="shared" si="22"/>
        <v>1.8293902431071103E-2</v>
      </c>
      <c r="AL64" s="47">
        <v>46077</v>
      </c>
      <c r="AM64" s="153">
        <v>46077</v>
      </c>
      <c r="AN64" s="63">
        <f t="shared" si="23"/>
        <v>15</v>
      </c>
      <c r="AO64" s="34" t="s">
        <v>65</v>
      </c>
      <c r="AP64" s="64">
        <f t="shared" si="29"/>
        <v>46080</v>
      </c>
      <c r="AQ64" s="64">
        <f t="shared" si="24"/>
        <v>46077</v>
      </c>
      <c r="AR64" s="65">
        <f t="shared" si="10"/>
        <v>35</v>
      </c>
      <c r="AS64" s="65">
        <f t="shared" si="11"/>
        <v>32</v>
      </c>
      <c r="AT64" s="157">
        <f t="shared" si="12"/>
        <v>3</v>
      </c>
      <c r="AU64" s="13"/>
      <c r="AV64" s="13" t="s">
        <v>59</v>
      </c>
      <c r="AW64" s="109">
        <f t="shared" si="30"/>
        <v>18400.12</v>
      </c>
      <c r="AX64" s="66">
        <f t="shared" si="25"/>
        <v>2571.23</v>
      </c>
      <c r="AY64" s="66"/>
      <c r="AZ64" s="66">
        <f t="shared" si="26"/>
        <v>336.61</v>
      </c>
      <c r="BA64" s="67">
        <f t="shared" si="27"/>
        <v>2907.84</v>
      </c>
    </row>
    <row r="65" spans="1:53" ht="21.6" customHeight="1" x14ac:dyDescent="0.3">
      <c r="A65" s="2" t="s">
        <v>271</v>
      </c>
      <c r="B65" s="3" t="s">
        <v>96</v>
      </c>
      <c r="C65" s="3" t="s">
        <v>78</v>
      </c>
      <c r="D65" s="3" t="s">
        <v>53</v>
      </c>
      <c r="E65" s="5">
        <v>46259</v>
      </c>
      <c r="F65" s="3" t="s">
        <v>272</v>
      </c>
      <c r="G65" s="144">
        <v>284</v>
      </c>
      <c r="H65" s="394">
        <v>46048</v>
      </c>
      <c r="I65" s="50">
        <v>46076</v>
      </c>
      <c r="J65" s="15">
        <f t="shared" si="0"/>
        <v>28</v>
      </c>
      <c r="K65" s="3" t="s">
        <v>55</v>
      </c>
      <c r="L65" s="3" t="s">
        <v>56</v>
      </c>
      <c r="M65" s="3" t="s">
        <v>255</v>
      </c>
      <c r="N65" s="3" t="s">
        <v>273</v>
      </c>
      <c r="O65" s="3" t="s">
        <v>59</v>
      </c>
      <c r="P65" s="8">
        <v>6985.98</v>
      </c>
      <c r="Q65" s="44" t="s">
        <v>100</v>
      </c>
      <c r="R65" s="57">
        <f t="shared" si="21"/>
        <v>46048</v>
      </c>
      <c r="S65" s="13" t="s">
        <v>61</v>
      </c>
      <c r="T65" s="35">
        <v>46062</v>
      </c>
      <c r="U65" s="37">
        <v>46058</v>
      </c>
      <c r="V65" s="37">
        <f t="shared" si="28"/>
        <v>46076</v>
      </c>
      <c r="W65" s="59">
        <f t="shared" si="2"/>
        <v>28</v>
      </c>
      <c r="X65" s="59">
        <f t="shared" si="3"/>
        <v>10</v>
      </c>
      <c r="Y65" s="59">
        <f t="shared" si="4"/>
        <v>18</v>
      </c>
      <c r="Z65" s="39">
        <v>1151.24</v>
      </c>
      <c r="AA65" s="4" t="s">
        <v>200</v>
      </c>
      <c r="AB65" s="35">
        <v>46059</v>
      </c>
      <c r="AC65" s="13">
        <v>6985.98</v>
      </c>
      <c r="AD65" s="174">
        <v>7325</v>
      </c>
      <c r="AE65" s="13" t="s">
        <v>63</v>
      </c>
      <c r="AF65" s="35">
        <v>46064</v>
      </c>
      <c r="AG65" s="3" t="str">
        <f t="shared" si="20"/>
        <v>FOB</v>
      </c>
      <c r="AH65" s="13" t="s">
        <v>274</v>
      </c>
      <c r="AI65" s="36" t="e">
        <f>#REF!</f>
        <v>#REF!</v>
      </c>
      <c r="AJ65" s="36">
        <v>0</v>
      </c>
      <c r="AK65" s="142">
        <f t="shared" si="22"/>
        <v>0</v>
      </c>
      <c r="AL65" s="47">
        <v>46059</v>
      </c>
      <c r="AM65" s="153">
        <v>46059</v>
      </c>
      <c r="AN65" s="63">
        <f t="shared" si="23"/>
        <v>-5</v>
      </c>
      <c r="AO65" s="34" t="s">
        <v>65</v>
      </c>
      <c r="AP65" s="64">
        <f t="shared" si="29"/>
        <v>46076</v>
      </c>
      <c r="AQ65" s="64">
        <f t="shared" si="24"/>
        <v>46059</v>
      </c>
      <c r="AR65" s="65">
        <f t="shared" si="10"/>
        <v>28</v>
      </c>
      <c r="AS65" s="65">
        <f t="shared" si="11"/>
        <v>11</v>
      </c>
      <c r="AT65" s="157">
        <f t="shared" si="12"/>
        <v>17</v>
      </c>
      <c r="AU65" s="13"/>
      <c r="AV65" s="13" t="s">
        <v>59</v>
      </c>
      <c r="AW65" s="109">
        <f t="shared" si="30"/>
        <v>6985.98</v>
      </c>
      <c r="AX65" s="66">
        <f t="shared" si="25"/>
        <v>1151.24</v>
      </c>
      <c r="AY65" s="66"/>
      <c r="AZ65" s="66">
        <f t="shared" si="26"/>
        <v>0</v>
      </c>
      <c r="BA65" s="67">
        <f t="shared" si="27"/>
        <v>1151.24</v>
      </c>
    </row>
    <row r="66" spans="1:53" ht="21.6" customHeight="1" x14ac:dyDescent="0.3">
      <c r="A66" s="2" t="s">
        <v>275</v>
      </c>
      <c r="B66" s="15" t="s">
        <v>51</v>
      </c>
      <c r="C66" s="3" t="s">
        <v>78</v>
      </c>
      <c r="D66" s="3" t="s">
        <v>53</v>
      </c>
      <c r="E66" s="3">
        <v>4501915697</v>
      </c>
      <c r="F66" s="3" t="s">
        <v>53</v>
      </c>
      <c r="G66" s="144">
        <v>287</v>
      </c>
      <c r="H66" s="394">
        <v>46049</v>
      </c>
      <c r="I66" s="50">
        <v>46108</v>
      </c>
      <c r="J66" s="15">
        <f t="shared" ref="J66:J129" si="31">I66-H66</f>
        <v>59</v>
      </c>
      <c r="K66" s="3" t="s">
        <v>70</v>
      </c>
      <c r="L66" s="3" t="s">
        <v>56</v>
      </c>
      <c r="M66" s="15" t="s">
        <v>57</v>
      </c>
      <c r="N66" s="3" t="s">
        <v>197</v>
      </c>
      <c r="O66" s="3" t="s">
        <v>59</v>
      </c>
      <c r="P66" s="8">
        <v>96085.228900000002</v>
      </c>
      <c r="Q66" s="44" t="s">
        <v>60</v>
      </c>
      <c r="R66" s="57">
        <f t="shared" ref="R66:R97" si="32">H66</f>
        <v>46049</v>
      </c>
      <c r="S66" s="13" t="s">
        <v>61</v>
      </c>
      <c r="T66" s="35">
        <v>46080</v>
      </c>
      <c r="U66" s="37">
        <v>46104</v>
      </c>
      <c r="V66" s="37">
        <f t="shared" si="28"/>
        <v>46108</v>
      </c>
      <c r="W66" s="59">
        <f t="shared" ref="W66:W129" si="33">V66-R66</f>
        <v>59</v>
      </c>
      <c r="X66" s="59">
        <f t="shared" ref="X66:X129" si="34">U66-R66</f>
        <v>55</v>
      </c>
      <c r="Y66" s="59">
        <f t="shared" ref="Y66:Y129" si="35">W66-X66</f>
        <v>4</v>
      </c>
      <c r="Z66" s="39">
        <v>25063</v>
      </c>
      <c r="AA66" s="4" t="s">
        <v>141</v>
      </c>
      <c r="AB66" s="35">
        <v>46080</v>
      </c>
      <c r="AC66" s="13">
        <v>87678.33</v>
      </c>
      <c r="AD66" s="175">
        <v>7331</v>
      </c>
      <c r="AE66" s="13" t="s">
        <v>63</v>
      </c>
      <c r="AF66" s="35">
        <v>46084</v>
      </c>
      <c r="AG66" s="3" t="str">
        <f t="shared" si="20"/>
        <v>CIF</v>
      </c>
      <c r="AH66" s="13" t="s">
        <v>64</v>
      </c>
      <c r="AI66" s="36" t="e">
        <f>#REF!</f>
        <v>#REF!</v>
      </c>
      <c r="AJ66" s="36">
        <v>0</v>
      </c>
      <c r="AK66" s="142">
        <f t="shared" ref="AK66:AK97" si="36">AJ66/AC66</f>
        <v>0</v>
      </c>
      <c r="AL66" s="47">
        <v>46091</v>
      </c>
      <c r="AM66" s="153">
        <v>46084</v>
      </c>
      <c r="AN66" s="63">
        <f t="shared" ref="AN66:AN97" si="37">AM66-AF66</f>
        <v>0</v>
      </c>
      <c r="AO66" s="34" t="s">
        <v>65</v>
      </c>
      <c r="AP66" s="64">
        <f t="shared" si="29"/>
        <v>46108</v>
      </c>
      <c r="AQ66" s="64">
        <f t="shared" ref="AQ66:AQ84" si="38">AM66</f>
        <v>46084</v>
      </c>
      <c r="AR66" s="65">
        <f t="shared" ref="AR66:AR129" si="39">AP66-H66</f>
        <v>59</v>
      </c>
      <c r="AS66" s="65">
        <f t="shared" ref="AS66:AS129" si="40">AM66-H66</f>
        <v>35</v>
      </c>
      <c r="AT66" s="157">
        <f t="shared" ref="AT66:AT129" si="41">AR66-AS66</f>
        <v>24</v>
      </c>
      <c r="AU66" s="13"/>
      <c r="AV66" s="13" t="s">
        <v>59</v>
      </c>
      <c r="AW66" s="109">
        <f t="shared" si="30"/>
        <v>87678.33</v>
      </c>
      <c r="AX66" s="66">
        <f t="shared" ref="AX66:AX97" si="42">Z66</f>
        <v>25063</v>
      </c>
      <c r="AY66" s="66"/>
      <c r="AZ66" s="66">
        <f t="shared" ref="AZ66:AZ97" si="43">AJ66</f>
        <v>0</v>
      </c>
      <c r="BA66" s="67">
        <f t="shared" ref="BA66:BA97" si="44">AX66+AZ66</f>
        <v>25063</v>
      </c>
    </row>
    <row r="67" spans="1:53" ht="21.6" customHeight="1" x14ac:dyDescent="0.3">
      <c r="A67" s="2" t="s">
        <v>276</v>
      </c>
      <c r="B67" s="15" t="s">
        <v>91</v>
      </c>
      <c r="C67" s="3" t="s">
        <v>78</v>
      </c>
      <c r="D67" s="3" t="s">
        <v>53</v>
      </c>
      <c r="E67" s="114">
        <v>629957</v>
      </c>
      <c r="F67" s="3" t="s">
        <v>277</v>
      </c>
      <c r="G67" s="144">
        <v>288</v>
      </c>
      <c r="H67" s="394">
        <v>46049</v>
      </c>
      <c r="I67" s="50">
        <v>46079</v>
      </c>
      <c r="J67" s="15">
        <f t="shared" si="31"/>
        <v>30</v>
      </c>
      <c r="K67" s="3" t="s">
        <v>70</v>
      </c>
      <c r="L67" s="3" t="s">
        <v>56</v>
      </c>
      <c r="M67" s="15" t="s">
        <v>92</v>
      </c>
      <c r="N67" s="3" t="s">
        <v>278</v>
      </c>
      <c r="O67" s="3" t="s">
        <v>59</v>
      </c>
      <c r="P67" s="8">
        <v>7600</v>
      </c>
      <c r="Q67" s="44" t="s">
        <v>100</v>
      </c>
      <c r="R67" s="57">
        <f t="shared" si="32"/>
        <v>46049</v>
      </c>
      <c r="S67" s="13" t="s">
        <v>61</v>
      </c>
      <c r="T67" s="35">
        <v>46062</v>
      </c>
      <c r="U67" s="37">
        <v>46059</v>
      </c>
      <c r="V67" s="37">
        <f t="shared" si="28"/>
        <v>46079</v>
      </c>
      <c r="W67" s="59">
        <f t="shared" si="33"/>
        <v>30</v>
      </c>
      <c r="X67" s="59">
        <f t="shared" si="34"/>
        <v>10</v>
      </c>
      <c r="Y67" s="59">
        <f t="shared" si="35"/>
        <v>20</v>
      </c>
      <c r="Z67" s="39">
        <v>276.82</v>
      </c>
      <c r="AA67" s="4" t="s">
        <v>200</v>
      </c>
      <c r="AB67" s="35">
        <v>46062</v>
      </c>
      <c r="AC67" s="13">
        <v>7600</v>
      </c>
      <c r="AD67" s="175">
        <v>7328</v>
      </c>
      <c r="AE67" s="13" t="s">
        <v>63</v>
      </c>
      <c r="AF67" s="35">
        <v>46062</v>
      </c>
      <c r="AG67" s="3" t="str">
        <f t="shared" si="20"/>
        <v>CIF</v>
      </c>
      <c r="AH67" s="13" t="s">
        <v>64</v>
      </c>
      <c r="AI67" s="36" t="e">
        <f>#REF!</f>
        <v>#REF!</v>
      </c>
      <c r="AJ67" s="36">
        <v>0</v>
      </c>
      <c r="AK67" s="142">
        <f t="shared" si="36"/>
        <v>0</v>
      </c>
      <c r="AL67" s="47">
        <v>46062</v>
      </c>
      <c r="AM67" s="153">
        <v>46062</v>
      </c>
      <c r="AN67" s="63">
        <f t="shared" si="37"/>
        <v>0</v>
      </c>
      <c r="AO67" s="34" t="s">
        <v>65</v>
      </c>
      <c r="AP67" s="64">
        <f t="shared" si="29"/>
        <v>46079</v>
      </c>
      <c r="AQ67" s="64">
        <f t="shared" si="38"/>
        <v>46062</v>
      </c>
      <c r="AR67" s="65">
        <f t="shared" si="39"/>
        <v>30</v>
      </c>
      <c r="AS67" s="65">
        <f t="shared" si="40"/>
        <v>13</v>
      </c>
      <c r="AT67" s="157">
        <f t="shared" si="41"/>
        <v>17</v>
      </c>
      <c r="AU67" s="13"/>
      <c r="AV67" s="13" t="s">
        <v>59</v>
      </c>
      <c r="AW67" s="109">
        <f t="shared" si="30"/>
        <v>7600</v>
      </c>
      <c r="AX67" s="66">
        <f t="shared" si="42"/>
        <v>276.82</v>
      </c>
      <c r="AY67" s="66"/>
      <c r="AZ67" s="66">
        <f t="shared" si="43"/>
        <v>0</v>
      </c>
      <c r="BA67" s="67">
        <f t="shared" si="44"/>
        <v>276.82</v>
      </c>
    </row>
    <row r="68" spans="1:53" ht="21.6" customHeight="1" x14ac:dyDescent="0.3">
      <c r="A68" s="2" t="s">
        <v>279</v>
      </c>
      <c r="B68" s="15" t="s">
        <v>51</v>
      </c>
      <c r="C68" s="3" t="s">
        <v>52</v>
      </c>
      <c r="D68" s="3">
        <v>4600677427</v>
      </c>
      <c r="E68" s="3">
        <v>4514949125</v>
      </c>
      <c r="F68" s="3" t="s">
        <v>53</v>
      </c>
      <c r="G68" s="144">
        <v>290</v>
      </c>
      <c r="H68" s="394">
        <v>46049</v>
      </c>
      <c r="I68" s="50">
        <v>46071</v>
      </c>
      <c r="J68" s="15">
        <f t="shared" si="31"/>
        <v>22</v>
      </c>
      <c r="K68" s="3" t="s">
        <v>70</v>
      </c>
      <c r="L68" s="3" t="s">
        <v>56</v>
      </c>
      <c r="M68" s="15" t="s">
        <v>57</v>
      </c>
      <c r="N68" s="3" t="s">
        <v>87</v>
      </c>
      <c r="O68" s="3" t="s">
        <v>59</v>
      </c>
      <c r="P68" s="8">
        <v>6219.96</v>
      </c>
      <c r="Q68" s="44" t="s">
        <v>60</v>
      </c>
      <c r="R68" s="57">
        <f t="shared" si="32"/>
        <v>46049</v>
      </c>
      <c r="S68" s="13" t="s">
        <v>61</v>
      </c>
      <c r="T68" s="35">
        <v>46059</v>
      </c>
      <c r="U68" s="37">
        <v>46058</v>
      </c>
      <c r="V68" s="37">
        <f t="shared" si="28"/>
        <v>46071</v>
      </c>
      <c r="W68" s="59">
        <f t="shared" si="33"/>
        <v>22</v>
      </c>
      <c r="X68" s="59">
        <f t="shared" si="34"/>
        <v>9</v>
      </c>
      <c r="Y68" s="59">
        <f t="shared" si="35"/>
        <v>13</v>
      </c>
      <c r="Z68" s="39">
        <v>2585.16</v>
      </c>
      <c r="AA68" s="4" t="s">
        <v>200</v>
      </c>
      <c r="AB68" s="35">
        <v>46058</v>
      </c>
      <c r="AC68" s="13">
        <v>6219.96</v>
      </c>
      <c r="AD68" s="175">
        <v>7321</v>
      </c>
      <c r="AE68" s="13" t="s">
        <v>63</v>
      </c>
      <c r="AF68" s="35">
        <v>46071</v>
      </c>
      <c r="AG68" s="3" t="str">
        <f t="shared" si="20"/>
        <v>CIF</v>
      </c>
      <c r="AH68" s="13" t="s">
        <v>127</v>
      </c>
      <c r="AI68" s="36" t="e">
        <f>#REF!</f>
        <v>#REF!</v>
      </c>
      <c r="AJ68" s="36">
        <v>700</v>
      </c>
      <c r="AK68" s="142">
        <f t="shared" si="36"/>
        <v>0.11254091666184349</v>
      </c>
      <c r="AL68" s="47">
        <v>46073</v>
      </c>
      <c r="AM68" s="153">
        <v>46073</v>
      </c>
      <c r="AN68" s="63">
        <f t="shared" si="37"/>
        <v>2</v>
      </c>
      <c r="AO68" s="34" t="s">
        <v>103</v>
      </c>
      <c r="AP68" s="64">
        <f t="shared" si="29"/>
        <v>46071</v>
      </c>
      <c r="AQ68" s="64">
        <f t="shared" si="38"/>
        <v>46073</v>
      </c>
      <c r="AR68" s="65">
        <f t="shared" si="39"/>
        <v>22</v>
      </c>
      <c r="AS68" s="65">
        <f t="shared" si="40"/>
        <v>24</v>
      </c>
      <c r="AT68" s="157">
        <f t="shared" si="41"/>
        <v>-2</v>
      </c>
      <c r="AU68" s="13"/>
      <c r="AV68" s="13" t="s">
        <v>116</v>
      </c>
      <c r="AW68" s="109">
        <f t="shared" si="30"/>
        <v>6219.96</v>
      </c>
      <c r="AX68" s="66">
        <f t="shared" si="42"/>
        <v>2585.16</v>
      </c>
      <c r="AY68" s="66"/>
      <c r="AZ68" s="66">
        <f t="shared" si="43"/>
        <v>700</v>
      </c>
      <c r="BA68" s="67">
        <f t="shared" si="44"/>
        <v>3285.16</v>
      </c>
    </row>
    <row r="69" spans="1:53" ht="21" customHeight="1" x14ac:dyDescent="0.3">
      <c r="A69" s="2" t="s">
        <v>280</v>
      </c>
      <c r="B69" s="15" t="s">
        <v>51</v>
      </c>
      <c r="C69" s="3" t="s">
        <v>78</v>
      </c>
      <c r="D69" s="3" t="s">
        <v>53</v>
      </c>
      <c r="E69" s="3" t="s">
        <v>281</v>
      </c>
      <c r="F69" s="3" t="s">
        <v>282</v>
      </c>
      <c r="G69" s="144">
        <v>293</v>
      </c>
      <c r="H69" s="394">
        <v>46050</v>
      </c>
      <c r="I69" s="50">
        <v>46078</v>
      </c>
      <c r="J69" s="15">
        <f t="shared" si="31"/>
        <v>28</v>
      </c>
      <c r="K69" s="3" t="s">
        <v>55</v>
      </c>
      <c r="L69" s="3" t="s">
        <v>56</v>
      </c>
      <c r="M69" s="15" t="s">
        <v>57</v>
      </c>
      <c r="N69" s="3" t="s">
        <v>204</v>
      </c>
      <c r="O69" s="3" t="s">
        <v>59</v>
      </c>
      <c r="P69" s="8">
        <v>966.8</v>
      </c>
      <c r="Q69" s="44" t="s">
        <v>100</v>
      </c>
      <c r="R69" s="57">
        <f t="shared" si="32"/>
        <v>46050</v>
      </c>
      <c r="S69" s="13" t="s">
        <v>61</v>
      </c>
      <c r="T69" s="35">
        <v>46063</v>
      </c>
      <c r="U69" s="37">
        <v>46062</v>
      </c>
      <c r="V69" s="37">
        <f t="shared" si="28"/>
        <v>46078</v>
      </c>
      <c r="W69" s="59">
        <f t="shared" si="33"/>
        <v>28</v>
      </c>
      <c r="X69" s="59">
        <f t="shared" si="34"/>
        <v>12</v>
      </c>
      <c r="Y69" s="59">
        <f t="shared" si="35"/>
        <v>16</v>
      </c>
      <c r="Z69" s="39">
        <v>279</v>
      </c>
      <c r="AA69" s="4" t="s">
        <v>200</v>
      </c>
      <c r="AB69" s="35">
        <v>46077</v>
      </c>
      <c r="AC69" s="13">
        <v>998.22</v>
      </c>
      <c r="AD69" s="174">
        <v>7362</v>
      </c>
      <c r="AE69" s="13" t="s">
        <v>63</v>
      </c>
      <c r="AF69" s="35">
        <v>46078</v>
      </c>
      <c r="AG69" s="3" t="str">
        <f t="shared" si="20"/>
        <v>FOB</v>
      </c>
      <c r="AH69" s="13" t="s">
        <v>283</v>
      </c>
      <c r="AI69" s="36" t="e">
        <f>#REF!</f>
        <v>#REF!</v>
      </c>
      <c r="AJ69" s="36">
        <v>0</v>
      </c>
      <c r="AK69" s="142">
        <f t="shared" si="36"/>
        <v>0</v>
      </c>
      <c r="AL69" s="47">
        <v>46071</v>
      </c>
      <c r="AM69" s="153">
        <v>46071</v>
      </c>
      <c r="AN69" s="63">
        <f t="shared" si="37"/>
        <v>-7</v>
      </c>
      <c r="AO69" s="34" t="s">
        <v>65</v>
      </c>
      <c r="AP69" s="64">
        <f t="shared" si="29"/>
        <v>46078</v>
      </c>
      <c r="AQ69" s="64">
        <f t="shared" si="38"/>
        <v>46071</v>
      </c>
      <c r="AR69" s="65">
        <f t="shared" si="39"/>
        <v>28</v>
      </c>
      <c r="AS69" s="65">
        <f t="shared" si="40"/>
        <v>21</v>
      </c>
      <c r="AT69" s="157">
        <f t="shared" si="41"/>
        <v>7</v>
      </c>
      <c r="AU69" s="13"/>
      <c r="AV69" s="13" t="s">
        <v>59</v>
      </c>
      <c r="AW69" s="109">
        <f t="shared" si="30"/>
        <v>998.22</v>
      </c>
      <c r="AX69" s="66">
        <f t="shared" si="42"/>
        <v>279</v>
      </c>
      <c r="AY69" s="66"/>
      <c r="AZ69" s="66">
        <f t="shared" si="43"/>
        <v>0</v>
      </c>
      <c r="BA69" s="67">
        <f t="shared" si="44"/>
        <v>279</v>
      </c>
    </row>
    <row r="70" spans="1:53" ht="21.6" customHeight="1" x14ac:dyDescent="0.3">
      <c r="A70" s="2" t="s">
        <v>284</v>
      </c>
      <c r="B70" s="3" t="s">
        <v>171</v>
      </c>
      <c r="C70" s="3" t="s">
        <v>78</v>
      </c>
      <c r="D70" s="3" t="s">
        <v>53</v>
      </c>
      <c r="E70" s="3">
        <v>4518289800</v>
      </c>
      <c r="F70" s="3" t="s">
        <v>285</v>
      </c>
      <c r="G70" s="144">
        <v>294</v>
      </c>
      <c r="H70" s="394">
        <v>46050</v>
      </c>
      <c r="I70" s="50">
        <v>46100</v>
      </c>
      <c r="J70" s="15">
        <f t="shared" si="31"/>
        <v>50</v>
      </c>
      <c r="K70" s="3" t="s">
        <v>55</v>
      </c>
      <c r="L70" s="3" t="s">
        <v>56</v>
      </c>
      <c r="M70" s="3" t="s">
        <v>186</v>
      </c>
      <c r="N70" s="3" t="s">
        <v>286</v>
      </c>
      <c r="O70" s="3" t="s">
        <v>59</v>
      </c>
      <c r="P70" s="8">
        <v>5528</v>
      </c>
      <c r="Q70" s="44" t="s">
        <v>60</v>
      </c>
      <c r="R70" s="57">
        <f t="shared" si="32"/>
        <v>46050</v>
      </c>
      <c r="S70" s="13" t="s">
        <v>61</v>
      </c>
      <c r="T70" s="35">
        <v>46055</v>
      </c>
      <c r="U70" s="37">
        <v>46055</v>
      </c>
      <c r="V70" s="37">
        <f t="shared" ref="V70:V77" si="45">I70</f>
        <v>46100</v>
      </c>
      <c r="W70" s="59">
        <f t="shared" si="33"/>
        <v>50</v>
      </c>
      <c r="X70" s="59">
        <f t="shared" si="34"/>
        <v>5</v>
      </c>
      <c r="Y70" s="59">
        <f t="shared" si="35"/>
        <v>45</v>
      </c>
      <c r="Z70" s="39">
        <v>0</v>
      </c>
      <c r="AA70" s="4" t="s">
        <v>200</v>
      </c>
      <c r="AB70" s="35">
        <v>46056</v>
      </c>
      <c r="AC70" s="13">
        <v>5528</v>
      </c>
      <c r="AD70" s="174">
        <v>7311</v>
      </c>
      <c r="AE70" s="13" t="s">
        <v>63</v>
      </c>
      <c r="AF70" s="35">
        <v>46084</v>
      </c>
      <c r="AG70" s="3" t="s">
        <v>55</v>
      </c>
      <c r="AH70" s="13" t="s">
        <v>287</v>
      </c>
      <c r="AI70" s="36" t="e">
        <f>#REF!</f>
        <v>#REF!</v>
      </c>
      <c r="AJ70" s="36">
        <v>0</v>
      </c>
      <c r="AK70" s="142">
        <f t="shared" si="36"/>
        <v>0</v>
      </c>
      <c r="AL70" s="47">
        <v>46055</v>
      </c>
      <c r="AM70" s="153">
        <v>46055</v>
      </c>
      <c r="AN70" s="63">
        <f t="shared" si="37"/>
        <v>-29</v>
      </c>
      <c r="AO70" s="34" t="s">
        <v>65</v>
      </c>
      <c r="AP70" s="64">
        <f t="shared" si="29"/>
        <v>46100</v>
      </c>
      <c r="AQ70" s="64">
        <f t="shared" si="38"/>
        <v>46055</v>
      </c>
      <c r="AR70" s="65">
        <f t="shared" si="39"/>
        <v>50</v>
      </c>
      <c r="AS70" s="65">
        <f t="shared" si="40"/>
        <v>5</v>
      </c>
      <c r="AT70" s="157">
        <f t="shared" si="41"/>
        <v>45</v>
      </c>
      <c r="AU70" s="13"/>
      <c r="AV70" s="13" t="s">
        <v>59</v>
      </c>
      <c r="AW70" s="109">
        <f t="shared" si="30"/>
        <v>5528</v>
      </c>
      <c r="AX70" s="66">
        <f t="shared" si="42"/>
        <v>0</v>
      </c>
      <c r="AY70" s="66"/>
      <c r="AZ70" s="66">
        <f t="shared" si="43"/>
        <v>0</v>
      </c>
      <c r="BA70" s="67">
        <f t="shared" si="44"/>
        <v>0</v>
      </c>
    </row>
    <row r="71" spans="1:53" ht="21.6" customHeight="1" x14ac:dyDescent="0.3">
      <c r="A71" s="2" t="s">
        <v>202</v>
      </c>
      <c r="B71" s="15" t="s">
        <v>51</v>
      </c>
      <c r="C71" s="3" t="s">
        <v>78</v>
      </c>
      <c r="D71" s="3" t="s">
        <v>53</v>
      </c>
      <c r="E71" s="114">
        <v>1844</v>
      </c>
      <c r="F71" s="3" t="s">
        <v>288</v>
      </c>
      <c r="G71" s="144">
        <v>295</v>
      </c>
      <c r="H71" s="394">
        <v>46050</v>
      </c>
      <c r="I71" s="50">
        <v>46080</v>
      </c>
      <c r="J71" s="15">
        <f t="shared" si="31"/>
        <v>30</v>
      </c>
      <c r="K71" s="3" t="s">
        <v>55</v>
      </c>
      <c r="L71" s="3" t="s">
        <v>56</v>
      </c>
      <c r="M71" s="15" t="s">
        <v>57</v>
      </c>
      <c r="N71" s="3" t="s">
        <v>204</v>
      </c>
      <c r="O71" s="3" t="s">
        <v>59</v>
      </c>
      <c r="P71" s="8">
        <v>42691.839999999997</v>
      </c>
      <c r="Q71" s="44" t="s">
        <v>60</v>
      </c>
      <c r="R71" s="57">
        <f t="shared" si="32"/>
        <v>46050</v>
      </c>
      <c r="S71" s="13" t="s">
        <v>61</v>
      </c>
      <c r="T71" s="35">
        <v>46076</v>
      </c>
      <c r="U71" s="37">
        <v>46080</v>
      </c>
      <c r="V71" s="37">
        <f t="shared" si="45"/>
        <v>46080</v>
      </c>
      <c r="W71" s="59">
        <f t="shared" si="33"/>
        <v>30</v>
      </c>
      <c r="X71" s="59">
        <f t="shared" si="34"/>
        <v>30</v>
      </c>
      <c r="Y71" s="59">
        <f t="shared" si="35"/>
        <v>0</v>
      </c>
      <c r="Z71" s="39">
        <v>11997.68</v>
      </c>
      <c r="AA71" s="4" t="s">
        <v>238</v>
      </c>
      <c r="AB71" s="35">
        <v>46079</v>
      </c>
      <c r="AC71" s="13">
        <v>42691.839999999997</v>
      </c>
      <c r="AD71" s="174">
        <v>7364</v>
      </c>
      <c r="AE71" s="13" t="s">
        <v>63</v>
      </c>
      <c r="AF71" s="35">
        <v>46085</v>
      </c>
      <c r="AG71" s="3" t="str">
        <f>K71</f>
        <v>FOB</v>
      </c>
      <c r="AH71" s="13" t="s">
        <v>127</v>
      </c>
      <c r="AI71" s="36" t="e">
        <f>#REF!</f>
        <v>#REF!</v>
      </c>
      <c r="AJ71" s="36">
        <v>0</v>
      </c>
      <c r="AK71" s="142">
        <f t="shared" si="36"/>
        <v>0</v>
      </c>
      <c r="AL71" s="47">
        <v>46079</v>
      </c>
      <c r="AM71" s="153">
        <v>46079</v>
      </c>
      <c r="AN71" s="63">
        <f t="shared" si="37"/>
        <v>-6</v>
      </c>
      <c r="AO71" s="34" t="s">
        <v>65</v>
      </c>
      <c r="AP71" s="64">
        <f t="shared" si="29"/>
        <v>46080</v>
      </c>
      <c r="AQ71" s="64">
        <f t="shared" si="38"/>
        <v>46079</v>
      </c>
      <c r="AR71" s="65">
        <f t="shared" si="39"/>
        <v>30</v>
      </c>
      <c r="AS71" s="65">
        <f t="shared" si="40"/>
        <v>29</v>
      </c>
      <c r="AT71" s="157">
        <f t="shared" si="41"/>
        <v>1</v>
      </c>
      <c r="AU71" s="13"/>
      <c r="AV71" s="13" t="s">
        <v>59</v>
      </c>
      <c r="AW71" s="109">
        <f t="shared" si="30"/>
        <v>42691.839999999997</v>
      </c>
      <c r="AX71" s="66">
        <f t="shared" si="42"/>
        <v>11997.68</v>
      </c>
      <c r="AY71" s="66"/>
      <c r="AZ71" s="66">
        <f t="shared" si="43"/>
        <v>0</v>
      </c>
      <c r="BA71" s="67">
        <f t="shared" si="44"/>
        <v>11997.68</v>
      </c>
    </row>
    <row r="72" spans="1:53" ht="21.6" customHeight="1" x14ac:dyDescent="0.3">
      <c r="A72" s="2" t="s">
        <v>157</v>
      </c>
      <c r="B72" s="3" t="s">
        <v>96</v>
      </c>
      <c r="C72" s="3" t="s">
        <v>78</v>
      </c>
      <c r="D72" s="3" t="s">
        <v>53</v>
      </c>
      <c r="E72" s="3">
        <v>4481639</v>
      </c>
      <c r="F72" s="3" t="s">
        <v>289</v>
      </c>
      <c r="G72" s="144">
        <v>296</v>
      </c>
      <c r="H72" s="394">
        <v>46050</v>
      </c>
      <c r="I72" s="50">
        <v>46094</v>
      </c>
      <c r="J72" s="15">
        <f t="shared" si="31"/>
        <v>44</v>
      </c>
      <c r="K72" s="3" t="s">
        <v>70</v>
      </c>
      <c r="L72" s="3" t="s">
        <v>56</v>
      </c>
      <c r="M72" s="3" t="s">
        <v>159</v>
      </c>
      <c r="N72" s="3" t="s">
        <v>160</v>
      </c>
      <c r="O72" s="3" t="s">
        <v>59</v>
      </c>
      <c r="P72" s="137">
        <v>5568.8</v>
      </c>
      <c r="Q72" s="44" t="s">
        <v>100</v>
      </c>
      <c r="R72" s="57">
        <f t="shared" si="32"/>
        <v>46050</v>
      </c>
      <c r="S72" s="13" t="s">
        <v>61</v>
      </c>
      <c r="T72" s="35">
        <v>46065</v>
      </c>
      <c r="U72" s="37">
        <v>46066</v>
      </c>
      <c r="V72" s="37">
        <f t="shared" si="45"/>
        <v>46094</v>
      </c>
      <c r="W72" s="59">
        <f t="shared" si="33"/>
        <v>44</v>
      </c>
      <c r="X72" s="59">
        <f t="shared" si="34"/>
        <v>16</v>
      </c>
      <c r="Y72" s="59">
        <f t="shared" si="35"/>
        <v>28</v>
      </c>
      <c r="Z72" s="39">
        <v>707.37</v>
      </c>
      <c r="AA72" s="4" t="s">
        <v>231</v>
      </c>
      <c r="AB72" s="35">
        <v>46066</v>
      </c>
      <c r="AC72" s="13">
        <v>5568.8</v>
      </c>
      <c r="AD72" s="175">
        <v>7343</v>
      </c>
      <c r="AE72" s="13" t="s">
        <v>63</v>
      </c>
      <c r="AF72" s="35">
        <v>46066</v>
      </c>
      <c r="AG72" s="3" t="str">
        <f>K72</f>
        <v>CIF</v>
      </c>
      <c r="AH72" s="13" t="s">
        <v>102</v>
      </c>
      <c r="AI72" s="36" t="e">
        <f>#REF!</f>
        <v>#REF!</v>
      </c>
      <c r="AJ72" s="36">
        <v>165.26</v>
      </c>
      <c r="AK72" s="142">
        <f t="shared" si="36"/>
        <v>2.9676052291337449E-2</v>
      </c>
      <c r="AL72" s="47">
        <v>46084</v>
      </c>
      <c r="AM72" s="153">
        <v>46077</v>
      </c>
      <c r="AN72" s="63">
        <f t="shared" si="37"/>
        <v>11</v>
      </c>
      <c r="AO72" s="34" t="s">
        <v>65</v>
      </c>
      <c r="AP72" s="64">
        <f t="shared" si="29"/>
        <v>46094</v>
      </c>
      <c r="AQ72" s="64">
        <f t="shared" si="38"/>
        <v>46077</v>
      </c>
      <c r="AR72" s="65">
        <f t="shared" si="39"/>
        <v>44</v>
      </c>
      <c r="AS72" s="65">
        <f t="shared" si="40"/>
        <v>27</v>
      </c>
      <c r="AT72" s="157">
        <f t="shared" si="41"/>
        <v>17</v>
      </c>
      <c r="AU72" s="13"/>
      <c r="AV72" s="13" t="s">
        <v>59</v>
      </c>
      <c r="AW72" s="109">
        <f t="shared" si="30"/>
        <v>5568.8</v>
      </c>
      <c r="AX72" s="66">
        <f t="shared" si="42"/>
        <v>707.37</v>
      </c>
      <c r="AY72" s="66"/>
      <c r="AZ72" s="66">
        <f t="shared" si="43"/>
        <v>165.26</v>
      </c>
      <c r="BA72" s="67">
        <f t="shared" si="44"/>
        <v>872.63</v>
      </c>
    </row>
    <row r="73" spans="1:53" ht="21.6" customHeight="1" x14ac:dyDescent="0.3">
      <c r="A73" s="2" t="s">
        <v>284</v>
      </c>
      <c r="B73" s="3" t="s">
        <v>171</v>
      </c>
      <c r="C73" s="3" t="s">
        <v>52</v>
      </c>
      <c r="D73" s="3" t="s">
        <v>53</v>
      </c>
      <c r="E73" s="3">
        <v>4518128387</v>
      </c>
      <c r="F73" s="3" t="s">
        <v>53</v>
      </c>
      <c r="G73" s="144">
        <v>297</v>
      </c>
      <c r="H73" s="394">
        <v>46050</v>
      </c>
      <c r="I73" s="50">
        <v>46059</v>
      </c>
      <c r="J73" s="15">
        <f t="shared" si="31"/>
        <v>9</v>
      </c>
      <c r="K73" s="3" t="s">
        <v>55</v>
      </c>
      <c r="L73" s="3" t="s">
        <v>56</v>
      </c>
      <c r="M73" s="3" t="s">
        <v>186</v>
      </c>
      <c r="N73" s="3" t="s">
        <v>286</v>
      </c>
      <c r="O73" s="3" t="s">
        <v>59</v>
      </c>
      <c r="P73" s="8">
        <v>16345</v>
      </c>
      <c r="Q73" s="44" t="s">
        <v>60</v>
      </c>
      <c r="R73" s="57">
        <f t="shared" si="32"/>
        <v>46050</v>
      </c>
      <c r="S73" s="13" t="s">
        <v>61</v>
      </c>
      <c r="T73" s="35">
        <v>46055</v>
      </c>
      <c r="U73" s="37">
        <v>46055</v>
      </c>
      <c r="V73" s="37">
        <f t="shared" si="45"/>
        <v>46059</v>
      </c>
      <c r="W73" s="59">
        <f t="shared" si="33"/>
        <v>9</v>
      </c>
      <c r="X73" s="59">
        <f t="shared" si="34"/>
        <v>5</v>
      </c>
      <c r="Y73" s="59">
        <f t="shared" si="35"/>
        <v>4</v>
      </c>
      <c r="Z73" s="39">
        <v>2880.45</v>
      </c>
      <c r="AA73" s="4" t="s">
        <v>200</v>
      </c>
      <c r="AB73" s="35">
        <v>46056</v>
      </c>
      <c r="AC73" s="13">
        <v>16345</v>
      </c>
      <c r="AD73" s="174">
        <v>7312</v>
      </c>
      <c r="AE73" s="13" t="s">
        <v>63</v>
      </c>
      <c r="AF73" s="35">
        <v>46056</v>
      </c>
      <c r="AG73" s="3" t="s">
        <v>55</v>
      </c>
      <c r="AH73" s="13" t="s">
        <v>287</v>
      </c>
      <c r="AI73" s="36" t="e">
        <f>#REF!</f>
        <v>#REF!</v>
      </c>
      <c r="AJ73" s="36">
        <v>0</v>
      </c>
      <c r="AK73" s="142">
        <f t="shared" si="36"/>
        <v>0</v>
      </c>
      <c r="AL73" s="47">
        <v>46055</v>
      </c>
      <c r="AM73" s="153">
        <v>46055</v>
      </c>
      <c r="AN73" s="63">
        <f t="shared" si="37"/>
        <v>-1</v>
      </c>
      <c r="AO73" s="34" t="s">
        <v>65</v>
      </c>
      <c r="AP73" s="64">
        <f t="shared" si="29"/>
        <v>46059</v>
      </c>
      <c r="AQ73" s="64">
        <f t="shared" si="38"/>
        <v>46055</v>
      </c>
      <c r="AR73" s="65">
        <f t="shared" si="39"/>
        <v>9</v>
      </c>
      <c r="AS73" s="65">
        <f t="shared" si="40"/>
        <v>5</v>
      </c>
      <c r="AT73" s="157">
        <f t="shared" si="41"/>
        <v>4</v>
      </c>
      <c r="AU73" s="13"/>
      <c r="AV73" s="13" t="s">
        <v>59</v>
      </c>
      <c r="AW73" s="109">
        <f t="shared" si="30"/>
        <v>16345</v>
      </c>
      <c r="AX73" s="66">
        <f t="shared" si="42"/>
        <v>2880.45</v>
      </c>
      <c r="AY73" s="66"/>
      <c r="AZ73" s="66">
        <f t="shared" si="43"/>
        <v>0</v>
      </c>
      <c r="BA73" s="67">
        <f t="shared" si="44"/>
        <v>2880.45</v>
      </c>
    </row>
    <row r="74" spans="1:53" ht="21.6" customHeight="1" x14ac:dyDescent="0.3">
      <c r="A74" s="2" t="s">
        <v>157</v>
      </c>
      <c r="B74" s="3" t="s">
        <v>96</v>
      </c>
      <c r="C74" s="3" t="s">
        <v>78</v>
      </c>
      <c r="D74" s="3" t="s">
        <v>53</v>
      </c>
      <c r="E74" s="3">
        <v>4483012</v>
      </c>
      <c r="F74" s="3" t="s">
        <v>290</v>
      </c>
      <c r="G74" s="144">
        <v>298</v>
      </c>
      <c r="H74" s="394">
        <v>46051</v>
      </c>
      <c r="I74" s="50">
        <v>46094</v>
      </c>
      <c r="J74" s="15">
        <f t="shared" si="31"/>
        <v>43</v>
      </c>
      <c r="K74" s="3" t="s">
        <v>70</v>
      </c>
      <c r="L74" s="3" t="s">
        <v>56</v>
      </c>
      <c r="M74" s="3" t="s">
        <v>159</v>
      </c>
      <c r="N74" s="3" t="s">
        <v>160</v>
      </c>
      <c r="O74" s="3" t="s">
        <v>59</v>
      </c>
      <c r="P74" s="8">
        <v>8353.2000000000007</v>
      </c>
      <c r="Q74" s="44" t="s">
        <v>100</v>
      </c>
      <c r="R74" s="57">
        <f t="shared" si="32"/>
        <v>46051</v>
      </c>
      <c r="S74" s="13" t="s">
        <v>61</v>
      </c>
      <c r="T74" s="35">
        <v>46065</v>
      </c>
      <c r="U74" s="37">
        <v>46066</v>
      </c>
      <c r="V74" s="37">
        <f t="shared" si="45"/>
        <v>46094</v>
      </c>
      <c r="W74" s="59">
        <f t="shared" si="33"/>
        <v>43</v>
      </c>
      <c r="X74" s="59">
        <f t="shared" si="34"/>
        <v>15</v>
      </c>
      <c r="Y74" s="59">
        <f t="shared" si="35"/>
        <v>28</v>
      </c>
      <c r="Z74" s="39">
        <v>1060.25</v>
      </c>
      <c r="AA74" s="4" t="s">
        <v>231</v>
      </c>
      <c r="AB74" s="35">
        <v>46066</v>
      </c>
      <c r="AC74" s="13">
        <v>8353.2000000000007</v>
      </c>
      <c r="AD74" s="175">
        <v>7342</v>
      </c>
      <c r="AE74" s="13" t="s">
        <v>63</v>
      </c>
      <c r="AF74" s="35">
        <v>46066</v>
      </c>
      <c r="AG74" s="3" t="str">
        <f>K74</f>
        <v>CIF</v>
      </c>
      <c r="AH74" s="13" t="s">
        <v>102</v>
      </c>
      <c r="AI74" s="36" t="e">
        <f>#REF!</f>
        <v>#REF!</v>
      </c>
      <c r="AJ74" s="36">
        <v>198.22</v>
      </c>
      <c r="AK74" s="142">
        <f t="shared" si="36"/>
        <v>2.3729828089833833E-2</v>
      </c>
      <c r="AL74" s="47">
        <v>46084</v>
      </c>
      <c r="AM74" s="153">
        <v>46077</v>
      </c>
      <c r="AN74" s="63">
        <f t="shared" si="37"/>
        <v>11</v>
      </c>
      <c r="AO74" s="34" t="s">
        <v>65</v>
      </c>
      <c r="AP74" s="64">
        <f t="shared" si="29"/>
        <v>46094</v>
      </c>
      <c r="AQ74" s="64">
        <f t="shared" si="38"/>
        <v>46077</v>
      </c>
      <c r="AR74" s="65">
        <f t="shared" si="39"/>
        <v>43</v>
      </c>
      <c r="AS74" s="65">
        <f t="shared" si="40"/>
        <v>26</v>
      </c>
      <c r="AT74" s="157">
        <f t="shared" si="41"/>
        <v>17</v>
      </c>
      <c r="AU74" s="13"/>
      <c r="AV74" s="13" t="s">
        <v>59</v>
      </c>
      <c r="AW74" s="109">
        <f t="shared" si="30"/>
        <v>8353.2000000000007</v>
      </c>
      <c r="AX74" s="66">
        <f t="shared" si="42"/>
        <v>1060.25</v>
      </c>
      <c r="AY74" s="66"/>
      <c r="AZ74" s="66">
        <f t="shared" si="43"/>
        <v>198.22</v>
      </c>
      <c r="BA74" s="67">
        <f t="shared" si="44"/>
        <v>1258.47</v>
      </c>
    </row>
    <row r="75" spans="1:53" ht="21.6" customHeight="1" x14ac:dyDescent="0.3">
      <c r="A75" s="2" t="s">
        <v>291</v>
      </c>
      <c r="B75" s="3" t="s">
        <v>292</v>
      </c>
      <c r="C75" s="3" t="s">
        <v>78</v>
      </c>
      <c r="D75" s="3" t="s">
        <v>53</v>
      </c>
      <c r="E75" s="3">
        <v>4500239928</v>
      </c>
      <c r="F75" s="3" t="s">
        <v>293</v>
      </c>
      <c r="G75" s="144">
        <v>299</v>
      </c>
      <c r="H75" s="394">
        <v>46052</v>
      </c>
      <c r="I75" s="50">
        <v>46076</v>
      </c>
      <c r="J75" s="15">
        <f t="shared" si="31"/>
        <v>24</v>
      </c>
      <c r="K75" s="3" t="s">
        <v>55</v>
      </c>
      <c r="L75" s="3" t="s">
        <v>56</v>
      </c>
      <c r="M75" s="3" t="s">
        <v>294</v>
      </c>
      <c r="N75" s="3" t="s">
        <v>295</v>
      </c>
      <c r="O75" s="3" t="s">
        <v>59</v>
      </c>
      <c r="P75" s="8">
        <v>1924.47</v>
      </c>
      <c r="Q75" s="44" t="s">
        <v>100</v>
      </c>
      <c r="R75" s="57">
        <f t="shared" si="32"/>
        <v>46052</v>
      </c>
      <c r="S75" s="13" t="s">
        <v>61</v>
      </c>
      <c r="T75" s="35">
        <v>46071</v>
      </c>
      <c r="U75" s="37">
        <v>46066</v>
      </c>
      <c r="V75" s="37">
        <f t="shared" si="45"/>
        <v>46076</v>
      </c>
      <c r="W75" s="59">
        <f t="shared" si="33"/>
        <v>24</v>
      </c>
      <c r="X75" s="59">
        <f t="shared" si="34"/>
        <v>14</v>
      </c>
      <c r="Y75" s="59">
        <f t="shared" si="35"/>
        <v>10</v>
      </c>
      <c r="Z75" s="39">
        <v>436.24</v>
      </c>
      <c r="AA75" s="4" t="s">
        <v>231</v>
      </c>
      <c r="AB75" s="35">
        <v>46072</v>
      </c>
      <c r="AC75" s="13">
        <v>1924.47</v>
      </c>
      <c r="AD75" s="174">
        <v>7348</v>
      </c>
      <c r="AE75" s="13" t="s">
        <v>63</v>
      </c>
      <c r="AF75" s="35">
        <v>46076</v>
      </c>
      <c r="AG75" s="3" t="str">
        <f>K75</f>
        <v>FOB</v>
      </c>
      <c r="AH75" s="13" t="s">
        <v>296</v>
      </c>
      <c r="AI75" s="36" t="e">
        <f>#REF!</f>
        <v>#REF!</v>
      </c>
      <c r="AJ75" s="36">
        <v>0</v>
      </c>
      <c r="AK75" s="142">
        <f t="shared" si="36"/>
        <v>0</v>
      </c>
      <c r="AL75" s="47"/>
      <c r="AM75" s="153">
        <v>46066</v>
      </c>
      <c r="AN75" s="63">
        <f t="shared" si="37"/>
        <v>-10</v>
      </c>
      <c r="AO75" s="34" t="s">
        <v>65</v>
      </c>
      <c r="AP75" s="64">
        <f t="shared" si="29"/>
        <v>46076</v>
      </c>
      <c r="AQ75" s="64">
        <f t="shared" si="38"/>
        <v>46066</v>
      </c>
      <c r="AR75" s="65">
        <f t="shared" si="39"/>
        <v>24</v>
      </c>
      <c r="AS75" s="65">
        <f t="shared" si="40"/>
        <v>14</v>
      </c>
      <c r="AT75" s="157">
        <f t="shared" si="41"/>
        <v>10</v>
      </c>
      <c r="AU75" s="13"/>
      <c r="AV75" s="13" t="s">
        <v>59</v>
      </c>
      <c r="AW75" s="109">
        <f t="shared" si="30"/>
        <v>1924.47</v>
      </c>
      <c r="AX75" s="66">
        <f t="shared" si="42"/>
        <v>436.24</v>
      </c>
      <c r="AY75" s="66"/>
      <c r="AZ75" s="66">
        <f t="shared" si="43"/>
        <v>0</v>
      </c>
      <c r="BA75" s="67">
        <f t="shared" si="44"/>
        <v>436.24</v>
      </c>
    </row>
    <row r="76" spans="1:53" ht="21.6" customHeight="1" x14ac:dyDescent="0.3">
      <c r="A76" s="2" t="s">
        <v>297</v>
      </c>
      <c r="B76" s="3" t="s">
        <v>163</v>
      </c>
      <c r="C76" s="3" t="s">
        <v>78</v>
      </c>
      <c r="D76" s="3" t="s">
        <v>53</v>
      </c>
      <c r="E76" s="3">
        <v>335</v>
      </c>
      <c r="F76" s="3" t="s">
        <v>298</v>
      </c>
      <c r="G76" s="144">
        <v>303</v>
      </c>
      <c r="H76" s="394">
        <v>46055</v>
      </c>
      <c r="I76" s="50">
        <v>46083</v>
      </c>
      <c r="J76" s="15">
        <f t="shared" si="31"/>
        <v>28</v>
      </c>
      <c r="K76" s="3" t="s">
        <v>70</v>
      </c>
      <c r="L76" s="3" t="s">
        <v>56</v>
      </c>
      <c r="M76" s="3" t="s">
        <v>299</v>
      </c>
      <c r="N76" s="3" t="s">
        <v>300</v>
      </c>
      <c r="O76" s="3" t="s">
        <v>59</v>
      </c>
      <c r="P76" s="8">
        <v>4659.8</v>
      </c>
      <c r="Q76" s="44" t="s">
        <v>60</v>
      </c>
      <c r="R76" s="57">
        <f t="shared" si="32"/>
        <v>46055</v>
      </c>
      <c r="S76" s="13" t="s">
        <v>61</v>
      </c>
      <c r="T76" s="35">
        <v>46071</v>
      </c>
      <c r="U76" s="37">
        <v>46066</v>
      </c>
      <c r="V76" s="37">
        <f t="shared" si="45"/>
        <v>46083</v>
      </c>
      <c r="W76" s="59">
        <f t="shared" si="33"/>
        <v>28</v>
      </c>
      <c r="X76" s="59">
        <f t="shared" si="34"/>
        <v>11</v>
      </c>
      <c r="Y76" s="59">
        <f t="shared" si="35"/>
        <v>17</v>
      </c>
      <c r="Z76" s="39">
        <v>562.05999999999995</v>
      </c>
      <c r="AA76" s="4" t="s">
        <v>231</v>
      </c>
      <c r="AB76" s="35">
        <v>46066</v>
      </c>
      <c r="AC76" s="13">
        <v>4659.8</v>
      </c>
      <c r="AD76" s="175">
        <v>7346</v>
      </c>
      <c r="AE76" s="13" t="s">
        <v>63</v>
      </c>
      <c r="AF76" s="35">
        <v>46071</v>
      </c>
      <c r="AG76" s="3" t="s">
        <v>55</v>
      </c>
      <c r="AH76" s="13" t="s">
        <v>201</v>
      </c>
      <c r="AI76" s="36" t="e">
        <f>#REF!</f>
        <v>#REF!</v>
      </c>
      <c r="AJ76" s="36">
        <v>0</v>
      </c>
      <c r="AK76" s="142">
        <f t="shared" si="36"/>
        <v>0</v>
      </c>
      <c r="AL76" s="47">
        <v>46080</v>
      </c>
      <c r="AM76" s="153">
        <v>46080</v>
      </c>
      <c r="AN76" s="63">
        <f t="shared" si="37"/>
        <v>9</v>
      </c>
      <c r="AO76" s="34" t="s">
        <v>65</v>
      </c>
      <c r="AP76" s="64">
        <f t="shared" si="29"/>
        <v>46083</v>
      </c>
      <c r="AQ76" s="64">
        <f t="shared" si="38"/>
        <v>46080</v>
      </c>
      <c r="AR76" s="65">
        <f t="shared" si="39"/>
        <v>28</v>
      </c>
      <c r="AS76" s="65">
        <f t="shared" si="40"/>
        <v>25</v>
      </c>
      <c r="AT76" s="157">
        <f t="shared" si="41"/>
        <v>3</v>
      </c>
      <c r="AU76" s="13"/>
      <c r="AV76" s="13" t="s">
        <v>59</v>
      </c>
      <c r="AW76" s="109">
        <f t="shared" si="30"/>
        <v>4659.8</v>
      </c>
      <c r="AX76" s="66">
        <f t="shared" si="42"/>
        <v>562.05999999999995</v>
      </c>
      <c r="AY76" s="66"/>
      <c r="AZ76" s="66">
        <f t="shared" si="43"/>
        <v>0</v>
      </c>
      <c r="BA76" s="67">
        <f t="shared" si="44"/>
        <v>562.05999999999995</v>
      </c>
    </row>
    <row r="77" spans="1:53" ht="21.6" customHeight="1" x14ac:dyDescent="0.3">
      <c r="A77" s="2" t="s">
        <v>301</v>
      </c>
      <c r="B77" s="3" t="s">
        <v>91</v>
      </c>
      <c r="C77" s="3" t="s">
        <v>78</v>
      </c>
      <c r="D77" s="3" t="s">
        <v>53</v>
      </c>
      <c r="E77" s="3">
        <v>7700000683</v>
      </c>
      <c r="F77" s="3" t="s">
        <v>302</v>
      </c>
      <c r="G77" s="144">
        <v>304</v>
      </c>
      <c r="H77" s="394">
        <v>46055</v>
      </c>
      <c r="I77" s="50">
        <v>46083</v>
      </c>
      <c r="J77" s="15">
        <f t="shared" si="31"/>
        <v>28</v>
      </c>
      <c r="K77" s="3" t="s">
        <v>55</v>
      </c>
      <c r="L77" s="3" t="s">
        <v>56</v>
      </c>
      <c r="M77" s="3" t="s">
        <v>92</v>
      </c>
      <c r="N77" s="3" t="s">
        <v>303</v>
      </c>
      <c r="O77" s="3" t="s">
        <v>59</v>
      </c>
      <c r="P77" s="8">
        <v>24620.22</v>
      </c>
      <c r="Q77" s="44" t="s">
        <v>100</v>
      </c>
      <c r="R77" s="57">
        <f t="shared" si="32"/>
        <v>46055</v>
      </c>
      <c r="S77" s="13" t="s">
        <v>61</v>
      </c>
      <c r="T77" s="165">
        <v>46092</v>
      </c>
      <c r="U77" s="37">
        <v>46100</v>
      </c>
      <c r="V77" s="37">
        <f t="shared" si="45"/>
        <v>46083</v>
      </c>
      <c r="W77" s="59">
        <f t="shared" si="33"/>
        <v>28</v>
      </c>
      <c r="X77" s="59">
        <f t="shared" si="34"/>
        <v>45</v>
      </c>
      <c r="Y77" s="59">
        <f t="shared" si="35"/>
        <v>-17</v>
      </c>
      <c r="Z77" s="39"/>
      <c r="AA77" s="4" t="s">
        <v>304</v>
      </c>
      <c r="AB77" s="35">
        <v>46107</v>
      </c>
      <c r="AC77" s="13">
        <v>24620.22</v>
      </c>
      <c r="AD77" s="174">
        <v>7454</v>
      </c>
      <c r="AE77" s="13" t="s">
        <v>63</v>
      </c>
      <c r="AF77" s="35">
        <v>46107</v>
      </c>
      <c r="AG77" s="3" t="str">
        <f t="shared" ref="AG77:AG84" si="46">K77</f>
        <v>FOB</v>
      </c>
      <c r="AH77" s="13" t="s">
        <v>305</v>
      </c>
      <c r="AI77" s="36" t="e">
        <f>#REF!</f>
        <v>#REF!</v>
      </c>
      <c r="AJ77" s="36">
        <v>0</v>
      </c>
      <c r="AK77" s="142">
        <f t="shared" si="36"/>
        <v>0</v>
      </c>
      <c r="AL77" s="47">
        <v>46100</v>
      </c>
      <c r="AM77" s="153">
        <v>46100</v>
      </c>
      <c r="AN77" s="63">
        <f t="shared" si="37"/>
        <v>-7</v>
      </c>
      <c r="AO77" s="34" t="s">
        <v>103</v>
      </c>
      <c r="AP77" s="64">
        <f t="shared" si="29"/>
        <v>46083</v>
      </c>
      <c r="AQ77" s="64">
        <f t="shared" si="38"/>
        <v>46100</v>
      </c>
      <c r="AR77" s="65">
        <f t="shared" si="39"/>
        <v>28</v>
      </c>
      <c r="AS77" s="65">
        <f t="shared" si="40"/>
        <v>45</v>
      </c>
      <c r="AT77" s="157">
        <f t="shared" si="41"/>
        <v>-17</v>
      </c>
      <c r="AU77" s="13" t="s">
        <v>306</v>
      </c>
      <c r="AV77" s="13" t="s">
        <v>116</v>
      </c>
      <c r="AW77" s="109">
        <f t="shared" si="30"/>
        <v>24620.22</v>
      </c>
      <c r="AX77" s="66">
        <f t="shared" si="42"/>
        <v>0</v>
      </c>
      <c r="AY77" s="66"/>
      <c r="AZ77" s="66">
        <f t="shared" si="43"/>
        <v>0</v>
      </c>
      <c r="BA77" s="67">
        <f t="shared" si="44"/>
        <v>0</v>
      </c>
    </row>
    <row r="78" spans="1:53" ht="21.6" customHeight="1" x14ac:dyDescent="0.3">
      <c r="A78" s="2" t="s">
        <v>307</v>
      </c>
      <c r="B78" s="3" t="s">
        <v>163</v>
      </c>
      <c r="C78" s="3" t="s">
        <v>52</v>
      </c>
      <c r="D78" s="3"/>
      <c r="E78" s="3">
        <v>4501773099</v>
      </c>
      <c r="F78" s="3" t="s">
        <v>53</v>
      </c>
      <c r="G78" s="144">
        <v>305</v>
      </c>
      <c r="H78" s="394">
        <v>46055</v>
      </c>
      <c r="I78" s="50">
        <v>46086</v>
      </c>
      <c r="J78" s="15">
        <f t="shared" si="31"/>
        <v>31</v>
      </c>
      <c r="K78" s="3" t="s">
        <v>70</v>
      </c>
      <c r="L78" s="3" t="s">
        <v>56</v>
      </c>
      <c r="M78" s="3" t="s">
        <v>165</v>
      </c>
      <c r="N78" s="3" t="s">
        <v>166</v>
      </c>
      <c r="O78" s="3" t="s">
        <v>59</v>
      </c>
      <c r="P78" s="8">
        <v>4242</v>
      </c>
      <c r="Q78" s="44" t="s">
        <v>100</v>
      </c>
      <c r="R78" s="57">
        <f t="shared" si="32"/>
        <v>46055</v>
      </c>
      <c r="S78" s="13" t="s">
        <v>61</v>
      </c>
      <c r="T78" s="35">
        <v>46071</v>
      </c>
      <c r="U78" s="37">
        <v>46071</v>
      </c>
      <c r="V78" s="37">
        <v>46086</v>
      </c>
      <c r="W78" s="59">
        <f t="shared" si="33"/>
        <v>31</v>
      </c>
      <c r="X78" s="59">
        <f t="shared" si="34"/>
        <v>16</v>
      </c>
      <c r="Y78" s="59">
        <f t="shared" si="35"/>
        <v>15</v>
      </c>
      <c r="Z78" s="39">
        <v>842.77</v>
      </c>
      <c r="AA78" s="4" t="s">
        <v>231</v>
      </c>
      <c r="AB78" s="35">
        <v>46072</v>
      </c>
      <c r="AC78" s="13">
        <v>4242</v>
      </c>
      <c r="AD78" s="175">
        <v>7349</v>
      </c>
      <c r="AE78" s="13" t="s">
        <v>63</v>
      </c>
      <c r="AF78" s="35">
        <v>46076</v>
      </c>
      <c r="AG78" s="3" t="str">
        <f t="shared" si="46"/>
        <v>CIF</v>
      </c>
      <c r="AH78" s="13" t="s">
        <v>245</v>
      </c>
      <c r="AI78" s="36" t="e">
        <f>#REF!</f>
        <v>#REF!</v>
      </c>
      <c r="AJ78" s="36">
        <v>570.70000000000005</v>
      </c>
      <c r="AK78" s="142">
        <f t="shared" si="36"/>
        <v>0.13453559641678456</v>
      </c>
      <c r="AL78" s="47">
        <v>46079</v>
      </c>
      <c r="AM78" s="153">
        <v>46080</v>
      </c>
      <c r="AN78" s="63">
        <f t="shared" si="37"/>
        <v>4</v>
      </c>
      <c r="AO78" s="34" t="s">
        <v>65</v>
      </c>
      <c r="AP78" s="64">
        <f t="shared" si="29"/>
        <v>46086</v>
      </c>
      <c r="AQ78" s="64">
        <f t="shared" si="38"/>
        <v>46080</v>
      </c>
      <c r="AR78" s="65">
        <f t="shared" si="39"/>
        <v>31</v>
      </c>
      <c r="AS78" s="65">
        <f t="shared" si="40"/>
        <v>25</v>
      </c>
      <c r="AT78" s="157">
        <f t="shared" si="41"/>
        <v>6</v>
      </c>
      <c r="AU78" s="13"/>
      <c r="AV78" s="13" t="s">
        <v>59</v>
      </c>
      <c r="AW78" s="109">
        <f t="shared" si="30"/>
        <v>4242</v>
      </c>
      <c r="AX78" s="66">
        <f t="shared" si="42"/>
        <v>842.77</v>
      </c>
      <c r="AY78" s="66"/>
      <c r="AZ78" s="66">
        <f t="shared" si="43"/>
        <v>570.70000000000005</v>
      </c>
      <c r="BA78" s="67">
        <f t="shared" si="44"/>
        <v>1413.47</v>
      </c>
    </row>
    <row r="79" spans="1:53" ht="21.6" customHeight="1" x14ac:dyDescent="0.3">
      <c r="A79" s="77" t="s">
        <v>210</v>
      </c>
      <c r="B79" s="3" t="s">
        <v>91</v>
      </c>
      <c r="C79" s="78" t="s">
        <v>78</v>
      </c>
      <c r="D79" s="79" t="s">
        <v>53</v>
      </c>
      <c r="E79" s="79" t="s">
        <v>53</v>
      </c>
      <c r="F79" s="78" t="s">
        <v>308</v>
      </c>
      <c r="G79" s="148">
        <v>306</v>
      </c>
      <c r="H79" s="395">
        <v>46056</v>
      </c>
      <c r="I79" s="80">
        <v>46066</v>
      </c>
      <c r="J79" s="15">
        <f t="shared" si="31"/>
        <v>10</v>
      </c>
      <c r="K79" s="78" t="s">
        <v>55</v>
      </c>
      <c r="L79" s="78" t="s">
        <v>56</v>
      </c>
      <c r="M79" s="78" t="s">
        <v>92</v>
      </c>
      <c r="N79" s="78" t="s">
        <v>212</v>
      </c>
      <c r="O79" s="81" t="s">
        <v>59</v>
      </c>
      <c r="P79" s="160">
        <v>3164.8</v>
      </c>
      <c r="Q79" s="44" t="s">
        <v>100</v>
      </c>
      <c r="R79" s="57">
        <f t="shared" si="32"/>
        <v>46056</v>
      </c>
      <c r="S79" s="13" t="s">
        <v>61</v>
      </c>
      <c r="T79" s="35">
        <v>46065</v>
      </c>
      <c r="U79" s="37">
        <v>46063</v>
      </c>
      <c r="V79" s="37">
        <f t="shared" ref="V79:V110" si="47">I79</f>
        <v>46066</v>
      </c>
      <c r="W79" s="59">
        <f t="shared" si="33"/>
        <v>10</v>
      </c>
      <c r="X79" s="59">
        <f t="shared" si="34"/>
        <v>7</v>
      </c>
      <c r="Y79" s="59">
        <f t="shared" si="35"/>
        <v>3</v>
      </c>
      <c r="Z79" s="39">
        <v>341.43</v>
      </c>
      <c r="AA79" s="4" t="s">
        <v>231</v>
      </c>
      <c r="AB79" s="35">
        <v>46064</v>
      </c>
      <c r="AC79" s="13">
        <v>3164.8</v>
      </c>
      <c r="AD79" s="174">
        <v>7332</v>
      </c>
      <c r="AE79" s="13" t="s">
        <v>63</v>
      </c>
      <c r="AF79" s="35">
        <v>46064</v>
      </c>
      <c r="AG79" s="3" t="str">
        <f t="shared" si="46"/>
        <v>FOB</v>
      </c>
      <c r="AH79" s="13" t="s">
        <v>210</v>
      </c>
      <c r="AI79" s="36">
        <v>0</v>
      </c>
      <c r="AJ79" s="36">
        <v>0</v>
      </c>
      <c r="AK79" s="142">
        <f t="shared" si="36"/>
        <v>0</v>
      </c>
      <c r="AL79" s="47">
        <v>46064</v>
      </c>
      <c r="AM79" s="153">
        <v>46064</v>
      </c>
      <c r="AN79" s="63">
        <f t="shared" si="37"/>
        <v>0</v>
      </c>
      <c r="AO79" s="34" t="s">
        <v>65</v>
      </c>
      <c r="AP79" s="64">
        <f t="shared" si="29"/>
        <v>46066</v>
      </c>
      <c r="AQ79" s="64">
        <f t="shared" si="38"/>
        <v>46064</v>
      </c>
      <c r="AR79" s="65">
        <f t="shared" si="39"/>
        <v>10</v>
      </c>
      <c r="AS79" s="65">
        <f t="shared" si="40"/>
        <v>8</v>
      </c>
      <c r="AT79" s="157">
        <f t="shared" si="41"/>
        <v>2</v>
      </c>
      <c r="AU79" s="13"/>
      <c r="AV79" s="13" t="s">
        <v>59</v>
      </c>
      <c r="AW79" s="109">
        <f t="shared" si="30"/>
        <v>3164.8</v>
      </c>
      <c r="AX79" s="66">
        <f t="shared" si="42"/>
        <v>341.43</v>
      </c>
      <c r="AY79" s="66"/>
      <c r="AZ79" s="66">
        <f t="shared" si="43"/>
        <v>0</v>
      </c>
      <c r="BA79" s="67">
        <f t="shared" si="44"/>
        <v>341.43</v>
      </c>
    </row>
    <row r="80" spans="1:53" s="9" customFormat="1" ht="21.6" customHeight="1" x14ac:dyDescent="0.3">
      <c r="A80" s="131" t="s">
        <v>157</v>
      </c>
      <c r="B80" s="3" t="s">
        <v>96</v>
      </c>
      <c r="C80" s="132" t="s">
        <v>78</v>
      </c>
      <c r="D80" s="133" t="s">
        <v>53</v>
      </c>
      <c r="E80" s="131">
        <v>4487646</v>
      </c>
      <c r="F80" s="131" t="s">
        <v>309</v>
      </c>
      <c r="G80" s="149">
        <v>307</v>
      </c>
      <c r="H80" s="397">
        <v>46056</v>
      </c>
      <c r="I80" s="156">
        <v>46097</v>
      </c>
      <c r="J80" s="15">
        <f t="shared" si="31"/>
        <v>41</v>
      </c>
      <c r="K80" s="131" t="s">
        <v>70</v>
      </c>
      <c r="L80" s="131" t="s">
        <v>56</v>
      </c>
      <c r="M80" s="131" t="s">
        <v>159</v>
      </c>
      <c r="N80" s="131" t="s">
        <v>310</v>
      </c>
      <c r="O80" s="134" t="s">
        <v>59</v>
      </c>
      <c r="P80" s="161">
        <v>5568.8</v>
      </c>
      <c r="Q80" s="44" t="s">
        <v>100</v>
      </c>
      <c r="R80" s="57">
        <f t="shared" si="32"/>
        <v>46056</v>
      </c>
      <c r="S80" s="13" t="s">
        <v>61</v>
      </c>
      <c r="T80" s="35">
        <v>46065</v>
      </c>
      <c r="U80" s="37">
        <v>46066</v>
      </c>
      <c r="V80" s="37">
        <f t="shared" si="47"/>
        <v>46097</v>
      </c>
      <c r="W80" s="59">
        <f t="shared" si="33"/>
        <v>41</v>
      </c>
      <c r="X80" s="59">
        <f t="shared" si="34"/>
        <v>10</v>
      </c>
      <c r="Y80" s="59">
        <f t="shared" si="35"/>
        <v>31</v>
      </c>
      <c r="Z80" s="39">
        <v>707.37</v>
      </c>
      <c r="AA80" s="4" t="s">
        <v>231</v>
      </c>
      <c r="AB80" s="35">
        <v>46066</v>
      </c>
      <c r="AC80" s="13">
        <v>5568.8</v>
      </c>
      <c r="AD80" s="175">
        <v>7345</v>
      </c>
      <c r="AE80" s="13" t="s">
        <v>63</v>
      </c>
      <c r="AF80" s="35">
        <v>46066</v>
      </c>
      <c r="AG80" s="3" t="str">
        <f t="shared" si="46"/>
        <v>CIF</v>
      </c>
      <c r="AH80" s="13" t="s">
        <v>102</v>
      </c>
      <c r="AI80" s="36" t="e">
        <f>#REF!</f>
        <v>#REF!</v>
      </c>
      <c r="AJ80" s="36">
        <v>165.26</v>
      </c>
      <c r="AK80" s="142">
        <f t="shared" si="36"/>
        <v>2.9676052291337449E-2</v>
      </c>
      <c r="AL80" s="47">
        <v>46080</v>
      </c>
      <c r="AM80" s="153">
        <v>46073</v>
      </c>
      <c r="AN80" s="63">
        <f t="shared" si="37"/>
        <v>7</v>
      </c>
      <c r="AO80" s="34" t="s">
        <v>65</v>
      </c>
      <c r="AP80" s="64">
        <f t="shared" si="29"/>
        <v>46097</v>
      </c>
      <c r="AQ80" s="64">
        <f t="shared" si="38"/>
        <v>46073</v>
      </c>
      <c r="AR80" s="65">
        <f t="shared" si="39"/>
        <v>41</v>
      </c>
      <c r="AS80" s="65">
        <f t="shared" si="40"/>
        <v>17</v>
      </c>
      <c r="AT80" s="157">
        <f t="shared" si="41"/>
        <v>24</v>
      </c>
      <c r="AU80" s="13"/>
      <c r="AV80" s="13" t="s">
        <v>59</v>
      </c>
      <c r="AW80" s="109">
        <f t="shared" si="30"/>
        <v>5568.8</v>
      </c>
      <c r="AX80" s="66">
        <f t="shared" si="42"/>
        <v>707.37</v>
      </c>
      <c r="AY80" s="66"/>
      <c r="AZ80" s="66">
        <f t="shared" si="43"/>
        <v>165.26</v>
      </c>
      <c r="BA80" s="67">
        <f t="shared" si="44"/>
        <v>872.63</v>
      </c>
    </row>
    <row r="81" spans="1:53" ht="21.6" customHeight="1" x14ac:dyDescent="0.3">
      <c r="A81" s="367" t="s">
        <v>307</v>
      </c>
      <c r="B81" s="3" t="s">
        <v>96</v>
      </c>
      <c r="C81" s="138" t="s">
        <v>78</v>
      </c>
      <c r="D81" s="368" t="s">
        <v>53</v>
      </c>
      <c r="E81" s="367">
        <v>4501921948</v>
      </c>
      <c r="F81" s="368" t="s">
        <v>53</v>
      </c>
      <c r="G81" s="370">
        <v>308</v>
      </c>
      <c r="H81" s="397">
        <v>46056</v>
      </c>
      <c r="I81" s="371">
        <v>46092</v>
      </c>
      <c r="J81" s="15">
        <f t="shared" si="31"/>
        <v>36</v>
      </c>
      <c r="K81" s="367" t="s">
        <v>70</v>
      </c>
      <c r="L81" s="367" t="s">
        <v>56</v>
      </c>
      <c r="M81" s="367" t="s">
        <v>255</v>
      </c>
      <c r="N81" s="367" t="s">
        <v>311</v>
      </c>
      <c r="O81" s="134" t="s">
        <v>59</v>
      </c>
      <c r="P81" s="161">
        <v>1672.73</v>
      </c>
      <c r="Q81" s="44" t="s">
        <v>100</v>
      </c>
      <c r="R81" s="57">
        <f t="shared" si="32"/>
        <v>46056</v>
      </c>
      <c r="S81" s="13" t="s">
        <v>61</v>
      </c>
      <c r="T81" s="35">
        <v>46079</v>
      </c>
      <c r="U81" s="37">
        <v>46080</v>
      </c>
      <c r="V81" s="37">
        <f t="shared" si="47"/>
        <v>46092</v>
      </c>
      <c r="W81" s="59">
        <f t="shared" si="33"/>
        <v>36</v>
      </c>
      <c r="X81" s="59">
        <f t="shared" si="34"/>
        <v>24</v>
      </c>
      <c r="Y81" s="59">
        <f t="shared" si="35"/>
        <v>12</v>
      </c>
      <c r="Z81" s="39">
        <v>488.69</v>
      </c>
      <c r="AA81" s="4" t="s">
        <v>141</v>
      </c>
      <c r="AB81" s="35">
        <v>46079</v>
      </c>
      <c r="AC81" s="13">
        <v>1672.73</v>
      </c>
      <c r="AD81" s="175">
        <v>7367</v>
      </c>
      <c r="AE81" s="13" t="s">
        <v>63</v>
      </c>
      <c r="AF81" s="35">
        <v>46080</v>
      </c>
      <c r="AG81" s="3" t="str">
        <f t="shared" si="46"/>
        <v>CIF</v>
      </c>
      <c r="AH81" s="13" t="s">
        <v>312</v>
      </c>
      <c r="AI81" s="36" t="e">
        <f>#REF!</f>
        <v>#REF!</v>
      </c>
      <c r="AJ81" s="36">
        <v>173.43</v>
      </c>
      <c r="AK81" s="142">
        <f t="shared" si="36"/>
        <v>0.10368080921607194</v>
      </c>
      <c r="AL81" s="47">
        <v>46080</v>
      </c>
      <c r="AM81" s="153">
        <v>46083</v>
      </c>
      <c r="AN81" s="63">
        <f t="shared" si="37"/>
        <v>3</v>
      </c>
      <c r="AO81" s="34" t="s">
        <v>65</v>
      </c>
      <c r="AP81" s="64">
        <f t="shared" si="29"/>
        <v>46092</v>
      </c>
      <c r="AQ81" s="64">
        <f t="shared" si="38"/>
        <v>46083</v>
      </c>
      <c r="AR81" s="65">
        <f t="shared" si="39"/>
        <v>36</v>
      </c>
      <c r="AS81" s="65">
        <f t="shared" si="40"/>
        <v>27</v>
      </c>
      <c r="AT81" s="157">
        <f t="shared" si="41"/>
        <v>9</v>
      </c>
      <c r="AU81" s="13"/>
      <c r="AV81" s="13" t="s">
        <v>59</v>
      </c>
      <c r="AW81" s="109">
        <f t="shared" si="30"/>
        <v>1672.73</v>
      </c>
      <c r="AX81" s="66">
        <f t="shared" si="42"/>
        <v>488.69</v>
      </c>
      <c r="AY81" s="66"/>
      <c r="AZ81" s="66">
        <f t="shared" si="43"/>
        <v>173.43</v>
      </c>
      <c r="BA81" s="67">
        <f t="shared" si="44"/>
        <v>662.12</v>
      </c>
    </row>
    <row r="82" spans="1:53" ht="21.6" customHeight="1" x14ac:dyDescent="0.3">
      <c r="A82" s="2" t="s">
        <v>313</v>
      </c>
      <c r="B82" s="15" t="s">
        <v>51</v>
      </c>
      <c r="C82" s="3" t="s">
        <v>52</v>
      </c>
      <c r="D82" s="3" t="s">
        <v>53</v>
      </c>
      <c r="E82" s="3">
        <v>4500794843</v>
      </c>
      <c r="F82" s="3" t="s">
        <v>314</v>
      </c>
      <c r="G82" s="144">
        <v>309</v>
      </c>
      <c r="H82" s="394">
        <v>46056</v>
      </c>
      <c r="I82" s="50">
        <v>46062</v>
      </c>
      <c r="J82" s="15">
        <f t="shared" si="31"/>
        <v>6</v>
      </c>
      <c r="K82" s="3" t="s">
        <v>55</v>
      </c>
      <c r="L82" s="3" t="s">
        <v>56</v>
      </c>
      <c r="M82" s="15" t="s">
        <v>57</v>
      </c>
      <c r="N82" s="3" t="s">
        <v>315</v>
      </c>
      <c r="O82" s="3" t="s">
        <v>59</v>
      </c>
      <c r="P82" s="8">
        <v>7527.34</v>
      </c>
      <c r="Q82" s="44" t="s">
        <v>100</v>
      </c>
      <c r="R82" s="57">
        <f t="shared" si="32"/>
        <v>46056</v>
      </c>
      <c r="S82" s="13" t="s">
        <v>61</v>
      </c>
      <c r="T82" s="35">
        <v>46062</v>
      </c>
      <c r="U82" s="37">
        <v>46062</v>
      </c>
      <c r="V82" s="37">
        <f t="shared" si="47"/>
        <v>46062</v>
      </c>
      <c r="W82" s="59">
        <f t="shared" si="33"/>
        <v>6</v>
      </c>
      <c r="X82" s="59">
        <f t="shared" si="34"/>
        <v>6</v>
      </c>
      <c r="Y82" s="59">
        <f t="shared" si="35"/>
        <v>0</v>
      </c>
      <c r="Z82" s="39">
        <v>706.12</v>
      </c>
      <c r="AA82" s="4" t="s">
        <v>200</v>
      </c>
      <c r="AB82" s="35">
        <v>46062</v>
      </c>
      <c r="AC82" s="13">
        <v>7527.34</v>
      </c>
      <c r="AD82" s="174">
        <v>7330</v>
      </c>
      <c r="AE82" s="13" t="s">
        <v>63</v>
      </c>
      <c r="AF82" s="35">
        <v>46062</v>
      </c>
      <c r="AG82" s="3" t="str">
        <f t="shared" si="46"/>
        <v>FOB</v>
      </c>
      <c r="AH82" s="13" t="s">
        <v>316</v>
      </c>
      <c r="AI82" s="36" t="e">
        <f>#REF!</f>
        <v>#REF!</v>
      </c>
      <c r="AJ82" s="36">
        <v>1550</v>
      </c>
      <c r="AK82" s="142">
        <f t="shared" si="36"/>
        <v>0.20591603408375336</v>
      </c>
      <c r="AL82" s="47"/>
      <c r="AM82" s="153">
        <v>46062</v>
      </c>
      <c r="AN82" s="63">
        <f t="shared" si="37"/>
        <v>0</v>
      </c>
      <c r="AO82" s="34" t="s">
        <v>65</v>
      </c>
      <c r="AP82" s="64">
        <f t="shared" si="29"/>
        <v>46062</v>
      </c>
      <c r="AQ82" s="64">
        <f t="shared" si="38"/>
        <v>46062</v>
      </c>
      <c r="AR82" s="65">
        <f t="shared" si="39"/>
        <v>6</v>
      </c>
      <c r="AS82" s="65">
        <f t="shared" si="40"/>
        <v>6</v>
      </c>
      <c r="AT82" s="157">
        <f t="shared" si="41"/>
        <v>0</v>
      </c>
      <c r="AU82" s="13"/>
      <c r="AV82" s="13" t="s">
        <v>59</v>
      </c>
      <c r="AW82" s="109">
        <f t="shared" si="30"/>
        <v>7527.34</v>
      </c>
      <c r="AX82" s="66">
        <f t="shared" si="42"/>
        <v>706.12</v>
      </c>
      <c r="AY82" s="66"/>
      <c r="AZ82" s="66">
        <f t="shared" si="43"/>
        <v>1550</v>
      </c>
      <c r="BA82" s="67">
        <f t="shared" si="44"/>
        <v>2256.12</v>
      </c>
    </row>
    <row r="83" spans="1:53" ht="21.6" customHeight="1" x14ac:dyDescent="0.3">
      <c r="A83" s="2" t="s">
        <v>317</v>
      </c>
      <c r="B83" s="15" t="s">
        <v>51</v>
      </c>
      <c r="C83" s="3" t="s">
        <v>78</v>
      </c>
      <c r="D83" s="3" t="s">
        <v>53</v>
      </c>
      <c r="E83" s="3" t="s">
        <v>318</v>
      </c>
      <c r="F83" s="3" t="s">
        <v>319</v>
      </c>
      <c r="G83" s="144">
        <v>310</v>
      </c>
      <c r="H83" s="394">
        <v>46056</v>
      </c>
      <c r="I83" s="50">
        <v>46087</v>
      </c>
      <c r="J83" s="15">
        <f t="shared" si="31"/>
        <v>31</v>
      </c>
      <c r="K83" s="3" t="s">
        <v>70</v>
      </c>
      <c r="L83" s="3" t="s">
        <v>56</v>
      </c>
      <c r="M83" s="15" t="s">
        <v>57</v>
      </c>
      <c r="N83" s="3" t="s">
        <v>197</v>
      </c>
      <c r="O83" s="3" t="s">
        <v>59</v>
      </c>
      <c r="P83" s="8">
        <v>10250</v>
      </c>
      <c r="Q83" s="44" t="s">
        <v>100</v>
      </c>
      <c r="R83" s="57">
        <f t="shared" si="32"/>
        <v>46056</v>
      </c>
      <c r="S83" s="13" t="s">
        <v>61</v>
      </c>
      <c r="T83" s="35">
        <v>46073</v>
      </c>
      <c r="U83" s="37">
        <v>46079</v>
      </c>
      <c r="V83" s="37">
        <f t="shared" si="47"/>
        <v>46087</v>
      </c>
      <c r="W83" s="59">
        <f t="shared" si="33"/>
        <v>31</v>
      </c>
      <c r="X83" s="59">
        <f t="shared" si="34"/>
        <v>23</v>
      </c>
      <c r="Y83" s="59">
        <f t="shared" si="35"/>
        <v>8</v>
      </c>
      <c r="Z83" s="39">
        <v>587.39</v>
      </c>
      <c r="AA83" s="4" t="s">
        <v>238</v>
      </c>
      <c r="AB83" s="35">
        <v>46077</v>
      </c>
      <c r="AC83" s="13">
        <v>10250</v>
      </c>
      <c r="AD83" s="175">
        <v>7366</v>
      </c>
      <c r="AE83" s="13" t="s">
        <v>63</v>
      </c>
      <c r="AF83" s="35">
        <v>46084</v>
      </c>
      <c r="AG83" s="3" t="str">
        <f t="shared" si="46"/>
        <v>CIF</v>
      </c>
      <c r="AH83" s="13" t="s">
        <v>64</v>
      </c>
      <c r="AI83" s="36" t="e">
        <f>#REF!</f>
        <v>#REF!</v>
      </c>
      <c r="AJ83" s="36">
        <v>0</v>
      </c>
      <c r="AK83" s="142">
        <f t="shared" si="36"/>
        <v>0</v>
      </c>
      <c r="AL83" s="47">
        <v>46084</v>
      </c>
      <c r="AM83" s="153">
        <v>46084</v>
      </c>
      <c r="AN83" s="63">
        <f t="shared" si="37"/>
        <v>0</v>
      </c>
      <c r="AO83" s="34" t="s">
        <v>65</v>
      </c>
      <c r="AP83" s="64">
        <f t="shared" si="29"/>
        <v>46087</v>
      </c>
      <c r="AQ83" s="64">
        <f t="shared" si="38"/>
        <v>46084</v>
      </c>
      <c r="AR83" s="65">
        <f t="shared" si="39"/>
        <v>31</v>
      </c>
      <c r="AS83" s="65">
        <f t="shared" si="40"/>
        <v>28</v>
      </c>
      <c r="AT83" s="157">
        <f t="shared" si="41"/>
        <v>3</v>
      </c>
      <c r="AU83" s="13"/>
      <c r="AV83" s="13" t="s">
        <v>59</v>
      </c>
      <c r="AW83" s="109">
        <f t="shared" si="30"/>
        <v>10250</v>
      </c>
      <c r="AX83" s="66">
        <f t="shared" si="42"/>
        <v>587.39</v>
      </c>
      <c r="AY83" s="66"/>
      <c r="AZ83" s="66">
        <f t="shared" si="43"/>
        <v>0</v>
      </c>
      <c r="BA83" s="67">
        <f t="shared" si="44"/>
        <v>587.39</v>
      </c>
    </row>
    <row r="84" spans="1:53" ht="21.6" customHeight="1" x14ac:dyDescent="0.3">
      <c r="A84" s="2" t="s">
        <v>217</v>
      </c>
      <c r="B84" s="15" t="s">
        <v>51</v>
      </c>
      <c r="C84" s="3" t="s">
        <v>78</v>
      </c>
      <c r="D84" s="3" t="s">
        <v>53</v>
      </c>
      <c r="E84" s="3" t="s">
        <v>320</v>
      </c>
      <c r="F84" s="3" t="s">
        <v>321</v>
      </c>
      <c r="G84" s="144">
        <v>311</v>
      </c>
      <c r="H84" s="394">
        <v>46057</v>
      </c>
      <c r="I84" s="50">
        <v>46085</v>
      </c>
      <c r="J84" s="15">
        <f t="shared" si="31"/>
        <v>28</v>
      </c>
      <c r="K84" s="3" t="s">
        <v>55</v>
      </c>
      <c r="L84" s="3" t="s">
        <v>56</v>
      </c>
      <c r="M84" s="15" t="s">
        <v>57</v>
      </c>
      <c r="N84" s="3" t="s">
        <v>58</v>
      </c>
      <c r="O84" s="3" t="s">
        <v>59</v>
      </c>
      <c r="P84" s="8">
        <v>2015.55</v>
      </c>
      <c r="Q84" s="44" t="s">
        <v>100</v>
      </c>
      <c r="R84" s="57">
        <f t="shared" si="32"/>
        <v>46057</v>
      </c>
      <c r="S84" s="13" t="s">
        <v>61</v>
      </c>
      <c r="T84" s="35">
        <v>46072</v>
      </c>
      <c r="U84" s="37">
        <v>46064</v>
      </c>
      <c r="V84" s="37">
        <f t="shared" si="47"/>
        <v>46085</v>
      </c>
      <c r="W84" s="59">
        <f t="shared" si="33"/>
        <v>28</v>
      </c>
      <c r="X84" s="59">
        <f t="shared" si="34"/>
        <v>7</v>
      </c>
      <c r="Y84" s="59">
        <f t="shared" si="35"/>
        <v>21</v>
      </c>
      <c r="Z84" s="39">
        <v>654.07000000000005</v>
      </c>
      <c r="AA84" s="4" t="s">
        <v>231</v>
      </c>
      <c r="AB84" s="35">
        <v>46065</v>
      </c>
      <c r="AC84" s="13">
        <v>2015.55</v>
      </c>
      <c r="AD84" s="174">
        <v>7339</v>
      </c>
      <c r="AE84" s="13" t="s">
        <v>63</v>
      </c>
      <c r="AF84" s="35">
        <v>46073</v>
      </c>
      <c r="AG84" s="3" t="str">
        <f t="shared" si="46"/>
        <v>FOB</v>
      </c>
      <c r="AH84" s="13" t="s">
        <v>322</v>
      </c>
      <c r="AI84" s="36" t="e">
        <f>#REF!</f>
        <v>#REF!</v>
      </c>
      <c r="AJ84" s="36">
        <v>0</v>
      </c>
      <c r="AK84" s="142">
        <f t="shared" si="36"/>
        <v>0</v>
      </c>
      <c r="AL84" s="47">
        <v>46065</v>
      </c>
      <c r="AM84" s="153">
        <v>46065</v>
      </c>
      <c r="AN84" s="63">
        <f t="shared" si="37"/>
        <v>-8</v>
      </c>
      <c r="AO84" s="34" t="s">
        <v>65</v>
      </c>
      <c r="AP84" s="64">
        <f t="shared" ref="AP84:AP115" si="48">I84</f>
        <v>46085</v>
      </c>
      <c r="AQ84" s="64">
        <f t="shared" si="38"/>
        <v>46065</v>
      </c>
      <c r="AR84" s="65">
        <f t="shared" si="39"/>
        <v>28</v>
      </c>
      <c r="AS84" s="65">
        <f t="shared" si="40"/>
        <v>8</v>
      </c>
      <c r="AT84" s="157">
        <f t="shared" si="41"/>
        <v>20</v>
      </c>
      <c r="AU84" s="13"/>
      <c r="AV84" s="13" t="s">
        <v>59</v>
      </c>
      <c r="AW84" s="109">
        <f t="shared" si="30"/>
        <v>2015.55</v>
      </c>
      <c r="AX84" s="66">
        <f t="shared" si="42"/>
        <v>654.07000000000005</v>
      </c>
      <c r="AY84" s="66"/>
      <c r="AZ84" s="66">
        <f t="shared" si="43"/>
        <v>0</v>
      </c>
      <c r="BA84" s="67">
        <f t="shared" si="44"/>
        <v>654.07000000000005</v>
      </c>
    </row>
    <row r="85" spans="1:53" ht="21.6" customHeight="1" x14ac:dyDescent="0.3">
      <c r="A85" s="2" t="s">
        <v>291</v>
      </c>
      <c r="B85" s="3" t="s">
        <v>292</v>
      </c>
      <c r="C85" s="3" t="s">
        <v>78</v>
      </c>
      <c r="D85" s="3" t="s">
        <v>53</v>
      </c>
      <c r="E85" s="3">
        <v>4500242004</v>
      </c>
      <c r="F85" s="3" t="s">
        <v>53</v>
      </c>
      <c r="G85" s="144">
        <v>312</v>
      </c>
      <c r="H85" s="394">
        <v>46057</v>
      </c>
      <c r="I85" s="50">
        <v>46101</v>
      </c>
      <c r="J85" s="15">
        <f t="shared" si="31"/>
        <v>44</v>
      </c>
      <c r="K85" s="3" t="s">
        <v>55</v>
      </c>
      <c r="L85" s="3" t="s">
        <v>56</v>
      </c>
      <c r="M85" s="3" t="s">
        <v>294</v>
      </c>
      <c r="N85" s="3" t="s">
        <v>323</v>
      </c>
      <c r="O85" s="3" t="s">
        <v>59</v>
      </c>
      <c r="P85" s="8">
        <v>11717.44</v>
      </c>
      <c r="Q85" s="44" t="s">
        <v>100</v>
      </c>
      <c r="R85" s="57">
        <f t="shared" si="32"/>
        <v>46057</v>
      </c>
      <c r="S85" s="13" t="s">
        <v>61</v>
      </c>
      <c r="T85" s="35">
        <v>46094</v>
      </c>
      <c r="U85" s="37">
        <v>46094</v>
      </c>
      <c r="V85" s="37">
        <f t="shared" si="47"/>
        <v>46101</v>
      </c>
      <c r="W85" s="59">
        <f t="shared" si="33"/>
        <v>44</v>
      </c>
      <c r="X85" s="59">
        <f t="shared" si="34"/>
        <v>37</v>
      </c>
      <c r="Y85" s="59">
        <f t="shared" si="35"/>
        <v>7</v>
      </c>
      <c r="Z85" s="39"/>
      <c r="AA85" s="4" t="s">
        <v>304</v>
      </c>
      <c r="AB85" s="35">
        <v>46098</v>
      </c>
      <c r="AC85" s="13">
        <v>11717.44</v>
      </c>
      <c r="AD85" s="174">
        <v>7424</v>
      </c>
      <c r="AE85" s="13" t="s">
        <v>63</v>
      </c>
      <c r="AF85" s="35">
        <v>46100</v>
      </c>
      <c r="AG85" s="3" t="s">
        <v>55</v>
      </c>
      <c r="AH85" s="13" t="s">
        <v>296</v>
      </c>
      <c r="AI85" s="36" t="e">
        <f>#REF!</f>
        <v>#REF!</v>
      </c>
      <c r="AJ85" s="36">
        <v>0</v>
      </c>
      <c r="AK85" s="142">
        <f t="shared" si="36"/>
        <v>0</v>
      </c>
      <c r="AL85" s="47">
        <v>46098</v>
      </c>
      <c r="AM85" s="153">
        <v>46100</v>
      </c>
      <c r="AN85" s="63">
        <f t="shared" si="37"/>
        <v>0</v>
      </c>
      <c r="AO85" s="34" t="s">
        <v>65</v>
      </c>
      <c r="AP85" s="64">
        <f t="shared" si="48"/>
        <v>46101</v>
      </c>
      <c r="AQ85" s="64"/>
      <c r="AR85" s="65">
        <f t="shared" si="39"/>
        <v>44</v>
      </c>
      <c r="AS85" s="65">
        <f t="shared" si="40"/>
        <v>43</v>
      </c>
      <c r="AT85" s="157">
        <f t="shared" si="41"/>
        <v>1</v>
      </c>
      <c r="AU85" s="13"/>
      <c r="AV85" s="13" t="s">
        <v>59</v>
      </c>
      <c r="AW85" s="109">
        <f t="shared" ref="AW85:AW116" si="49">AC85</f>
        <v>11717.44</v>
      </c>
      <c r="AX85" s="66">
        <f t="shared" si="42"/>
        <v>0</v>
      </c>
      <c r="AY85" s="66"/>
      <c r="AZ85" s="66">
        <f t="shared" si="43"/>
        <v>0</v>
      </c>
      <c r="BA85" s="67">
        <f t="shared" si="44"/>
        <v>0</v>
      </c>
    </row>
    <row r="86" spans="1:53" ht="21.6" customHeight="1" x14ac:dyDescent="0.3">
      <c r="A86" s="2" t="s">
        <v>307</v>
      </c>
      <c r="B86" s="3" t="s">
        <v>96</v>
      </c>
      <c r="C86" s="3" t="s">
        <v>78</v>
      </c>
      <c r="D86" s="3">
        <v>4600016155</v>
      </c>
      <c r="E86" s="3">
        <v>4501920513</v>
      </c>
      <c r="F86" s="3" t="s">
        <v>53</v>
      </c>
      <c r="G86" s="144">
        <v>313</v>
      </c>
      <c r="H86" s="394">
        <v>46057</v>
      </c>
      <c r="I86" s="50">
        <v>46108</v>
      </c>
      <c r="J86" s="15">
        <f t="shared" si="31"/>
        <v>51</v>
      </c>
      <c r="K86" s="3" t="s">
        <v>70</v>
      </c>
      <c r="L86" s="3" t="s">
        <v>56</v>
      </c>
      <c r="M86" s="3" t="s">
        <v>255</v>
      </c>
      <c r="N86" s="3" t="s">
        <v>311</v>
      </c>
      <c r="O86" s="3" t="s">
        <v>59</v>
      </c>
      <c r="P86" s="8">
        <v>8379.43</v>
      </c>
      <c r="Q86" s="44" t="s">
        <v>100</v>
      </c>
      <c r="R86" s="57">
        <f t="shared" si="32"/>
        <v>46057</v>
      </c>
      <c r="S86" s="13" t="s">
        <v>61</v>
      </c>
      <c r="T86" s="35">
        <v>46079</v>
      </c>
      <c r="U86" s="37">
        <v>46080</v>
      </c>
      <c r="V86" s="37">
        <f t="shared" si="47"/>
        <v>46108</v>
      </c>
      <c r="W86" s="59">
        <f t="shared" si="33"/>
        <v>51</v>
      </c>
      <c r="X86" s="59">
        <f t="shared" si="34"/>
        <v>23</v>
      </c>
      <c r="Y86" s="59">
        <f t="shared" si="35"/>
        <v>28</v>
      </c>
      <c r="Z86" s="39">
        <v>2555.42</v>
      </c>
      <c r="AA86" s="4" t="s">
        <v>141</v>
      </c>
      <c r="AB86" s="35">
        <v>46079</v>
      </c>
      <c r="AC86" s="13">
        <v>8379.43</v>
      </c>
      <c r="AD86" s="174">
        <v>7368</v>
      </c>
      <c r="AE86" s="13" t="s">
        <v>63</v>
      </c>
      <c r="AF86" s="35">
        <v>46084</v>
      </c>
      <c r="AG86" s="3" t="str">
        <f t="shared" ref="AG86:AG104" si="50">K86</f>
        <v>CIF</v>
      </c>
      <c r="AH86" s="13" t="s">
        <v>312</v>
      </c>
      <c r="AI86" s="36" t="e">
        <f>#REF!</f>
        <v>#REF!</v>
      </c>
      <c r="AJ86" s="36">
        <v>906.57</v>
      </c>
      <c r="AK86" s="142">
        <f t="shared" si="36"/>
        <v>0.10818993654699663</v>
      </c>
      <c r="AL86" s="47">
        <v>46093</v>
      </c>
      <c r="AM86" s="153">
        <v>46087</v>
      </c>
      <c r="AN86" s="63">
        <f t="shared" si="37"/>
        <v>3</v>
      </c>
      <c r="AO86" s="34" t="s">
        <v>65</v>
      </c>
      <c r="AP86" s="64">
        <f t="shared" si="48"/>
        <v>46108</v>
      </c>
      <c r="AQ86" s="64">
        <f t="shared" ref="AQ86:AQ117" si="51">AM86</f>
        <v>46087</v>
      </c>
      <c r="AR86" s="65">
        <f t="shared" si="39"/>
        <v>51</v>
      </c>
      <c r="AS86" s="65">
        <f t="shared" si="40"/>
        <v>30</v>
      </c>
      <c r="AT86" s="157">
        <f t="shared" si="41"/>
        <v>21</v>
      </c>
      <c r="AU86" s="13"/>
      <c r="AV86" s="13" t="s">
        <v>59</v>
      </c>
      <c r="AW86" s="109">
        <f t="shared" si="49"/>
        <v>8379.43</v>
      </c>
      <c r="AX86" s="66">
        <f t="shared" si="42"/>
        <v>2555.42</v>
      </c>
      <c r="AY86" s="66"/>
      <c r="AZ86" s="66">
        <f t="shared" si="43"/>
        <v>906.57</v>
      </c>
      <c r="BA86" s="67">
        <f t="shared" si="44"/>
        <v>3461.9900000000002</v>
      </c>
    </row>
    <row r="87" spans="1:53" ht="21.6" customHeight="1" x14ac:dyDescent="0.3">
      <c r="A87" s="2" t="s">
        <v>324</v>
      </c>
      <c r="B87" s="3" t="s">
        <v>91</v>
      </c>
      <c r="C87" s="3" t="s">
        <v>78</v>
      </c>
      <c r="D87" s="3" t="s">
        <v>53</v>
      </c>
      <c r="E87" s="3">
        <v>14.586</v>
      </c>
      <c r="F87" s="3" t="s">
        <v>325</v>
      </c>
      <c r="G87" s="144">
        <v>316</v>
      </c>
      <c r="H87" s="394">
        <v>46058</v>
      </c>
      <c r="I87" s="50">
        <v>46084</v>
      </c>
      <c r="J87" s="15">
        <f t="shared" si="31"/>
        <v>26</v>
      </c>
      <c r="K87" s="3" t="s">
        <v>55</v>
      </c>
      <c r="L87" s="3" t="s">
        <v>56</v>
      </c>
      <c r="M87" s="3" t="s">
        <v>92</v>
      </c>
      <c r="N87" s="3" t="s">
        <v>212</v>
      </c>
      <c r="O87" s="3" t="s">
        <v>59</v>
      </c>
      <c r="P87" s="8">
        <v>3252</v>
      </c>
      <c r="Q87" s="44" t="s">
        <v>100</v>
      </c>
      <c r="R87" s="57">
        <f t="shared" si="32"/>
        <v>46058</v>
      </c>
      <c r="S87" s="13" t="s">
        <v>61</v>
      </c>
      <c r="T87" s="35">
        <v>46072</v>
      </c>
      <c r="U87" s="37">
        <v>46072</v>
      </c>
      <c r="V87" s="37">
        <f t="shared" si="47"/>
        <v>46084</v>
      </c>
      <c r="W87" s="59">
        <f t="shared" si="33"/>
        <v>26</v>
      </c>
      <c r="X87" s="59">
        <f t="shared" si="34"/>
        <v>14</v>
      </c>
      <c r="Y87" s="59">
        <f t="shared" si="35"/>
        <v>12</v>
      </c>
      <c r="Z87" s="39">
        <v>651.24</v>
      </c>
      <c r="AA87" s="4" t="s">
        <v>238</v>
      </c>
      <c r="AB87" s="35">
        <v>46077</v>
      </c>
      <c r="AC87" s="13">
        <v>3252</v>
      </c>
      <c r="AD87" s="174">
        <v>7360</v>
      </c>
      <c r="AE87" s="13" t="s">
        <v>63</v>
      </c>
      <c r="AF87" s="35">
        <v>46077</v>
      </c>
      <c r="AG87" s="3" t="str">
        <f t="shared" si="50"/>
        <v>FOB</v>
      </c>
      <c r="AH87" s="13" t="s">
        <v>326</v>
      </c>
      <c r="AI87" s="36" t="e">
        <f>#REF!</f>
        <v>#REF!</v>
      </c>
      <c r="AJ87" s="36">
        <v>0</v>
      </c>
      <c r="AK87" s="142">
        <f t="shared" si="36"/>
        <v>0</v>
      </c>
      <c r="AL87" s="47">
        <v>46077</v>
      </c>
      <c r="AM87" s="153">
        <v>46077</v>
      </c>
      <c r="AN87" s="63">
        <f t="shared" si="37"/>
        <v>0</v>
      </c>
      <c r="AO87" s="34" t="s">
        <v>65</v>
      </c>
      <c r="AP87" s="64">
        <f t="shared" si="48"/>
        <v>46084</v>
      </c>
      <c r="AQ87" s="64">
        <f t="shared" si="51"/>
        <v>46077</v>
      </c>
      <c r="AR87" s="65">
        <f t="shared" si="39"/>
        <v>26</v>
      </c>
      <c r="AS87" s="65">
        <f t="shared" si="40"/>
        <v>19</v>
      </c>
      <c r="AT87" s="157">
        <f t="shared" si="41"/>
        <v>7</v>
      </c>
      <c r="AU87" s="13"/>
      <c r="AV87" s="13" t="s">
        <v>59</v>
      </c>
      <c r="AW87" s="109">
        <f t="shared" si="49"/>
        <v>3252</v>
      </c>
      <c r="AX87" s="66">
        <f t="shared" si="42"/>
        <v>651.24</v>
      </c>
      <c r="AY87" s="66"/>
      <c r="AZ87" s="66">
        <f t="shared" si="43"/>
        <v>0</v>
      </c>
      <c r="BA87" s="67">
        <f t="shared" si="44"/>
        <v>651.24</v>
      </c>
    </row>
    <row r="88" spans="1:53" ht="21.6" customHeight="1" x14ac:dyDescent="0.3">
      <c r="A88" s="2" t="s">
        <v>327</v>
      </c>
      <c r="B88" s="3" t="s">
        <v>91</v>
      </c>
      <c r="C88" s="3" t="s">
        <v>78</v>
      </c>
      <c r="D88" s="3" t="s">
        <v>53</v>
      </c>
      <c r="E88" s="3">
        <v>123451</v>
      </c>
      <c r="F88" s="3" t="s">
        <v>328</v>
      </c>
      <c r="G88" s="144">
        <v>317</v>
      </c>
      <c r="H88" s="394">
        <v>46058</v>
      </c>
      <c r="I88" s="50">
        <v>46083</v>
      </c>
      <c r="J88" s="15">
        <f t="shared" si="31"/>
        <v>25</v>
      </c>
      <c r="K88" s="3" t="s">
        <v>55</v>
      </c>
      <c r="L88" s="3" t="s">
        <v>56</v>
      </c>
      <c r="M88" s="3" t="s">
        <v>92</v>
      </c>
      <c r="N88" s="3" t="s">
        <v>329</v>
      </c>
      <c r="O88" s="3" t="s">
        <v>59</v>
      </c>
      <c r="P88" s="8">
        <v>9646</v>
      </c>
      <c r="Q88" s="44" t="s">
        <v>100</v>
      </c>
      <c r="R88" s="57">
        <f t="shared" si="32"/>
        <v>46058</v>
      </c>
      <c r="S88" s="13" t="s">
        <v>61</v>
      </c>
      <c r="T88" s="35">
        <v>46076</v>
      </c>
      <c r="U88" s="37">
        <v>46073</v>
      </c>
      <c r="V88" s="37">
        <f t="shared" si="47"/>
        <v>46083</v>
      </c>
      <c r="W88" s="59">
        <f t="shared" si="33"/>
        <v>25</v>
      </c>
      <c r="X88" s="59">
        <f t="shared" si="34"/>
        <v>15</v>
      </c>
      <c r="Y88" s="59">
        <f t="shared" si="35"/>
        <v>10</v>
      </c>
      <c r="Z88" s="39">
        <v>3640.9</v>
      </c>
      <c r="AA88" s="4" t="s">
        <v>238</v>
      </c>
      <c r="AB88" s="35">
        <v>46076</v>
      </c>
      <c r="AC88" s="13">
        <v>9646</v>
      </c>
      <c r="AD88" s="174">
        <v>7351</v>
      </c>
      <c r="AE88" s="13" t="s">
        <v>63</v>
      </c>
      <c r="AF88" s="35">
        <v>46077</v>
      </c>
      <c r="AG88" s="3" t="str">
        <f t="shared" si="50"/>
        <v>FOB</v>
      </c>
      <c r="AH88" s="13" t="s">
        <v>330</v>
      </c>
      <c r="AI88" s="36" t="e">
        <f>#REF!</f>
        <v>#REF!</v>
      </c>
      <c r="AJ88" s="36">
        <v>0</v>
      </c>
      <c r="AK88" s="142">
        <f t="shared" si="36"/>
        <v>0</v>
      </c>
      <c r="AL88" s="47"/>
      <c r="AM88" s="153">
        <v>46073</v>
      </c>
      <c r="AN88" s="63">
        <f t="shared" si="37"/>
        <v>-4</v>
      </c>
      <c r="AO88" s="34" t="s">
        <v>65</v>
      </c>
      <c r="AP88" s="64">
        <f t="shared" si="48"/>
        <v>46083</v>
      </c>
      <c r="AQ88" s="64">
        <f t="shared" si="51"/>
        <v>46073</v>
      </c>
      <c r="AR88" s="65">
        <f t="shared" si="39"/>
        <v>25</v>
      </c>
      <c r="AS88" s="65">
        <f t="shared" si="40"/>
        <v>15</v>
      </c>
      <c r="AT88" s="157">
        <f t="shared" si="41"/>
        <v>10</v>
      </c>
      <c r="AU88" s="13"/>
      <c r="AV88" s="13" t="s">
        <v>59</v>
      </c>
      <c r="AW88" s="109">
        <f t="shared" si="49"/>
        <v>9646</v>
      </c>
      <c r="AX88" s="66">
        <f t="shared" si="42"/>
        <v>3640.9</v>
      </c>
      <c r="AY88" s="66"/>
      <c r="AZ88" s="66">
        <f t="shared" si="43"/>
        <v>0</v>
      </c>
      <c r="BA88" s="67">
        <f t="shared" si="44"/>
        <v>3640.9</v>
      </c>
    </row>
    <row r="89" spans="1:53" ht="21.6" customHeight="1" x14ac:dyDescent="0.3">
      <c r="A89" s="2" t="s">
        <v>331</v>
      </c>
      <c r="B89" s="3" t="s">
        <v>96</v>
      </c>
      <c r="C89" s="3" t="s">
        <v>78</v>
      </c>
      <c r="D89" s="3" t="s">
        <v>53</v>
      </c>
      <c r="E89" s="3">
        <v>4502937088</v>
      </c>
      <c r="F89" s="3" t="s">
        <v>332</v>
      </c>
      <c r="G89" s="144">
        <v>319</v>
      </c>
      <c r="H89" s="394">
        <v>46058</v>
      </c>
      <c r="I89" s="50">
        <v>46094</v>
      </c>
      <c r="J89" s="15">
        <f t="shared" si="31"/>
        <v>36</v>
      </c>
      <c r="K89" s="3" t="s">
        <v>55</v>
      </c>
      <c r="L89" s="3" t="s">
        <v>56</v>
      </c>
      <c r="M89" s="3" t="s">
        <v>98</v>
      </c>
      <c r="N89" s="3" t="s">
        <v>333</v>
      </c>
      <c r="O89" s="3" t="s">
        <v>59</v>
      </c>
      <c r="P89" s="137">
        <v>12945.4</v>
      </c>
      <c r="Q89" s="44" t="s">
        <v>100</v>
      </c>
      <c r="R89" s="57">
        <f t="shared" si="32"/>
        <v>46058</v>
      </c>
      <c r="S89" s="13" t="s">
        <v>61</v>
      </c>
      <c r="T89" s="35">
        <v>46080</v>
      </c>
      <c r="U89" s="37">
        <v>46083</v>
      </c>
      <c r="V89" s="37">
        <f t="shared" si="47"/>
        <v>46094</v>
      </c>
      <c r="W89" s="59">
        <f t="shared" si="33"/>
        <v>36</v>
      </c>
      <c r="X89" s="59">
        <f t="shared" si="34"/>
        <v>25</v>
      </c>
      <c r="Y89" s="59">
        <f t="shared" si="35"/>
        <v>11</v>
      </c>
      <c r="Z89" s="39">
        <v>1672.51</v>
      </c>
      <c r="AA89" s="4" t="s">
        <v>141</v>
      </c>
      <c r="AB89" s="35">
        <v>46080</v>
      </c>
      <c r="AC89" s="13">
        <v>12945.4</v>
      </c>
      <c r="AD89" s="174">
        <v>7379</v>
      </c>
      <c r="AE89" s="13" t="s">
        <v>63</v>
      </c>
      <c r="AF89" s="35">
        <v>46084</v>
      </c>
      <c r="AG89" s="3" t="str">
        <f t="shared" si="50"/>
        <v>FOB</v>
      </c>
      <c r="AH89" s="13" t="s">
        <v>334</v>
      </c>
      <c r="AI89" s="36" t="e">
        <f>#REF!</f>
        <v>#REF!</v>
      </c>
      <c r="AJ89" s="36">
        <v>0</v>
      </c>
      <c r="AK89" s="142">
        <f t="shared" si="36"/>
        <v>0</v>
      </c>
      <c r="AL89" s="47">
        <v>46080</v>
      </c>
      <c r="AM89" s="153">
        <v>46083</v>
      </c>
      <c r="AN89" s="63">
        <f t="shared" si="37"/>
        <v>-1</v>
      </c>
      <c r="AO89" s="34" t="s">
        <v>65</v>
      </c>
      <c r="AP89" s="64">
        <f t="shared" si="48"/>
        <v>46094</v>
      </c>
      <c r="AQ89" s="64">
        <f t="shared" si="51"/>
        <v>46083</v>
      </c>
      <c r="AR89" s="65">
        <f t="shared" si="39"/>
        <v>36</v>
      </c>
      <c r="AS89" s="65">
        <f t="shared" si="40"/>
        <v>25</v>
      </c>
      <c r="AT89" s="157">
        <f t="shared" si="41"/>
        <v>11</v>
      </c>
      <c r="AU89" s="13"/>
      <c r="AV89" s="13" t="s">
        <v>59</v>
      </c>
      <c r="AW89" s="109">
        <f t="shared" si="49"/>
        <v>12945.4</v>
      </c>
      <c r="AX89" s="66">
        <f t="shared" si="42"/>
        <v>1672.51</v>
      </c>
      <c r="AY89" s="66"/>
      <c r="AZ89" s="66">
        <f t="shared" si="43"/>
        <v>0</v>
      </c>
      <c r="BA89" s="67">
        <f t="shared" si="44"/>
        <v>1672.51</v>
      </c>
    </row>
    <row r="90" spans="1:53" ht="21.6" customHeight="1" x14ac:dyDescent="0.3">
      <c r="A90" s="2" t="s">
        <v>137</v>
      </c>
      <c r="B90" s="15" t="s">
        <v>67</v>
      </c>
      <c r="C90" s="3" t="s">
        <v>78</v>
      </c>
      <c r="D90" s="3" t="s">
        <v>53</v>
      </c>
      <c r="E90" s="3" t="s">
        <v>53</v>
      </c>
      <c r="F90" s="3" t="s">
        <v>53</v>
      </c>
      <c r="G90" s="144">
        <v>320</v>
      </c>
      <c r="H90" s="394">
        <v>46058</v>
      </c>
      <c r="I90" s="50">
        <v>46087</v>
      </c>
      <c r="J90" s="15">
        <f t="shared" si="31"/>
        <v>29</v>
      </c>
      <c r="K90" s="3" t="s">
        <v>55</v>
      </c>
      <c r="L90" s="3" t="s">
        <v>139</v>
      </c>
      <c r="M90" s="15" t="s">
        <v>72</v>
      </c>
      <c r="N90" s="3" t="s">
        <v>140</v>
      </c>
      <c r="O90" s="3" t="s">
        <v>59</v>
      </c>
      <c r="P90" s="8">
        <v>9160</v>
      </c>
      <c r="Q90" s="44" t="s">
        <v>60</v>
      </c>
      <c r="R90" s="57">
        <f t="shared" si="32"/>
        <v>46058</v>
      </c>
      <c r="S90" s="13" t="s">
        <v>61</v>
      </c>
      <c r="T90" s="35">
        <v>46079</v>
      </c>
      <c r="U90" s="37">
        <v>46079</v>
      </c>
      <c r="V90" s="37">
        <f t="shared" si="47"/>
        <v>46087</v>
      </c>
      <c r="W90" s="59">
        <f t="shared" si="33"/>
        <v>29</v>
      </c>
      <c r="X90" s="59">
        <f t="shared" si="34"/>
        <v>21</v>
      </c>
      <c r="Y90" s="59">
        <f t="shared" si="35"/>
        <v>8</v>
      </c>
      <c r="Z90" s="39">
        <v>3919.98</v>
      </c>
      <c r="AA90" s="4" t="s">
        <v>141</v>
      </c>
      <c r="AB90" s="35">
        <v>46080</v>
      </c>
      <c r="AC90" s="13">
        <v>13660.67</v>
      </c>
      <c r="AD90" s="174">
        <v>7336</v>
      </c>
      <c r="AE90" s="13" t="s">
        <v>63</v>
      </c>
      <c r="AF90" s="35">
        <v>46084</v>
      </c>
      <c r="AG90" s="3" t="str">
        <f t="shared" si="50"/>
        <v>FOB</v>
      </c>
      <c r="AH90" s="13" t="s">
        <v>245</v>
      </c>
      <c r="AI90" s="36" t="e">
        <f>#REF!</f>
        <v>#REF!</v>
      </c>
      <c r="AJ90" s="36">
        <v>0</v>
      </c>
      <c r="AK90" s="142">
        <f t="shared" si="36"/>
        <v>0</v>
      </c>
      <c r="AL90" s="47">
        <v>46079</v>
      </c>
      <c r="AM90" s="153">
        <v>46080</v>
      </c>
      <c r="AN90" s="63">
        <f t="shared" si="37"/>
        <v>-4</v>
      </c>
      <c r="AO90" s="34" t="s">
        <v>65</v>
      </c>
      <c r="AP90" s="64">
        <f t="shared" si="48"/>
        <v>46087</v>
      </c>
      <c r="AQ90" s="64">
        <f t="shared" si="51"/>
        <v>46080</v>
      </c>
      <c r="AR90" s="65">
        <f t="shared" si="39"/>
        <v>29</v>
      </c>
      <c r="AS90" s="65">
        <f t="shared" si="40"/>
        <v>22</v>
      </c>
      <c r="AT90" s="157">
        <f t="shared" si="41"/>
        <v>7</v>
      </c>
      <c r="AU90" s="13"/>
      <c r="AV90" s="13" t="s">
        <v>59</v>
      </c>
      <c r="AW90" s="109">
        <f t="shared" si="49"/>
        <v>13660.67</v>
      </c>
      <c r="AX90" s="66">
        <f t="shared" si="42"/>
        <v>3919.98</v>
      </c>
      <c r="AY90" s="66"/>
      <c r="AZ90" s="66">
        <f t="shared" si="43"/>
        <v>0</v>
      </c>
      <c r="BA90" s="67">
        <f t="shared" si="44"/>
        <v>3919.98</v>
      </c>
    </row>
    <row r="91" spans="1:53" ht="21.6" customHeight="1" x14ac:dyDescent="0.3">
      <c r="A91" s="2" t="s">
        <v>335</v>
      </c>
      <c r="B91" s="3" t="s">
        <v>51</v>
      </c>
      <c r="C91" s="3" t="s">
        <v>52</v>
      </c>
      <c r="D91" s="3" t="s">
        <v>53</v>
      </c>
      <c r="E91" s="3" t="s">
        <v>336</v>
      </c>
      <c r="F91" s="3" t="s">
        <v>337</v>
      </c>
      <c r="G91" s="144">
        <v>322</v>
      </c>
      <c r="H91" s="394">
        <v>46059</v>
      </c>
      <c r="I91" s="50">
        <v>46087</v>
      </c>
      <c r="J91" s="15">
        <f t="shared" si="31"/>
        <v>28</v>
      </c>
      <c r="K91" s="3" t="s">
        <v>55</v>
      </c>
      <c r="L91" s="3" t="s">
        <v>56</v>
      </c>
      <c r="M91" s="3" t="s">
        <v>57</v>
      </c>
      <c r="N91" s="3" t="s">
        <v>338</v>
      </c>
      <c r="O91" s="3" t="s">
        <v>59</v>
      </c>
      <c r="P91" s="8">
        <v>2000</v>
      </c>
      <c r="Q91" s="44" t="s">
        <v>60</v>
      </c>
      <c r="R91" s="57">
        <f t="shared" si="32"/>
        <v>46059</v>
      </c>
      <c r="S91" s="13" t="s">
        <v>61</v>
      </c>
      <c r="T91" s="35">
        <v>46066</v>
      </c>
      <c r="U91" s="37">
        <v>46064</v>
      </c>
      <c r="V91" s="37">
        <f t="shared" si="47"/>
        <v>46087</v>
      </c>
      <c r="W91" s="59">
        <f t="shared" si="33"/>
        <v>28</v>
      </c>
      <c r="X91" s="59">
        <f t="shared" si="34"/>
        <v>5</v>
      </c>
      <c r="Y91" s="59">
        <f t="shared" si="35"/>
        <v>23</v>
      </c>
      <c r="Z91" s="39">
        <v>28.86</v>
      </c>
      <c r="AA91" s="4" t="s">
        <v>231</v>
      </c>
      <c r="AB91" s="35">
        <v>46066</v>
      </c>
      <c r="AC91" s="13">
        <v>2000</v>
      </c>
      <c r="AD91" s="174">
        <v>7347</v>
      </c>
      <c r="AE91" s="13" t="s">
        <v>63</v>
      </c>
      <c r="AF91" s="35">
        <v>46073</v>
      </c>
      <c r="AG91" s="3" t="str">
        <f t="shared" si="50"/>
        <v>FOB</v>
      </c>
      <c r="AH91" s="13" t="s">
        <v>339</v>
      </c>
      <c r="AI91" s="36" t="e">
        <f>#REF!</f>
        <v>#REF!</v>
      </c>
      <c r="AJ91" s="36">
        <v>0</v>
      </c>
      <c r="AK91" s="142">
        <f t="shared" si="36"/>
        <v>0</v>
      </c>
      <c r="AL91" s="47">
        <v>46073</v>
      </c>
      <c r="AM91" s="153">
        <v>46073</v>
      </c>
      <c r="AN91" s="63">
        <f t="shared" si="37"/>
        <v>0</v>
      </c>
      <c r="AO91" s="34" t="s">
        <v>65</v>
      </c>
      <c r="AP91" s="64">
        <f t="shared" si="48"/>
        <v>46087</v>
      </c>
      <c r="AQ91" s="64">
        <f t="shared" si="51"/>
        <v>46073</v>
      </c>
      <c r="AR91" s="65">
        <f t="shared" si="39"/>
        <v>28</v>
      </c>
      <c r="AS91" s="65">
        <f t="shared" si="40"/>
        <v>14</v>
      </c>
      <c r="AT91" s="157">
        <f t="shared" si="41"/>
        <v>14</v>
      </c>
      <c r="AU91" s="13"/>
      <c r="AV91" s="13" t="s">
        <v>59</v>
      </c>
      <c r="AW91" s="109">
        <f t="shared" si="49"/>
        <v>2000</v>
      </c>
      <c r="AX91" s="66">
        <f t="shared" si="42"/>
        <v>28.86</v>
      </c>
      <c r="AY91" s="66"/>
      <c r="AZ91" s="66">
        <f t="shared" si="43"/>
        <v>0</v>
      </c>
      <c r="BA91" s="67">
        <f t="shared" si="44"/>
        <v>28.86</v>
      </c>
    </row>
    <row r="92" spans="1:53" ht="21.6" customHeight="1" x14ac:dyDescent="0.3">
      <c r="A92" s="2" t="s">
        <v>340</v>
      </c>
      <c r="B92" s="3" t="s">
        <v>91</v>
      </c>
      <c r="C92" s="3" t="s">
        <v>78</v>
      </c>
      <c r="D92" s="3" t="s">
        <v>53</v>
      </c>
      <c r="E92" s="3">
        <v>204873</v>
      </c>
      <c r="F92" s="3" t="s">
        <v>341</v>
      </c>
      <c r="G92" s="144">
        <v>323</v>
      </c>
      <c r="H92" s="394">
        <v>46059</v>
      </c>
      <c r="I92" s="50">
        <v>46111</v>
      </c>
      <c r="J92" s="15">
        <f t="shared" si="31"/>
        <v>52</v>
      </c>
      <c r="K92" s="3" t="s">
        <v>55</v>
      </c>
      <c r="L92" s="3" t="s">
        <v>56</v>
      </c>
      <c r="M92" s="3" t="s">
        <v>92</v>
      </c>
      <c r="N92" s="3" t="s">
        <v>342</v>
      </c>
      <c r="O92" s="3" t="s">
        <v>59</v>
      </c>
      <c r="P92" s="8">
        <v>4540.2</v>
      </c>
      <c r="Q92" s="44" t="s">
        <v>100</v>
      </c>
      <c r="R92" s="57">
        <f t="shared" si="32"/>
        <v>46059</v>
      </c>
      <c r="S92" s="13" t="s">
        <v>61</v>
      </c>
      <c r="T92" s="35">
        <v>46078</v>
      </c>
      <c r="U92" s="37">
        <v>46077</v>
      </c>
      <c r="V92" s="37">
        <f t="shared" si="47"/>
        <v>46111</v>
      </c>
      <c r="W92" s="59">
        <f t="shared" si="33"/>
        <v>52</v>
      </c>
      <c r="X92" s="59">
        <f t="shared" si="34"/>
        <v>18</v>
      </c>
      <c r="Y92" s="59">
        <f t="shared" si="35"/>
        <v>34</v>
      </c>
      <c r="Z92" s="39">
        <v>86.38</v>
      </c>
      <c r="AA92" s="4" t="s">
        <v>141</v>
      </c>
      <c r="AB92" s="35">
        <v>46079</v>
      </c>
      <c r="AC92" s="13">
        <v>4540.2</v>
      </c>
      <c r="AD92" s="174">
        <v>7365</v>
      </c>
      <c r="AE92" s="13" t="s">
        <v>63</v>
      </c>
      <c r="AF92" s="35">
        <v>46084</v>
      </c>
      <c r="AG92" s="3" t="str">
        <f t="shared" si="50"/>
        <v>FOB</v>
      </c>
      <c r="AH92" s="13" t="s">
        <v>343</v>
      </c>
      <c r="AI92" s="36" t="e">
        <f>#REF!</f>
        <v>#REF!</v>
      </c>
      <c r="AJ92" s="36">
        <v>0</v>
      </c>
      <c r="AK92" s="142">
        <f t="shared" si="36"/>
        <v>0</v>
      </c>
      <c r="AL92" s="47">
        <v>46078</v>
      </c>
      <c r="AM92" s="153">
        <v>46078</v>
      </c>
      <c r="AN92" s="63">
        <f t="shared" si="37"/>
        <v>-6</v>
      </c>
      <c r="AO92" s="34" t="s">
        <v>65</v>
      </c>
      <c r="AP92" s="64">
        <f t="shared" si="48"/>
        <v>46111</v>
      </c>
      <c r="AQ92" s="64">
        <f t="shared" si="51"/>
        <v>46078</v>
      </c>
      <c r="AR92" s="65">
        <f t="shared" si="39"/>
        <v>52</v>
      </c>
      <c r="AS92" s="65">
        <f t="shared" si="40"/>
        <v>19</v>
      </c>
      <c r="AT92" s="157">
        <f t="shared" si="41"/>
        <v>33</v>
      </c>
      <c r="AU92" s="13"/>
      <c r="AV92" s="13" t="s">
        <v>59</v>
      </c>
      <c r="AW92" s="109">
        <f t="shared" si="49"/>
        <v>4540.2</v>
      </c>
      <c r="AX92" s="66">
        <f t="shared" si="42"/>
        <v>86.38</v>
      </c>
      <c r="AY92" s="66"/>
      <c r="AZ92" s="66">
        <f t="shared" si="43"/>
        <v>0</v>
      </c>
      <c r="BA92" s="67">
        <f t="shared" si="44"/>
        <v>86.38</v>
      </c>
    </row>
    <row r="93" spans="1:53" ht="21.6" customHeight="1" x14ac:dyDescent="0.3">
      <c r="A93" s="2" t="s">
        <v>253</v>
      </c>
      <c r="B93" s="3" t="s">
        <v>96</v>
      </c>
      <c r="C93" s="3" t="s">
        <v>78</v>
      </c>
      <c r="D93" s="3" t="s">
        <v>53</v>
      </c>
      <c r="E93" s="3">
        <v>112509764</v>
      </c>
      <c r="F93" s="3" t="s">
        <v>344</v>
      </c>
      <c r="G93" s="144">
        <v>326</v>
      </c>
      <c r="H93" s="394">
        <v>46062</v>
      </c>
      <c r="I93" s="50">
        <v>46087</v>
      </c>
      <c r="J93" s="15">
        <f t="shared" si="31"/>
        <v>25</v>
      </c>
      <c r="K93" s="3" t="s">
        <v>55</v>
      </c>
      <c r="L93" s="3" t="s">
        <v>56</v>
      </c>
      <c r="M93" s="3" t="s">
        <v>255</v>
      </c>
      <c r="N93" s="3" t="s">
        <v>256</v>
      </c>
      <c r="O93" s="3" t="s">
        <v>59</v>
      </c>
      <c r="P93" s="8">
        <v>4697.7</v>
      </c>
      <c r="Q93" s="44" t="s">
        <v>60</v>
      </c>
      <c r="R93" s="57">
        <f t="shared" si="32"/>
        <v>46062</v>
      </c>
      <c r="S93" s="13" t="s">
        <v>61</v>
      </c>
      <c r="T93" s="35">
        <v>46073</v>
      </c>
      <c r="U93" s="37">
        <v>46073</v>
      </c>
      <c r="V93" s="37">
        <f t="shared" si="47"/>
        <v>46087</v>
      </c>
      <c r="W93" s="59">
        <f t="shared" si="33"/>
        <v>25</v>
      </c>
      <c r="X93" s="59">
        <f t="shared" si="34"/>
        <v>11</v>
      </c>
      <c r="Y93" s="59">
        <f t="shared" si="35"/>
        <v>14</v>
      </c>
      <c r="Z93" s="39">
        <v>754.89</v>
      </c>
      <c r="AA93" s="4" t="s">
        <v>231</v>
      </c>
      <c r="AB93" s="35">
        <v>46076</v>
      </c>
      <c r="AC93" s="13">
        <v>4697.7</v>
      </c>
      <c r="AD93" s="174">
        <v>7357</v>
      </c>
      <c r="AE93" s="13" t="s">
        <v>63</v>
      </c>
      <c r="AF93" s="35">
        <v>46080</v>
      </c>
      <c r="AG93" s="3" t="str">
        <f t="shared" si="50"/>
        <v>FOB</v>
      </c>
      <c r="AH93" s="13" t="s">
        <v>257</v>
      </c>
      <c r="AI93" s="36" t="e">
        <f>#REF!</f>
        <v>#REF!</v>
      </c>
      <c r="AJ93" s="36">
        <v>0</v>
      </c>
      <c r="AK93" s="142">
        <f t="shared" si="36"/>
        <v>0</v>
      </c>
      <c r="AL93" s="47">
        <v>46073</v>
      </c>
      <c r="AM93" s="153">
        <v>46073</v>
      </c>
      <c r="AN93" s="63">
        <f t="shared" si="37"/>
        <v>-7</v>
      </c>
      <c r="AO93" s="34" t="s">
        <v>65</v>
      </c>
      <c r="AP93" s="64">
        <f t="shared" si="48"/>
        <v>46087</v>
      </c>
      <c r="AQ93" s="64">
        <f t="shared" si="51"/>
        <v>46073</v>
      </c>
      <c r="AR93" s="65">
        <f t="shared" si="39"/>
        <v>25</v>
      </c>
      <c r="AS93" s="65">
        <f t="shared" si="40"/>
        <v>11</v>
      </c>
      <c r="AT93" s="157">
        <f t="shared" si="41"/>
        <v>14</v>
      </c>
      <c r="AU93" s="13"/>
      <c r="AV93" s="13" t="s">
        <v>59</v>
      </c>
      <c r="AW93" s="109">
        <f t="shared" si="49"/>
        <v>4697.7</v>
      </c>
      <c r="AX93" s="66">
        <f t="shared" si="42"/>
        <v>754.89</v>
      </c>
      <c r="AY93" s="66"/>
      <c r="AZ93" s="66">
        <f t="shared" si="43"/>
        <v>0</v>
      </c>
      <c r="BA93" s="67">
        <f t="shared" si="44"/>
        <v>754.89</v>
      </c>
    </row>
    <row r="94" spans="1:53" ht="21.6" customHeight="1" x14ac:dyDescent="0.3">
      <c r="A94" s="2" t="s">
        <v>90</v>
      </c>
      <c r="B94" s="3" t="s">
        <v>91</v>
      </c>
      <c r="C94" s="3" t="s">
        <v>78</v>
      </c>
      <c r="D94" s="3" t="s">
        <v>53</v>
      </c>
      <c r="E94" s="3">
        <v>4412485931</v>
      </c>
      <c r="F94" s="3" t="s">
        <v>53</v>
      </c>
      <c r="G94" s="144">
        <v>327</v>
      </c>
      <c r="H94" s="394">
        <v>46062</v>
      </c>
      <c r="I94" s="50">
        <v>46076</v>
      </c>
      <c r="J94" s="15">
        <f t="shared" si="31"/>
        <v>14</v>
      </c>
      <c r="K94" s="3" t="s">
        <v>70</v>
      </c>
      <c r="L94" s="3" t="s">
        <v>56</v>
      </c>
      <c r="M94" s="3" t="s">
        <v>92</v>
      </c>
      <c r="N94" s="3" t="s">
        <v>93</v>
      </c>
      <c r="O94" s="3" t="s">
        <v>59</v>
      </c>
      <c r="P94" s="8">
        <v>4720</v>
      </c>
      <c r="Q94" s="44" t="s">
        <v>100</v>
      </c>
      <c r="R94" s="57">
        <f t="shared" si="32"/>
        <v>46062</v>
      </c>
      <c r="S94" s="13" t="s">
        <v>61</v>
      </c>
      <c r="T94" s="35">
        <v>46076</v>
      </c>
      <c r="U94" s="37">
        <v>46076</v>
      </c>
      <c r="V94" s="37">
        <f t="shared" si="47"/>
        <v>46076</v>
      </c>
      <c r="W94" s="59">
        <f t="shared" si="33"/>
        <v>14</v>
      </c>
      <c r="X94" s="59">
        <f t="shared" si="34"/>
        <v>14</v>
      </c>
      <c r="Y94" s="59">
        <f t="shared" si="35"/>
        <v>0</v>
      </c>
      <c r="Z94" s="143"/>
      <c r="AA94" s="4" t="s">
        <v>238</v>
      </c>
      <c r="AB94" s="35">
        <v>46076</v>
      </c>
      <c r="AC94" s="13">
        <v>4720</v>
      </c>
      <c r="AD94" s="174">
        <v>7354</v>
      </c>
      <c r="AE94" s="13" t="s">
        <v>63</v>
      </c>
      <c r="AF94" s="35">
        <v>46076</v>
      </c>
      <c r="AG94" s="3" t="str">
        <f t="shared" si="50"/>
        <v>CIF</v>
      </c>
      <c r="AH94" s="13" t="s">
        <v>64</v>
      </c>
      <c r="AI94" s="36" t="e">
        <f>#REF!</f>
        <v>#REF!</v>
      </c>
      <c r="AJ94" s="36">
        <v>0</v>
      </c>
      <c r="AK94" s="142">
        <f t="shared" si="36"/>
        <v>0</v>
      </c>
      <c r="AL94" s="47">
        <v>46076</v>
      </c>
      <c r="AM94" s="153">
        <v>46076</v>
      </c>
      <c r="AN94" s="63">
        <f t="shared" si="37"/>
        <v>0</v>
      </c>
      <c r="AO94" s="34" t="s">
        <v>65</v>
      </c>
      <c r="AP94" s="64">
        <f t="shared" si="48"/>
        <v>46076</v>
      </c>
      <c r="AQ94" s="64">
        <f t="shared" si="51"/>
        <v>46076</v>
      </c>
      <c r="AR94" s="65">
        <f t="shared" si="39"/>
        <v>14</v>
      </c>
      <c r="AS94" s="65">
        <f t="shared" si="40"/>
        <v>14</v>
      </c>
      <c r="AT94" s="157">
        <f t="shared" si="41"/>
        <v>0</v>
      </c>
      <c r="AU94" s="13"/>
      <c r="AV94" s="13" t="s">
        <v>59</v>
      </c>
      <c r="AW94" s="109">
        <f t="shared" si="49"/>
        <v>4720</v>
      </c>
      <c r="AX94" s="66">
        <f t="shared" si="42"/>
        <v>0</v>
      </c>
      <c r="AY94" s="66"/>
      <c r="AZ94" s="66">
        <f t="shared" si="43"/>
        <v>0</v>
      </c>
      <c r="BA94" s="67">
        <f t="shared" si="44"/>
        <v>0</v>
      </c>
    </row>
    <row r="95" spans="1:53" ht="21.6" customHeight="1" x14ac:dyDescent="0.3">
      <c r="A95" s="2" t="s">
        <v>90</v>
      </c>
      <c r="B95" s="3" t="s">
        <v>91</v>
      </c>
      <c r="C95" s="3" t="s">
        <v>78</v>
      </c>
      <c r="D95" s="3" t="s">
        <v>53</v>
      </c>
      <c r="E95" s="3">
        <v>4412485931</v>
      </c>
      <c r="F95" s="3" t="s">
        <v>53</v>
      </c>
      <c r="G95" s="144">
        <v>327</v>
      </c>
      <c r="H95" s="394">
        <v>46062</v>
      </c>
      <c r="I95" s="50">
        <v>46085</v>
      </c>
      <c r="J95" s="15">
        <f t="shared" si="31"/>
        <v>23</v>
      </c>
      <c r="K95" s="3" t="s">
        <v>70</v>
      </c>
      <c r="L95" s="3" t="s">
        <v>56</v>
      </c>
      <c r="M95" s="3" t="s">
        <v>92</v>
      </c>
      <c r="N95" s="3" t="s">
        <v>93</v>
      </c>
      <c r="O95" s="3" t="s">
        <v>59</v>
      </c>
      <c r="P95" s="8">
        <v>1139</v>
      </c>
      <c r="Q95" s="44" t="s">
        <v>100</v>
      </c>
      <c r="R95" s="57">
        <f t="shared" si="32"/>
        <v>46062</v>
      </c>
      <c r="S95" s="13" t="s">
        <v>61</v>
      </c>
      <c r="T95" s="35">
        <v>46108</v>
      </c>
      <c r="U95" s="37">
        <v>46085</v>
      </c>
      <c r="V95" s="37">
        <f t="shared" si="47"/>
        <v>46085</v>
      </c>
      <c r="W95" s="59">
        <f t="shared" si="33"/>
        <v>23</v>
      </c>
      <c r="X95" s="59">
        <f t="shared" si="34"/>
        <v>23</v>
      </c>
      <c r="Y95" s="59">
        <f t="shared" si="35"/>
        <v>0</v>
      </c>
      <c r="Z95" s="39"/>
      <c r="AA95" s="4" t="s">
        <v>345</v>
      </c>
      <c r="AB95" s="35">
        <v>46085</v>
      </c>
      <c r="AC95" s="13">
        <v>1139</v>
      </c>
      <c r="AD95" s="174">
        <v>7386</v>
      </c>
      <c r="AE95" s="13" t="s">
        <v>63</v>
      </c>
      <c r="AF95" s="35">
        <v>46085</v>
      </c>
      <c r="AG95" s="3" t="str">
        <f t="shared" si="50"/>
        <v>CIF</v>
      </c>
      <c r="AH95" s="13" t="s">
        <v>64</v>
      </c>
      <c r="AI95" s="36" t="e">
        <f>#REF!</f>
        <v>#REF!</v>
      </c>
      <c r="AJ95" s="36">
        <v>0</v>
      </c>
      <c r="AK95" s="142">
        <f t="shared" si="36"/>
        <v>0</v>
      </c>
      <c r="AL95" s="47">
        <v>46085</v>
      </c>
      <c r="AM95" s="153">
        <v>46085</v>
      </c>
      <c r="AN95" s="63">
        <f t="shared" si="37"/>
        <v>0</v>
      </c>
      <c r="AO95" s="34" t="s">
        <v>65</v>
      </c>
      <c r="AP95" s="64">
        <f t="shared" si="48"/>
        <v>46085</v>
      </c>
      <c r="AQ95" s="64">
        <f t="shared" si="51"/>
        <v>46085</v>
      </c>
      <c r="AR95" s="65">
        <f t="shared" si="39"/>
        <v>23</v>
      </c>
      <c r="AS95" s="65">
        <f t="shared" si="40"/>
        <v>23</v>
      </c>
      <c r="AT95" s="157">
        <f t="shared" si="41"/>
        <v>0</v>
      </c>
      <c r="AU95" s="13"/>
      <c r="AV95" s="13" t="s">
        <v>59</v>
      </c>
      <c r="AW95" s="109">
        <f t="shared" si="49"/>
        <v>1139</v>
      </c>
      <c r="AX95" s="66">
        <f t="shared" si="42"/>
        <v>0</v>
      </c>
      <c r="AY95" s="66"/>
      <c r="AZ95" s="66">
        <f t="shared" si="43"/>
        <v>0</v>
      </c>
      <c r="BA95" s="67">
        <f t="shared" si="44"/>
        <v>0</v>
      </c>
    </row>
    <row r="96" spans="1:53" ht="21.6" customHeight="1" x14ac:dyDescent="0.3">
      <c r="A96" s="2" t="s">
        <v>346</v>
      </c>
      <c r="B96" s="15" t="s">
        <v>96</v>
      </c>
      <c r="C96" s="3" t="s">
        <v>78</v>
      </c>
      <c r="D96" s="3" t="s">
        <v>53</v>
      </c>
      <c r="E96" s="3">
        <v>4500720765</v>
      </c>
      <c r="F96" s="3" t="s">
        <v>347</v>
      </c>
      <c r="G96" s="144">
        <v>328</v>
      </c>
      <c r="H96" s="394">
        <v>46063</v>
      </c>
      <c r="I96" s="50">
        <v>46094</v>
      </c>
      <c r="J96" s="15">
        <f t="shared" si="31"/>
        <v>31</v>
      </c>
      <c r="K96" s="3" t="s">
        <v>70</v>
      </c>
      <c r="L96" s="3" t="s">
        <v>56</v>
      </c>
      <c r="M96" s="15" t="s">
        <v>255</v>
      </c>
      <c r="N96" s="3" t="s">
        <v>273</v>
      </c>
      <c r="O96" s="3" t="s">
        <v>59</v>
      </c>
      <c r="P96" s="8">
        <v>16676.599999999999</v>
      </c>
      <c r="Q96" s="44" t="s">
        <v>100</v>
      </c>
      <c r="R96" s="57">
        <f t="shared" si="32"/>
        <v>46063</v>
      </c>
      <c r="S96" s="13" t="s">
        <v>61</v>
      </c>
      <c r="T96" s="35">
        <v>46080</v>
      </c>
      <c r="U96" s="37">
        <v>46080</v>
      </c>
      <c r="V96" s="37">
        <f t="shared" si="47"/>
        <v>46094</v>
      </c>
      <c r="W96" s="59">
        <f t="shared" si="33"/>
        <v>31</v>
      </c>
      <c r="X96" s="59">
        <f t="shared" si="34"/>
        <v>17</v>
      </c>
      <c r="Y96" s="59">
        <f t="shared" si="35"/>
        <v>14</v>
      </c>
      <c r="Z96" s="39">
        <v>2161.5300000000002</v>
      </c>
      <c r="AA96" s="4" t="s">
        <v>141</v>
      </c>
      <c r="AB96" s="35">
        <v>46083</v>
      </c>
      <c r="AC96" s="13">
        <v>16676.599999999999</v>
      </c>
      <c r="AD96" s="174">
        <v>7380</v>
      </c>
      <c r="AE96" s="13" t="s">
        <v>63</v>
      </c>
      <c r="AF96" s="35">
        <v>46085</v>
      </c>
      <c r="AG96" s="3" t="str">
        <f t="shared" si="50"/>
        <v>CIF</v>
      </c>
      <c r="AH96" s="13" t="s">
        <v>188</v>
      </c>
      <c r="AI96" s="36" t="e">
        <f>#REF!</f>
        <v>#REF!</v>
      </c>
      <c r="AJ96" s="36">
        <v>2503.35</v>
      </c>
      <c r="AK96" s="142">
        <f t="shared" si="36"/>
        <v>0.1501115335260185</v>
      </c>
      <c r="AL96" s="47">
        <v>46080</v>
      </c>
      <c r="AM96" s="153">
        <v>46094</v>
      </c>
      <c r="AN96" s="63">
        <f t="shared" si="37"/>
        <v>9</v>
      </c>
      <c r="AO96" s="34" t="s">
        <v>65</v>
      </c>
      <c r="AP96" s="64">
        <f t="shared" si="48"/>
        <v>46094</v>
      </c>
      <c r="AQ96" s="64">
        <f t="shared" si="51"/>
        <v>46094</v>
      </c>
      <c r="AR96" s="65">
        <f t="shared" si="39"/>
        <v>31</v>
      </c>
      <c r="AS96" s="65">
        <f t="shared" si="40"/>
        <v>31</v>
      </c>
      <c r="AT96" s="157">
        <f t="shared" si="41"/>
        <v>0</v>
      </c>
      <c r="AU96" s="13" t="s">
        <v>348</v>
      </c>
      <c r="AV96" s="13" t="s">
        <v>116</v>
      </c>
      <c r="AW96" s="109">
        <f t="shared" si="49"/>
        <v>16676.599999999999</v>
      </c>
      <c r="AX96" s="66">
        <f t="shared" si="42"/>
        <v>2161.5300000000002</v>
      </c>
      <c r="AY96" s="66"/>
      <c r="AZ96" s="66">
        <f t="shared" si="43"/>
        <v>2503.35</v>
      </c>
      <c r="BA96" s="67">
        <f t="shared" si="44"/>
        <v>4664.88</v>
      </c>
    </row>
    <row r="97" spans="1:53" ht="21.6" customHeight="1" x14ac:dyDescent="0.3">
      <c r="A97" s="2" t="s">
        <v>349</v>
      </c>
      <c r="B97" s="3" t="s">
        <v>96</v>
      </c>
      <c r="C97" s="3" t="s">
        <v>78</v>
      </c>
      <c r="D97" s="3" t="s">
        <v>53</v>
      </c>
      <c r="E97" s="3">
        <v>4500850881</v>
      </c>
      <c r="F97" s="3" t="s">
        <v>350</v>
      </c>
      <c r="G97" s="144">
        <v>329</v>
      </c>
      <c r="H97" s="394">
        <v>46063</v>
      </c>
      <c r="I97" s="50">
        <v>46094</v>
      </c>
      <c r="J97" s="15">
        <f t="shared" si="31"/>
        <v>31</v>
      </c>
      <c r="K97" s="3" t="s">
        <v>70</v>
      </c>
      <c r="L97" s="3" t="s">
        <v>56</v>
      </c>
      <c r="M97" s="3" t="s">
        <v>98</v>
      </c>
      <c r="N97" s="3" t="s">
        <v>351</v>
      </c>
      <c r="O97" s="3" t="s">
        <v>59</v>
      </c>
      <c r="P97" s="8">
        <v>3916</v>
      </c>
      <c r="Q97" s="44" t="s">
        <v>100</v>
      </c>
      <c r="R97" s="57">
        <f t="shared" si="32"/>
        <v>46063</v>
      </c>
      <c r="S97" s="13" t="s">
        <v>61</v>
      </c>
      <c r="T97" s="35">
        <v>46071</v>
      </c>
      <c r="U97" s="37">
        <v>46066</v>
      </c>
      <c r="V97" s="37">
        <f t="shared" si="47"/>
        <v>46094</v>
      </c>
      <c r="W97" s="59">
        <f t="shared" si="33"/>
        <v>31</v>
      </c>
      <c r="X97" s="59">
        <f t="shared" si="34"/>
        <v>3</v>
      </c>
      <c r="Y97" s="59">
        <f t="shared" si="35"/>
        <v>28</v>
      </c>
      <c r="Z97" s="39">
        <v>36.909999999999997</v>
      </c>
      <c r="AA97" s="4" t="s">
        <v>231</v>
      </c>
      <c r="AB97" s="35">
        <v>46066</v>
      </c>
      <c r="AC97" s="13">
        <v>3916</v>
      </c>
      <c r="AD97" s="174">
        <v>7344</v>
      </c>
      <c r="AE97" s="13" t="s">
        <v>63</v>
      </c>
      <c r="AF97" s="35">
        <v>46066</v>
      </c>
      <c r="AG97" s="3" t="str">
        <f t="shared" si="50"/>
        <v>CIF</v>
      </c>
      <c r="AH97" s="13" t="s">
        <v>102</v>
      </c>
      <c r="AI97" s="36" t="e">
        <f>#REF!</f>
        <v>#REF!</v>
      </c>
      <c r="AJ97" s="36">
        <v>128.16999999999999</v>
      </c>
      <c r="AK97" s="142">
        <f t="shared" si="36"/>
        <v>3.2729826353421858E-2</v>
      </c>
      <c r="AL97" s="47">
        <v>46072</v>
      </c>
      <c r="AM97" s="153">
        <v>46072</v>
      </c>
      <c r="AN97" s="63">
        <f t="shared" si="37"/>
        <v>6</v>
      </c>
      <c r="AO97" s="34" t="s">
        <v>65</v>
      </c>
      <c r="AP97" s="64">
        <f t="shared" si="48"/>
        <v>46094</v>
      </c>
      <c r="AQ97" s="64">
        <f t="shared" si="51"/>
        <v>46072</v>
      </c>
      <c r="AR97" s="65">
        <f t="shared" si="39"/>
        <v>31</v>
      </c>
      <c r="AS97" s="65">
        <f t="shared" si="40"/>
        <v>9</v>
      </c>
      <c r="AT97" s="157">
        <f t="shared" si="41"/>
        <v>22</v>
      </c>
      <c r="AU97" s="13"/>
      <c r="AV97" s="13" t="s">
        <v>59</v>
      </c>
      <c r="AW97" s="109">
        <f t="shared" si="49"/>
        <v>3916</v>
      </c>
      <c r="AX97" s="66">
        <f t="shared" si="42"/>
        <v>36.909999999999997</v>
      </c>
      <c r="AY97" s="66"/>
      <c r="AZ97" s="66">
        <f t="shared" si="43"/>
        <v>128.16999999999999</v>
      </c>
      <c r="BA97" s="67">
        <f t="shared" si="44"/>
        <v>165.07999999999998</v>
      </c>
    </row>
    <row r="98" spans="1:53" ht="21.6" customHeight="1" x14ac:dyDescent="0.3">
      <c r="A98" s="2" t="s">
        <v>195</v>
      </c>
      <c r="B98" s="3" t="s">
        <v>51</v>
      </c>
      <c r="C98" s="3" t="s">
        <v>78</v>
      </c>
      <c r="D98" s="3" t="s">
        <v>53</v>
      </c>
      <c r="E98" s="3">
        <v>5.5460000000000003</v>
      </c>
      <c r="F98" s="3" t="s">
        <v>352</v>
      </c>
      <c r="G98" s="144">
        <v>330</v>
      </c>
      <c r="H98" s="394">
        <v>46063</v>
      </c>
      <c r="I98" s="50">
        <v>46076</v>
      </c>
      <c r="J98" s="15">
        <f t="shared" si="31"/>
        <v>13</v>
      </c>
      <c r="K98" s="3" t="s">
        <v>55</v>
      </c>
      <c r="L98" s="3" t="s">
        <v>56</v>
      </c>
      <c r="M98" s="15" t="s">
        <v>57</v>
      </c>
      <c r="N98" s="3" t="s">
        <v>197</v>
      </c>
      <c r="O98" s="3" t="s">
        <v>59</v>
      </c>
      <c r="P98" s="8">
        <v>14945</v>
      </c>
      <c r="Q98" s="44" t="s">
        <v>100</v>
      </c>
      <c r="R98" s="57">
        <f t="shared" ref="R98:R129" si="52">H98</f>
        <v>46063</v>
      </c>
      <c r="S98" s="13" t="s">
        <v>61</v>
      </c>
      <c r="T98" s="35">
        <v>46076</v>
      </c>
      <c r="U98" s="37">
        <v>46076</v>
      </c>
      <c r="V98" s="37">
        <f t="shared" si="47"/>
        <v>46076</v>
      </c>
      <c r="W98" s="59">
        <f t="shared" si="33"/>
        <v>13</v>
      </c>
      <c r="X98" s="59">
        <f t="shared" si="34"/>
        <v>13</v>
      </c>
      <c r="Y98" s="59">
        <f t="shared" si="35"/>
        <v>0</v>
      </c>
      <c r="Z98" s="39">
        <v>2772.92</v>
      </c>
      <c r="AA98" s="4" t="s">
        <v>238</v>
      </c>
      <c r="AB98" s="35">
        <v>46077</v>
      </c>
      <c r="AC98" s="13">
        <v>14945</v>
      </c>
      <c r="AD98" s="174">
        <v>7359</v>
      </c>
      <c r="AE98" s="13" t="s">
        <v>63</v>
      </c>
      <c r="AF98" s="35">
        <v>46078</v>
      </c>
      <c r="AG98" s="3" t="str">
        <f t="shared" si="50"/>
        <v>FOB</v>
      </c>
      <c r="AH98" s="13" t="s">
        <v>127</v>
      </c>
      <c r="AI98" s="36" t="e">
        <f>#REF!</f>
        <v>#REF!</v>
      </c>
      <c r="AJ98" s="36">
        <v>0</v>
      </c>
      <c r="AK98" s="142">
        <f t="shared" ref="AK98:AK129" si="53">AJ98/AC98</f>
        <v>0</v>
      </c>
      <c r="AL98" s="47">
        <v>46077</v>
      </c>
      <c r="AM98" s="153">
        <v>46076</v>
      </c>
      <c r="AN98" s="63">
        <f t="shared" ref="AN98:AN129" si="54">AM98-AF98</f>
        <v>-2</v>
      </c>
      <c r="AO98" s="34" t="s">
        <v>65</v>
      </c>
      <c r="AP98" s="64">
        <f t="shared" si="48"/>
        <v>46076</v>
      </c>
      <c r="AQ98" s="64">
        <f t="shared" si="51"/>
        <v>46076</v>
      </c>
      <c r="AR98" s="65">
        <f t="shared" si="39"/>
        <v>13</v>
      </c>
      <c r="AS98" s="65">
        <f t="shared" si="40"/>
        <v>13</v>
      </c>
      <c r="AT98" s="157">
        <f t="shared" si="41"/>
        <v>0</v>
      </c>
      <c r="AU98" s="13"/>
      <c r="AV98" s="13" t="s">
        <v>59</v>
      </c>
      <c r="AW98" s="109">
        <f t="shared" si="49"/>
        <v>14945</v>
      </c>
      <c r="AX98" s="66">
        <f t="shared" ref="AX98:AX129" si="55">Z98</f>
        <v>2772.92</v>
      </c>
      <c r="AY98" s="66"/>
      <c r="AZ98" s="66">
        <f t="shared" ref="AZ98:AZ129" si="56">AJ98</f>
        <v>0</v>
      </c>
      <c r="BA98" s="67">
        <f t="shared" ref="BA98:BA129" si="57">AX98+AZ98</f>
        <v>2772.92</v>
      </c>
    </row>
    <row r="99" spans="1:53" ht="21.6" customHeight="1" x14ac:dyDescent="0.3">
      <c r="A99" s="2" t="s">
        <v>353</v>
      </c>
      <c r="B99" s="3" t="s">
        <v>163</v>
      </c>
      <c r="C99" s="3" t="s">
        <v>78</v>
      </c>
      <c r="D99" s="3" t="s">
        <v>53</v>
      </c>
      <c r="E99" s="3">
        <v>4500055735</v>
      </c>
      <c r="F99" s="3" t="s">
        <v>354</v>
      </c>
      <c r="G99" s="144">
        <v>332</v>
      </c>
      <c r="H99" s="394">
        <v>46064</v>
      </c>
      <c r="I99" s="50">
        <v>46093</v>
      </c>
      <c r="J99" s="15">
        <f t="shared" si="31"/>
        <v>29</v>
      </c>
      <c r="K99" s="3" t="s">
        <v>55</v>
      </c>
      <c r="L99" s="3" t="s">
        <v>56</v>
      </c>
      <c r="M99" s="3" t="s">
        <v>242</v>
      </c>
      <c r="N99" s="3" t="s">
        <v>355</v>
      </c>
      <c r="O99" s="3" t="s">
        <v>59</v>
      </c>
      <c r="P99" s="8">
        <v>51621.65</v>
      </c>
      <c r="Q99" s="44" t="s">
        <v>60</v>
      </c>
      <c r="R99" s="57">
        <f t="shared" si="52"/>
        <v>46064</v>
      </c>
      <c r="S99" s="13" t="s">
        <v>61</v>
      </c>
      <c r="T99" s="35">
        <v>46080</v>
      </c>
      <c r="U99" s="37">
        <v>46084</v>
      </c>
      <c r="V99" s="37">
        <f t="shared" si="47"/>
        <v>46093</v>
      </c>
      <c r="W99" s="59">
        <f t="shared" si="33"/>
        <v>29</v>
      </c>
      <c r="X99" s="59">
        <f t="shared" si="34"/>
        <v>20</v>
      </c>
      <c r="Y99" s="59">
        <f t="shared" si="35"/>
        <v>9</v>
      </c>
      <c r="Z99" s="39">
        <v>9050.07</v>
      </c>
      <c r="AA99" s="4" t="s">
        <v>141</v>
      </c>
      <c r="AB99" s="35">
        <v>46080</v>
      </c>
      <c r="AC99" s="13">
        <v>51621.65</v>
      </c>
      <c r="AD99" s="174">
        <v>7378</v>
      </c>
      <c r="AE99" s="13" t="s">
        <v>63</v>
      </c>
      <c r="AF99" s="35">
        <v>46092</v>
      </c>
      <c r="AG99" s="3" t="str">
        <f t="shared" si="50"/>
        <v>FOB</v>
      </c>
      <c r="AH99" s="13" t="s">
        <v>245</v>
      </c>
      <c r="AI99" s="36" t="e">
        <f>#REF!</f>
        <v>#REF!</v>
      </c>
      <c r="AJ99" s="36">
        <v>0</v>
      </c>
      <c r="AK99" s="142">
        <f t="shared" si="53"/>
        <v>0</v>
      </c>
      <c r="AL99" s="47">
        <v>46084</v>
      </c>
      <c r="AM99" s="153">
        <v>46084</v>
      </c>
      <c r="AN99" s="63">
        <f t="shared" si="54"/>
        <v>-8</v>
      </c>
      <c r="AO99" s="34" t="s">
        <v>65</v>
      </c>
      <c r="AP99" s="64">
        <f t="shared" si="48"/>
        <v>46093</v>
      </c>
      <c r="AQ99" s="64">
        <f t="shared" si="51"/>
        <v>46084</v>
      </c>
      <c r="AR99" s="65">
        <f t="shared" si="39"/>
        <v>29</v>
      </c>
      <c r="AS99" s="65">
        <f t="shared" si="40"/>
        <v>20</v>
      </c>
      <c r="AT99" s="157">
        <f t="shared" si="41"/>
        <v>9</v>
      </c>
      <c r="AU99" s="13"/>
      <c r="AV99" s="13" t="s">
        <v>59</v>
      </c>
      <c r="AW99" s="109">
        <f t="shared" si="49"/>
        <v>51621.65</v>
      </c>
      <c r="AX99" s="66">
        <f t="shared" si="55"/>
        <v>9050.07</v>
      </c>
      <c r="AY99" s="66"/>
      <c r="AZ99" s="66">
        <f t="shared" si="56"/>
        <v>0</v>
      </c>
      <c r="BA99" s="67">
        <f t="shared" si="57"/>
        <v>9050.07</v>
      </c>
    </row>
    <row r="100" spans="1:53" ht="21.6" customHeight="1" x14ac:dyDescent="0.3">
      <c r="A100" s="2" t="s">
        <v>356</v>
      </c>
      <c r="B100" s="3" t="s">
        <v>77</v>
      </c>
      <c r="C100" s="3" t="s">
        <v>78</v>
      </c>
      <c r="D100" s="3" t="s">
        <v>53</v>
      </c>
      <c r="E100" s="3" t="s">
        <v>357</v>
      </c>
      <c r="F100" s="3" t="s">
        <v>358</v>
      </c>
      <c r="G100" s="144">
        <v>334</v>
      </c>
      <c r="H100" s="394">
        <v>46065</v>
      </c>
      <c r="I100" s="50">
        <v>46094</v>
      </c>
      <c r="J100" s="15">
        <f t="shared" si="31"/>
        <v>29</v>
      </c>
      <c r="K100" s="3" t="s">
        <v>70</v>
      </c>
      <c r="L100" s="3" t="s">
        <v>56</v>
      </c>
      <c r="M100" s="15" t="s">
        <v>81</v>
      </c>
      <c r="N100" s="3" t="s">
        <v>359</v>
      </c>
      <c r="O100" s="3" t="s">
        <v>59</v>
      </c>
      <c r="P100" s="8">
        <v>13211.02</v>
      </c>
      <c r="Q100" s="44" t="s">
        <v>100</v>
      </c>
      <c r="R100" s="57">
        <f t="shared" si="52"/>
        <v>46065</v>
      </c>
      <c r="S100" s="13" t="s">
        <v>61</v>
      </c>
      <c r="T100" s="165">
        <v>46085</v>
      </c>
      <c r="U100" s="37">
        <v>46086</v>
      </c>
      <c r="V100" s="37">
        <f t="shared" si="47"/>
        <v>46094</v>
      </c>
      <c r="W100" s="59">
        <f t="shared" si="33"/>
        <v>29</v>
      </c>
      <c r="X100" s="59">
        <f t="shared" si="34"/>
        <v>21</v>
      </c>
      <c r="Y100" s="59">
        <f t="shared" si="35"/>
        <v>8</v>
      </c>
      <c r="Z100" s="39"/>
      <c r="AA100" s="4" t="s">
        <v>345</v>
      </c>
      <c r="AB100" s="35">
        <v>46090</v>
      </c>
      <c r="AC100" s="13">
        <v>13211.02</v>
      </c>
      <c r="AD100" s="174">
        <v>7396</v>
      </c>
      <c r="AE100" s="13" t="s">
        <v>63</v>
      </c>
      <c r="AF100" s="35">
        <v>46091</v>
      </c>
      <c r="AG100" s="3" t="str">
        <f t="shared" si="50"/>
        <v>CIF</v>
      </c>
      <c r="AH100" s="13" t="s">
        <v>188</v>
      </c>
      <c r="AI100" s="36" t="e">
        <f>#REF!</f>
        <v>#REF!</v>
      </c>
      <c r="AJ100" s="36">
        <v>665.88</v>
      </c>
      <c r="AK100" s="142">
        <f t="shared" si="53"/>
        <v>5.0403375363900743E-2</v>
      </c>
      <c r="AL100" s="47">
        <v>46098</v>
      </c>
      <c r="AM100" s="153">
        <v>46104</v>
      </c>
      <c r="AN100" s="63">
        <f t="shared" si="54"/>
        <v>13</v>
      </c>
      <c r="AO100" s="34" t="s">
        <v>103</v>
      </c>
      <c r="AP100" s="64">
        <f t="shared" si="48"/>
        <v>46094</v>
      </c>
      <c r="AQ100" s="64">
        <f t="shared" si="51"/>
        <v>46104</v>
      </c>
      <c r="AR100" s="65">
        <f t="shared" si="39"/>
        <v>29</v>
      </c>
      <c r="AS100" s="65">
        <f t="shared" si="40"/>
        <v>39</v>
      </c>
      <c r="AT100" s="157">
        <f t="shared" si="41"/>
        <v>-10</v>
      </c>
      <c r="AU100" s="13" t="s">
        <v>360</v>
      </c>
      <c r="AV100" s="13" t="s">
        <v>116</v>
      </c>
      <c r="AW100" s="109">
        <f t="shared" si="49"/>
        <v>13211.02</v>
      </c>
      <c r="AX100" s="66">
        <f t="shared" si="55"/>
        <v>0</v>
      </c>
      <c r="AY100" s="66"/>
      <c r="AZ100" s="66">
        <f t="shared" si="56"/>
        <v>665.88</v>
      </c>
      <c r="BA100" s="67">
        <f t="shared" si="57"/>
        <v>665.88</v>
      </c>
    </row>
    <row r="101" spans="1:53" ht="21.6" customHeight="1" x14ac:dyDescent="0.3">
      <c r="A101" s="2" t="s">
        <v>137</v>
      </c>
      <c r="B101" s="15" t="s">
        <v>67</v>
      </c>
      <c r="C101" s="3" t="s">
        <v>78</v>
      </c>
      <c r="D101" s="3" t="s">
        <v>53</v>
      </c>
      <c r="E101" s="3" t="s">
        <v>53</v>
      </c>
      <c r="F101" s="3" t="s">
        <v>53</v>
      </c>
      <c r="G101" s="144">
        <v>335</v>
      </c>
      <c r="H101" s="394">
        <v>46065</v>
      </c>
      <c r="I101" s="50">
        <v>46093</v>
      </c>
      <c r="J101" s="15">
        <f t="shared" si="31"/>
        <v>28</v>
      </c>
      <c r="K101" s="3" t="s">
        <v>55</v>
      </c>
      <c r="L101" s="3" t="s">
        <v>139</v>
      </c>
      <c r="M101" s="15" t="s">
        <v>72</v>
      </c>
      <c r="N101" s="3" t="s">
        <v>140</v>
      </c>
      <c r="O101" s="3" t="s">
        <v>59</v>
      </c>
      <c r="P101" s="8">
        <v>82425.899999999994</v>
      </c>
      <c r="Q101" s="44" t="s">
        <v>60</v>
      </c>
      <c r="R101" s="57">
        <f t="shared" si="52"/>
        <v>46065</v>
      </c>
      <c r="S101" s="13" t="s">
        <v>61</v>
      </c>
      <c r="T101" s="35">
        <v>46093</v>
      </c>
      <c r="U101" s="37">
        <v>46093</v>
      </c>
      <c r="V101" s="37">
        <f t="shared" si="47"/>
        <v>46093</v>
      </c>
      <c r="W101" s="59">
        <f t="shared" si="33"/>
        <v>28</v>
      </c>
      <c r="X101" s="59">
        <f t="shared" si="34"/>
        <v>28</v>
      </c>
      <c r="Y101" s="59">
        <f t="shared" si="35"/>
        <v>0</v>
      </c>
      <c r="Z101" s="39"/>
      <c r="AA101" s="4" t="s">
        <v>304</v>
      </c>
      <c r="AB101" s="35">
        <v>46101</v>
      </c>
      <c r="AC101" s="13">
        <v>83882.47</v>
      </c>
      <c r="AD101" s="174">
        <v>7432</v>
      </c>
      <c r="AE101" s="13" t="s">
        <v>63</v>
      </c>
      <c r="AF101" s="35">
        <v>46105</v>
      </c>
      <c r="AG101" s="3" t="str">
        <f t="shared" si="50"/>
        <v>FOB</v>
      </c>
      <c r="AH101" s="13" t="s">
        <v>361</v>
      </c>
      <c r="AI101" s="36" t="e">
        <f>#REF!</f>
        <v>#REF!</v>
      </c>
      <c r="AJ101" s="36">
        <v>0</v>
      </c>
      <c r="AK101" s="142">
        <f t="shared" si="53"/>
        <v>0</v>
      </c>
      <c r="AL101" s="47">
        <v>46105</v>
      </c>
      <c r="AM101" s="153">
        <v>46093</v>
      </c>
      <c r="AN101" s="63">
        <f t="shared" si="54"/>
        <v>-12</v>
      </c>
      <c r="AO101" s="34" t="s">
        <v>65</v>
      </c>
      <c r="AP101" s="64">
        <f t="shared" si="48"/>
        <v>46093</v>
      </c>
      <c r="AQ101" s="64">
        <f t="shared" si="51"/>
        <v>46093</v>
      </c>
      <c r="AR101" s="65">
        <f t="shared" si="39"/>
        <v>28</v>
      </c>
      <c r="AS101" s="65">
        <f t="shared" si="40"/>
        <v>28</v>
      </c>
      <c r="AT101" s="157">
        <f t="shared" si="41"/>
        <v>0</v>
      </c>
      <c r="AU101" s="13"/>
      <c r="AV101" s="13" t="s">
        <v>59</v>
      </c>
      <c r="AW101" s="109">
        <f t="shared" si="49"/>
        <v>83882.47</v>
      </c>
      <c r="AX101" s="66">
        <f t="shared" si="55"/>
        <v>0</v>
      </c>
      <c r="AY101" s="66"/>
      <c r="AZ101" s="66">
        <f t="shared" si="56"/>
        <v>0</v>
      </c>
      <c r="BA101" s="67">
        <f t="shared" si="57"/>
        <v>0</v>
      </c>
    </row>
    <row r="102" spans="1:53" ht="21.6" customHeight="1" x14ac:dyDescent="0.3">
      <c r="A102" s="2" t="s">
        <v>301</v>
      </c>
      <c r="B102" s="3" t="s">
        <v>91</v>
      </c>
      <c r="C102" s="3" t="s">
        <v>78</v>
      </c>
      <c r="D102" s="3" t="s">
        <v>53</v>
      </c>
      <c r="E102" s="3">
        <v>5000004397</v>
      </c>
      <c r="F102" s="3" t="s">
        <v>362</v>
      </c>
      <c r="G102" s="144">
        <v>337</v>
      </c>
      <c r="H102" s="394">
        <v>46066</v>
      </c>
      <c r="I102" s="50">
        <v>46092</v>
      </c>
      <c r="J102" s="15">
        <f t="shared" si="31"/>
        <v>26</v>
      </c>
      <c r="K102" s="3" t="s">
        <v>55</v>
      </c>
      <c r="L102" s="3" t="s">
        <v>56</v>
      </c>
      <c r="M102" s="3" t="s">
        <v>92</v>
      </c>
      <c r="N102" s="3" t="s">
        <v>363</v>
      </c>
      <c r="O102" s="3" t="s">
        <v>59</v>
      </c>
      <c r="P102" s="8">
        <v>14470.42</v>
      </c>
      <c r="Q102" s="44" t="s">
        <v>60</v>
      </c>
      <c r="R102" s="57">
        <f t="shared" si="52"/>
        <v>46066</v>
      </c>
      <c r="S102" s="13" t="s">
        <v>61</v>
      </c>
      <c r="T102" s="35">
        <v>46091</v>
      </c>
      <c r="U102" s="37">
        <v>46084</v>
      </c>
      <c r="V102" s="37">
        <f t="shared" si="47"/>
        <v>46092</v>
      </c>
      <c r="W102" s="59">
        <f t="shared" si="33"/>
        <v>26</v>
      </c>
      <c r="X102" s="59">
        <f t="shared" si="34"/>
        <v>18</v>
      </c>
      <c r="Y102" s="59">
        <f t="shared" si="35"/>
        <v>8</v>
      </c>
      <c r="Z102" s="39">
        <v>3377.34</v>
      </c>
      <c r="AA102" s="4" t="s">
        <v>141</v>
      </c>
      <c r="AB102" s="35">
        <v>46080</v>
      </c>
      <c r="AC102" s="13">
        <v>14470.42</v>
      </c>
      <c r="AD102" s="174">
        <v>7393</v>
      </c>
      <c r="AE102" s="13" t="s">
        <v>63</v>
      </c>
      <c r="AF102" s="35">
        <v>46090</v>
      </c>
      <c r="AG102" s="3" t="str">
        <f t="shared" si="50"/>
        <v>FOB</v>
      </c>
      <c r="AH102" s="13" t="s">
        <v>364</v>
      </c>
      <c r="AI102" s="36" t="e">
        <f>#REF!</f>
        <v>#REF!</v>
      </c>
      <c r="AJ102" s="36">
        <v>0</v>
      </c>
      <c r="AK102" s="142">
        <f t="shared" si="53"/>
        <v>0</v>
      </c>
      <c r="AL102" s="47">
        <v>46080</v>
      </c>
      <c r="AM102" s="153">
        <v>46084</v>
      </c>
      <c r="AN102" s="63">
        <f t="shared" si="54"/>
        <v>-6</v>
      </c>
      <c r="AO102" s="34" t="s">
        <v>65</v>
      </c>
      <c r="AP102" s="64">
        <f t="shared" si="48"/>
        <v>46092</v>
      </c>
      <c r="AQ102" s="64">
        <f t="shared" si="51"/>
        <v>46084</v>
      </c>
      <c r="AR102" s="65">
        <f t="shared" si="39"/>
        <v>26</v>
      </c>
      <c r="AS102" s="65">
        <f t="shared" si="40"/>
        <v>18</v>
      </c>
      <c r="AT102" s="157">
        <f t="shared" si="41"/>
        <v>8</v>
      </c>
      <c r="AU102" s="13"/>
      <c r="AV102" s="13" t="s">
        <v>59</v>
      </c>
      <c r="AW102" s="109">
        <f t="shared" si="49"/>
        <v>14470.42</v>
      </c>
      <c r="AX102" s="66">
        <f t="shared" si="55"/>
        <v>3377.34</v>
      </c>
      <c r="AY102" s="66"/>
      <c r="AZ102" s="66">
        <f t="shared" si="56"/>
        <v>0</v>
      </c>
      <c r="BA102" s="67">
        <f t="shared" si="57"/>
        <v>3377.34</v>
      </c>
    </row>
    <row r="103" spans="1:53" ht="21.6" customHeight="1" x14ac:dyDescent="0.3">
      <c r="A103" s="2" t="s">
        <v>301</v>
      </c>
      <c r="B103" s="3" t="s">
        <v>51</v>
      </c>
      <c r="C103" s="3" t="s">
        <v>78</v>
      </c>
      <c r="D103" s="3" t="s">
        <v>53</v>
      </c>
      <c r="E103" s="3">
        <v>5000004396</v>
      </c>
      <c r="F103" s="3" t="s">
        <v>365</v>
      </c>
      <c r="G103" s="144">
        <v>338</v>
      </c>
      <c r="H103" s="394">
        <v>46066</v>
      </c>
      <c r="I103" s="50">
        <v>46092</v>
      </c>
      <c r="J103" s="15">
        <f t="shared" si="31"/>
        <v>26</v>
      </c>
      <c r="K103" s="3" t="s">
        <v>55</v>
      </c>
      <c r="L103" s="3" t="s">
        <v>56</v>
      </c>
      <c r="M103" s="3" t="s">
        <v>57</v>
      </c>
      <c r="N103" s="3" t="s">
        <v>366</v>
      </c>
      <c r="O103" s="3" t="s">
        <v>59</v>
      </c>
      <c r="P103" s="8">
        <v>3078.68</v>
      </c>
      <c r="Q103" s="44" t="s">
        <v>60</v>
      </c>
      <c r="R103" s="57">
        <f t="shared" si="52"/>
        <v>46066</v>
      </c>
      <c r="S103" s="13" t="s">
        <v>61</v>
      </c>
      <c r="T103" s="35">
        <v>46091</v>
      </c>
      <c r="U103" s="37">
        <v>46086</v>
      </c>
      <c r="V103" s="37">
        <f t="shared" si="47"/>
        <v>46092</v>
      </c>
      <c r="W103" s="59">
        <f t="shared" si="33"/>
        <v>26</v>
      </c>
      <c r="X103" s="59">
        <f t="shared" si="34"/>
        <v>20</v>
      </c>
      <c r="Y103" s="59">
        <f t="shared" si="35"/>
        <v>6</v>
      </c>
      <c r="Z103" s="39"/>
      <c r="AA103" s="4" t="s">
        <v>345</v>
      </c>
      <c r="AB103" s="35">
        <v>46091</v>
      </c>
      <c r="AC103" s="13">
        <v>3078.68</v>
      </c>
      <c r="AD103" s="174">
        <v>7401</v>
      </c>
      <c r="AE103" s="13" t="s">
        <v>63</v>
      </c>
      <c r="AF103" s="35">
        <v>46093</v>
      </c>
      <c r="AG103" s="3" t="str">
        <f t="shared" si="50"/>
        <v>FOB</v>
      </c>
      <c r="AH103" s="13" t="s">
        <v>364</v>
      </c>
      <c r="AI103" s="36" t="e">
        <f>#REF!</f>
        <v>#REF!</v>
      </c>
      <c r="AJ103" s="36">
        <v>0</v>
      </c>
      <c r="AK103" s="142">
        <f t="shared" si="53"/>
        <v>0</v>
      </c>
      <c r="AL103" s="47"/>
      <c r="AM103" s="153">
        <v>46087</v>
      </c>
      <c r="AN103" s="63">
        <f t="shared" si="54"/>
        <v>-6</v>
      </c>
      <c r="AO103" s="34" t="s">
        <v>65</v>
      </c>
      <c r="AP103" s="64">
        <f t="shared" si="48"/>
        <v>46092</v>
      </c>
      <c r="AQ103" s="64">
        <f t="shared" si="51"/>
        <v>46087</v>
      </c>
      <c r="AR103" s="65">
        <f t="shared" si="39"/>
        <v>26</v>
      </c>
      <c r="AS103" s="65">
        <f t="shared" si="40"/>
        <v>21</v>
      </c>
      <c r="AT103" s="157">
        <f t="shared" si="41"/>
        <v>5</v>
      </c>
      <c r="AU103" s="13"/>
      <c r="AV103" s="13" t="s">
        <v>59</v>
      </c>
      <c r="AW103" s="109">
        <f t="shared" si="49"/>
        <v>3078.68</v>
      </c>
      <c r="AX103" s="66">
        <f t="shared" si="55"/>
        <v>0</v>
      </c>
      <c r="AY103" s="66"/>
      <c r="AZ103" s="66">
        <f t="shared" si="56"/>
        <v>0</v>
      </c>
      <c r="BA103" s="67">
        <f t="shared" si="57"/>
        <v>0</v>
      </c>
    </row>
    <row r="104" spans="1:53" ht="21.6" customHeight="1" x14ac:dyDescent="0.3">
      <c r="A104" s="2" t="s">
        <v>162</v>
      </c>
      <c r="B104" s="3" t="s">
        <v>91</v>
      </c>
      <c r="C104" s="3" t="s">
        <v>78</v>
      </c>
      <c r="D104" s="3" t="s">
        <v>53</v>
      </c>
      <c r="E104" s="3">
        <v>5700024007</v>
      </c>
      <c r="F104" s="3" t="s">
        <v>367</v>
      </c>
      <c r="G104" s="144">
        <v>339</v>
      </c>
      <c r="H104" s="394">
        <v>46066</v>
      </c>
      <c r="I104" s="50">
        <v>46094</v>
      </c>
      <c r="J104" s="15">
        <f t="shared" si="31"/>
        <v>28</v>
      </c>
      <c r="K104" s="3" t="s">
        <v>70</v>
      </c>
      <c r="L104" s="3" t="s">
        <v>56</v>
      </c>
      <c r="M104" s="3" t="s">
        <v>368</v>
      </c>
      <c r="N104" s="3" t="s">
        <v>369</v>
      </c>
      <c r="O104" s="3" t="s">
        <v>59</v>
      </c>
      <c r="P104" s="8">
        <v>24802</v>
      </c>
      <c r="Q104" s="44" t="s">
        <v>60</v>
      </c>
      <c r="R104" s="57">
        <f t="shared" si="52"/>
        <v>46066</v>
      </c>
      <c r="S104" s="13" t="s">
        <v>61</v>
      </c>
      <c r="T104" s="35">
        <v>46080</v>
      </c>
      <c r="U104" s="37">
        <v>46080</v>
      </c>
      <c r="V104" s="37">
        <f t="shared" si="47"/>
        <v>46094</v>
      </c>
      <c r="W104" s="59">
        <f t="shared" si="33"/>
        <v>28</v>
      </c>
      <c r="X104" s="59">
        <f t="shared" si="34"/>
        <v>14</v>
      </c>
      <c r="Y104" s="59">
        <f t="shared" si="35"/>
        <v>14</v>
      </c>
      <c r="Z104" s="39">
        <v>1672.38</v>
      </c>
      <c r="AA104" s="4" t="s">
        <v>141</v>
      </c>
      <c r="AB104" s="35">
        <v>46080</v>
      </c>
      <c r="AC104" s="13">
        <v>24802</v>
      </c>
      <c r="AD104" s="174">
        <v>7370</v>
      </c>
      <c r="AE104" s="13" t="s">
        <v>63</v>
      </c>
      <c r="AF104" s="35">
        <v>46084</v>
      </c>
      <c r="AG104" s="3" t="str">
        <f t="shared" si="50"/>
        <v>CIF</v>
      </c>
      <c r="AH104" s="13" t="s">
        <v>180</v>
      </c>
      <c r="AI104" s="36" t="e">
        <f>#REF!</f>
        <v>#REF!</v>
      </c>
      <c r="AJ104" s="36">
        <v>3554.38</v>
      </c>
      <c r="AK104" s="142">
        <f t="shared" si="53"/>
        <v>0.14331021691799048</v>
      </c>
      <c r="AL104" s="47">
        <v>46108</v>
      </c>
      <c r="AM104" s="167">
        <v>46113</v>
      </c>
      <c r="AN104" s="63">
        <f t="shared" si="54"/>
        <v>29</v>
      </c>
      <c r="AO104" s="34" t="s">
        <v>103</v>
      </c>
      <c r="AP104" s="64">
        <f t="shared" si="48"/>
        <v>46094</v>
      </c>
      <c r="AQ104" s="64">
        <f t="shared" si="51"/>
        <v>46113</v>
      </c>
      <c r="AR104" s="65">
        <f t="shared" si="39"/>
        <v>28</v>
      </c>
      <c r="AS104" s="65">
        <f t="shared" si="40"/>
        <v>47</v>
      </c>
      <c r="AT104" s="157">
        <f t="shared" si="41"/>
        <v>-19</v>
      </c>
      <c r="AU104" s="168" t="s">
        <v>370</v>
      </c>
      <c r="AV104" s="13" t="s">
        <v>105</v>
      </c>
      <c r="AW104" s="109">
        <f t="shared" si="49"/>
        <v>24802</v>
      </c>
      <c r="AX104" s="66">
        <f t="shared" si="55"/>
        <v>1672.38</v>
      </c>
      <c r="AY104" s="66"/>
      <c r="AZ104" s="66">
        <f t="shared" si="56"/>
        <v>3554.38</v>
      </c>
      <c r="BA104" s="67">
        <f t="shared" si="57"/>
        <v>5226.76</v>
      </c>
    </row>
    <row r="105" spans="1:53" ht="21.6" customHeight="1" x14ac:dyDescent="0.3">
      <c r="A105" s="2" t="s">
        <v>371</v>
      </c>
      <c r="B105" s="3" t="s">
        <v>67</v>
      </c>
      <c r="C105" s="3" t="s">
        <v>78</v>
      </c>
      <c r="D105" s="3" t="s">
        <v>53</v>
      </c>
      <c r="E105" s="3" t="s">
        <v>53</v>
      </c>
      <c r="F105" s="3" t="s">
        <v>53</v>
      </c>
      <c r="G105" s="144">
        <v>340</v>
      </c>
      <c r="H105" s="394">
        <v>46071</v>
      </c>
      <c r="I105" s="50">
        <v>46100</v>
      </c>
      <c r="J105" s="15">
        <f t="shared" si="31"/>
        <v>29</v>
      </c>
      <c r="K105" s="3" t="s">
        <v>55</v>
      </c>
      <c r="L105" s="3" t="s">
        <v>372</v>
      </c>
      <c r="M105" s="3" t="s">
        <v>72</v>
      </c>
      <c r="N105" s="3" t="s">
        <v>373</v>
      </c>
      <c r="O105" s="3" t="s">
        <v>59</v>
      </c>
      <c r="P105" s="8">
        <v>238</v>
      </c>
      <c r="Q105" s="44" t="s">
        <v>60</v>
      </c>
      <c r="R105" s="57">
        <f t="shared" si="52"/>
        <v>46071</v>
      </c>
      <c r="S105" s="13" t="s">
        <v>61</v>
      </c>
      <c r="T105" s="35">
        <v>46108</v>
      </c>
      <c r="U105" s="37">
        <v>46091</v>
      </c>
      <c r="V105" s="37">
        <f t="shared" si="47"/>
        <v>46100</v>
      </c>
      <c r="W105" s="59">
        <f t="shared" si="33"/>
        <v>29</v>
      </c>
      <c r="X105" s="59">
        <f t="shared" si="34"/>
        <v>20</v>
      </c>
      <c r="Y105" s="59">
        <f t="shared" si="35"/>
        <v>9</v>
      </c>
      <c r="Z105" s="39"/>
      <c r="AA105" s="4" t="s">
        <v>304</v>
      </c>
      <c r="AB105" s="35">
        <v>46097</v>
      </c>
      <c r="AC105" s="13">
        <v>286</v>
      </c>
      <c r="AD105" s="174">
        <v>7418</v>
      </c>
      <c r="AE105" s="13" t="s">
        <v>63</v>
      </c>
      <c r="AF105" s="35">
        <v>46098</v>
      </c>
      <c r="AG105" s="3" t="s">
        <v>70</v>
      </c>
      <c r="AH105" s="13" t="s">
        <v>374</v>
      </c>
      <c r="AI105" s="36" t="e">
        <f>#REF!</f>
        <v>#REF!</v>
      </c>
      <c r="AJ105" s="36"/>
      <c r="AK105" s="142">
        <f t="shared" si="53"/>
        <v>0</v>
      </c>
      <c r="AL105" s="47">
        <v>46098</v>
      </c>
      <c r="AM105" s="153">
        <v>46098</v>
      </c>
      <c r="AN105" s="63">
        <f t="shared" si="54"/>
        <v>0</v>
      </c>
      <c r="AO105" s="34" t="s">
        <v>65</v>
      </c>
      <c r="AP105" s="64">
        <f t="shared" si="48"/>
        <v>46100</v>
      </c>
      <c r="AQ105" s="64">
        <f t="shared" si="51"/>
        <v>46098</v>
      </c>
      <c r="AR105" s="65">
        <f t="shared" si="39"/>
        <v>29</v>
      </c>
      <c r="AS105" s="65">
        <f t="shared" si="40"/>
        <v>27</v>
      </c>
      <c r="AT105" s="157">
        <f t="shared" si="41"/>
        <v>2</v>
      </c>
      <c r="AU105" s="13"/>
      <c r="AV105" s="13" t="s">
        <v>59</v>
      </c>
      <c r="AW105" s="109">
        <f t="shared" si="49"/>
        <v>286</v>
      </c>
      <c r="AX105" s="66">
        <f t="shared" si="55"/>
        <v>0</v>
      </c>
      <c r="AY105" s="66"/>
      <c r="AZ105" s="66">
        <f t="shared" si="56"/>
        <v>0</v>
      </c>
      <c r="BA105" s="67">
        <f t="shared" si="57"/>
        <v>0</v>
      </c>
    </row>
    <row r="106" spans="1:53" ht="21.6" customHeight="1" x14ac:dyDescent="0.3">
      <c r="A106" s="2" t="s">
        <v>375</v>
      </c>
      <c r="B106" s="3" t="s">
        <v>163</v>
      </c>
      <c r="C106" s="3" t="s">
        <v>78</v>
      </c>
      <c r="D106" s="3" t="s">
        <v>53</v>
      </c>
      <c r="E106" s="3">
        <v>7020</v>
      </c>
      <c r="F106" s="3" t="s">
        <v>376</v>
      </c>
      <c r="G106" s="144">
        <v>341</v>
      </c>
      <c r="H106" s="394">
        <v>46071</v>
      </c>
      <c r="I106" s="50">
        <v>46108</v>
      </c>
      <c r="J106" s="15">
        <f t="shared" si="31"/>
        <v>37</v>
      </c>
      <c r="K106" s="3" t="s">
        <v>55</v>
      </c>
      <c r="L106" s="3" t="s">
        <v>56</v>
      </c>
      <c r="M106" s="15" t="s">
        <v>377</v>
      </c>
      <c r="N106" s="3" t="s">
        <v>378</v>
      </c>
      <c r="O106" s="3" t="s">
        <v>59</v>
      </c>
      <c r="P106" s="8">
        <v>7023.96</v>
      </c>
      <c r="Q106" s="44" t="s">
        <v>60</v>
      </c>
      <c r="R106" s="57">
        <f t="shared" si="52"/>
        <v>46071</v>
      </c>
      <c r="S106" s="13" t="s">
        <v>61</v>
      </c>
      <c r="T106" s="35">
        <v>46108</v>
      </c>
      <c r="U106" s="37">
        <v>46108</v>
      </c>
      <c r="V106" s="37">
        <f t="shared" si="47"/>
        <v>46108</v>
      </c>
      <c r="W106" s="59">
        <f t="shared" si="33"/>
        <v>37</v>
      </c>
      <c r="X106" s="59">
        <f t="shared" si="34"/>
        <v>37</v>
      </c>
      <c r="Y106" s="59">
        <f t="shared" si="35"/>
        <v>0</v>
      </c>
      <c r="Z106" s="39"/>
      <c r="AA106" s="4" t="s">
        <v>379</v>
      </c>
      <c r="AB106" s="35">
        <v>46108</v>
      </c>
      <c r="AC106" s="13">
        <v>7029.07</v>
      </c>
      <c r="AD106" s="174">
        <v>7459</v>
      </c>
      <c r="AE106" s="13" t="s">
        <v>63</v>
      </c>
      <c r="AF106" s="35">
        <v>46113</v>
      </c>
      <c r="AG106" s="3" t="str">
        <f>K106</f>
        <v>FOB</v>
      </c>
      <c r="AH106" s="13" t="s">
        <v>201</v>
      </c>
      <c r="AI106" s="36" t="e">
        <f>#REF!</f>
        <v>#REF!</v>
      </c>
      <c r="AJ106" s="36">
        <v>0</v>
      </c>
      <c r="AK106" s="142">
        <f t="shared" si="53"/>
        <v>0</v>
      </c>
      <c r="AL106" s="47">
        <v>46107</v>
      </c>
      <c r="AM106" s="153">
        <v>46107</v>
      </c>
      <c r="AN106" s="63">
        <f t="shared" si="54"/>
        <v>-6</v>
      </c>
      <c r="AO106" s="34" t="s">
        <v>65</v>
      </c>
      <c r="AP106" s="64">
        <f t="shared" si="48"/>
        <v>46108</v>
      </c>
      <c r="AQ106" s="64">
        <f t="shared" si="51"/>
        <v>46107</v>
      </c>
      <c r="AR106" s="65">
        <f t="shared" si="39"/>
        <v>37</v>
      </c>
      <c r="AS106" s="65">
        <f t="shared" si="40"/>
        <v>36</v>
      </c>
      <c r="AT106" s="157">
        <f t="shared" si="41"/>
        <v>1</v>
      </c>
      <c r="AU106" s="13"/>
      <c r="AV106" s="13" t="s">
        <v>59</v>
      </c>
      <c r="AW106" s="109">
        <f t="shared" si="49"/>
        <v>7029.07</v>
      </c>
      <c r="AX106" s="66">
        <f t="shared" si="55"/>
        <v>0</v>
      </c>
      <c r="AY106" s="66"/>
      <c r="AZ106" s="66">
        <f t="shared" si="56"/>
        <v>0</v>
      </c>
      <c r="BA106" s="67">
        <f t="shared" si="57"/>
        <v>0</v>
      </c>
    </row>
    <row r="107" spans="1:53" ht="21.6" customHeight="1" x14ac:dyDescent="0.3">
      <c r="A107" s="2" t="s">
        <v>380</v>
      </c>
      <c r="B107" s="3" t="s">
        <v>171</v>
      </c>
      <c r="C107" s="3" t="s">
        <v>78</v>
      </c>
      <c r="D107" s="3" t="s">
        <v>53</v>
      </c>
      <c r="E107" s="3">
        <v>2002419761</v>
      </c>
      <c r="F107" s="3" t="s">
        <v>381</v>
      </c>
      <c r="G107" s="144">
        <v>342</v>
      </c>
      <c r="H107" s="394">
        <v>46071</v>
      </c>
      <c r="I107" s="50">
        <v>46100</v>
      </c>
      <c r="J107" s="15">
        <f t="shared" si="31"/>
        <v>29</v>
      </c>
      <c r="K107" s="3" t="s">
        <v>55</v>
      </c>
      <c r="L107" s="3" t="s">
        <v>56</v>
      </c>
      <c r="M107" s="15" t="s">
        <v>186</v>
      </c>
      <c r="N107" s="3" t="s">
        <v>382</v>
      </c>
      <c r="O107" s="3" t="s">
        <v>59</v>
      </c>
      <c r="P107" s="8">
        <v>2264.4</v>
      </c>
      <c r="Q107" s="44" t="s">
        <v>100</v>
      </c>
      <c r="R107" s="57">
        <f t="shared" si="52"/>
        <v>46071</v>
      </c>
      <c r="S107" s="13" t="s">
        <v>61</v>
      </c>
      <c r="T107" s="35">
        <v>46108</v>
      </c>
      <c r="U107" s="37">
        <v>46076</v>
      </c>
      <c r="V107" s="37">
        <f t="shared" si="47"/>
        <v>46100</v>
      </c>
      <c r="W107" s="59">
        <f t="shared" si="33"/>
        <v>29</v>
      </c>
      <c r="X107" s="59">
        <f t="shared" si="34"/>
        <v>5</v>
      </c>
      <c r="Y107" s="59">
        <f t="shared" si="35"/>
        <v>24</v>
      </c>
      <c r="Z107" s="39">
        <v>107.61</v>
      </c>
      <c r="AA107" s="4" t="s">
        <v>141</v>
      </c>
      <c r="AB107" s="35">
        <v>46077</v>
      </c>
      <c r="AC107" s="13">
        <v>2264.4</v>
      </c>
      <c r="AD107" s="174">
        <v>7361</v>
      </c>
      <c r="AE107" s="13" t="s">
        <v>63</v>
      </c>
      <c r="AF107" s="35">
        <v>46078</v>
      </c>
      <c r="AG107" s="3" t="str">
        <f>K107</f>
        <v>FOB</v>
      </c>
      <c r="AH107" s="13" t="s">
        <v>383</v>
      </c>
      <c r="AI107" s="36" t="e">
        <f>#REF!</f>
        <v>#REF!</v>
      </c>
      <c r="AJ107" s="36">
        <v>0</v>
      </c>
      <c r="AK107" s="142">
        <f t="shared" si="53"/>
        <v>0</v>
      </c>
      <c r="AL107" s="47">
        <v>46077</v>
      </c>
      <c r="AM107" s="153">
        <v>46077</v>
      </c>
      <c r="AN107" s="63">
        <f t="shared" si="54"/>
        <v>-1</v>
      </c>
      <c r="AO107" s="34" t="s">
        <v>65</v>
      </c>
      <c r="AP107" s="64">
        <f t="shared" si="48"/>
        <v>46100</v>
      </c>
      <c r="AQ107" s="64">
        <f t="shared" si="51"/>
        <v>46077</v>
      </c>
      <c r="AR107" s="65">
        <f t="shared" si="39"/>
        <v>29</v>
      </c>
      <c r="AS107" s="65">
        <f t="shared" si="40"/>
        <v>6</v>
      </c>
      <c r="AT107" s="157">
        <f t="shared" si="41"/>
        <v>23</v>
      </c>
      <c r="AU107" s="13"/>
      <c r="AV107" s="13" t="s">
        <v>59</v>
      </c>
      <c r="AW107" s="109">
        <f t="shared" si="49"/>
        <v>2264.4</v>
      </c>
      <c r="AX107" s="66">
        <f t="shared" si="55"/>
        <v>107.61</v>
      </c>
      <c r="AY107" s="66"/>
      <c r="AZ107" s="66">
        <f t="shared" si="56"/>
        <v>0</v>
      </c>
      <c r="BA107" s="67">
        <f t="shared" si="57"/>
        <v>107.61</v>
      </c>
    </row>
    <row r="108" spans="1:53" ht="21.6" customHeight="1" x14ac:dyDescent="0.3">
      <c r="A108" s="2" t="s">
        <v>384</v>
      </c>
      <c r="B108" s="3" t="s">
        <v>67</v>
      </c>
      <c r="C108" s="3" t="s">
        <v>78</v>
      </c>
      <c r="D108" s="3" t="s">
        <v>53</v>
      </c>
      <c r="E108" s="3">
        <v>190655</v>
      </c>
      <c r="F108" s="3" t="s">
        <v>385</v>
      </c>
      <c r="G108" s="144">
        <v>343</v>
      </c>
      <c r="H108" s="394">
        <v>46072</v>
      </c>
      <c r="I108" s="50">
        <v>46104</v>
      </c>
      <c r="J108" s="15">
        <f t="shared" si="31"/>
        <v>32</v>
      </c>
      <c r="K108" s="3" t="s">
        <v>55</v>
      </c>
      <c r="L108" s="3" t="s">
        <v>386</v>
      </c>
      <c r="M108" s="3" t="s">
        <v>72</v>
      </c>
      <c r="N108" s="3" t="s">
        <v>387</v>
      </c>
      <c r="O108" s="3" t="s">
        <v>59</v>
      </c>
      <c r="P108" s="8">
        <v>680</v>
      </c>
      <c r="Q108" s="44" t="s">
        <v>100</v>
      </c>
      <c r="R108" s="57">
        <f t="shared" si="52"/>
        <v>46072</v>
      </c>
      <c r="S108" s="13" t="s">
        <v>61</v>
      </c>
      <c r="T108" s="35">
        <v>46108</v>
      </c>
      <c r="U108" s="37">
        <v>46085</v>
      </c>
      <c r="V108" s="37">
        <f t="shared" si="47"/>
        <v>46104</v>
      </c>
      <c r="W108" s="59">
        <f t="shared" si="33"/>
        <v>32</v>
      </c>
      <c r="X108" s="59">
        <f t="shared" si="34"/>
        <v>13</v>
      </c>
      <c r="Y108" s="59">
        <f t="shared" si="35"/>
        <v>19</v>
      </c>
      <c r="Z108" s="39"/>
      <c r="AA108" s="4" t="s">
        <v>345</v>
      </c>
      <c r="AB108" s="35">
        <v>46107</v>
      </c>
      <c r="AC108" s="13">
        <v>3554.29</v>
      </c>
      <c r="AD108" s="174">
        <v>7456</v>
      </c>
      <c r="AE108" s="13" t="s">
        <v>63</v>
      </c>
      <c r="AF108" s="35">
        <v>46107</v>
      </c>
      <c r="AG108" s="3" t="str">
        <f>K108</f>
        <v>FOB</v>
      </c>
      <c r="AH108" s="171" t="s">
        <v>374</v>
      </c>
      <c r="AI108" s="36" t="e">
        <f>#REF!</f>
        <v>#REF!</v>
      </c>
      <c r="AJ108" s="36">
        <v>0</v>
      </c>
      <c r="AK108" s="142">
        <f t="shared" si="53"/>
        <v>0</v>
      </c>
      <c r="AL108" s="47">
        <v>46086</v>
      </c>
      <c r="AM108" s="153">
        <v>46086</v>
      </c>
      <c r="AN108" s="63">
        <f t="shared" si="54"/>
        <v>-21</v>
      </c>
      <c r="AO108" s="34" t="s">
        <v>65</v>
      </c>
      <c r="AP108" s="64">
        <f t="shared" si="48"/>
        <v>46104</v>
      </c>
      <c r="AQ108" s="64">
        <f t="shared" si="51"/>
        <v>46086</v>
      </c>
      <c r="AR108" s="65">
        <f t="shared" si="39"/>
        <v>32</v>
      </c>
      <c r="AS108" s="65">
        <f t="shared" si="40"/>
        <v>14</v>
      </c>
      <c r="AT108" s="157">
        <f t="shared" si="41"/>
        <v>18</v>
      </c>
      <c r="AU108" s="13"/>
      <c r="AV108" s="13" t="s">
        <v>59</v>
      </c>
      <c r="AW108" s="109">
        <f t="shared" si="49"/>
        <v>3554.29</v>
      </c>
      <c r="AX108" s="66">
        <f t="shared" si="55"/>
        <v>0</v>
      </c>
      <c r="AY108" s="66"/>
      <c r="AZ108" s="66">
        <f t="shared" si="56"/>
        <v>0</v>
      </c>
      <c r="BA108" s="67">
        <f t="shared" si="57"/>
        <v>0</v>
      </c>
    </row>
    <row r="109" spans="1:53" ht="21.6" customHeight="1" x14ac:dyDescent="0.3">
      <c r="A109" s="2" t="s">
        <v>95</v>
      </c>
      <c r="B109" s="15" t="s">
        <v>96</v>
      </c>
      <c r="C109" s="3" t="s">
        <v>78</v>
      </c>
      <c r="D109" s="3" t="s">
        <v>53</v>
      </c>
      <c r="E109" s="3">
        <v>4500011198</v>
      </c>
      <c r="F109" s="3" t="s">
        <v>53</v>
      </c>
      <c r="G109" s="144">
        <v>344</v>
      </c>
      <c r="H109" s="394">
        <v>46073</v>
      </c>
      <c r="I109" s="50">
        <v>46105</v>
      </c>
      <c r="J109" s="15">
        <f t="shared" si="31"/>
        <v>32</v>
      </c>
      <c r="K109" s="3" t="s">
        <v>70</v>
      </c>
      <c r="L109" s="3" t="s">
        <v>56</v>
      </c>
      <c r="M109" s="15" t="s">
        <v>98</v>
      </c>
      <c r="N109" s="3" t="s">
        <v>99</v>
      </c>
      <c r="O109" s="3" t="s">
        <v>59</v>
      </c>
      <c r="P109" s="8">
        <v>13835</v>
      </c>
      <c r="Q109" s="44" t="s">
        <v>100</v>
      </c>
      <c r="R109" s="57">
        <f t="shared" si="52"/>
        <v>46073</v>
      </c>
      <c r="S109" s="13" t="s">
        <v>61</v>
      </c>
      <c r="T109" s="35">
        <v>46108</v>
      </c>
      <c r="U109" s="37">
        <v>46100</v>
      </c>
      <c r="V109" s="37">
        <f t="shared" si="47"/>
        <v>46105</v>
      </c>
      <c r="W109" s="59">
        <f t="shared" si="33"/>
        <v>32</v>
      </c>
      <c r="X109" s="59">
        <f t="shared" si="34"/>
        <v>27</v>
      </c>
      <c r="Y109" s="59">
        <f t="shared" si="35"/>
        <v>5</v>
      </c>
      <c r="Z109" s="39"/>
      <c r="AA109" s="4" t="s">
        <v>388</v>
      </c>
      <c r="AB109" s="35">
        <v>46100</v>
      </c>
      <c r="AC109" s="13">
        <v>13835</v>
      </c>
      <c r="AD109" s="174">
        <v>7430</v>
      </c>
      <c r="AE109" s="13" t="s">
        <v>63</v>
      </c>
      <c r="AF109" s="35">
        <v>46100</v>
      </c>
      <c r="AG109" s="3" t="str">
        <f>K109</f>
        <v>CIF</v>
      </c>
      <c r="AH109" s="13" t="s">
        <v>245</v>
      </c>
      <c r="AI109" s="36" t="e">
        <f>#REF!</f>
        <v>#REF!</v>
      </c>
      <c r="AJ109" s="36">
        <v>2500</v>
      </c>
      <c r="AK109" s="142">
        <f t="shared" si="53"/>
        <v>0.18070112034694616</v>
      </c>
      <c r="AL109" s="47">
        <v>46106</v>
      </c>
      <c r="AM109" s="153">
        <v>46106</v>
      </c>
      <c r="AN109" s="63">
        <f t="shared" si="54"/>
        <v>6</v>
      </c>
      <c r="AO109" s="34" t="s">
        <v>103</v>
      </c>
      <c r="AP109" s="64">
        <f t="shared" si="48"/>
        <v>46105</v>
      </c>
      <c r="AQ109" s="64">
        <f t="shared" si="51"/>
        <v>46106</v>
      </c>
      <c r="AR109" s="65">
        <f t="shared" si="39"/>
        <v>32</v>
      </c>
      <c r="AS109" s="65">
        <f t="shared" si="40"/>
        <v>33</v>
      </c>
      <c r="AT109" s="157">
        <f t="shared" si="41"/>
        <v>-1</v>
      </c>
      <c r="AU109" s="13" t="s">
        <v>389</v>
      </c>
      <c r="AV109" s="13" t="s">
        <v>116</v>
      </c>
      <c r="AW109" s="109">
        <f t="shared" si="49"/>
        <v>13835</v>
      </c>
      <c r="AX109" s="66">
        <f t="shared" si="55"/>
        <v>0</v>
      </c>
      <c r="AY109" s="66"/>
      <c r="AZ109" s="66">
        <f t="shared" si="56"/>
        <v>2500</v>
      </c>
      <c r="BA109" s="67">
        <f t="shared" si="57"/>
        <v>2500</v>
      </c>
    </row>
    <row r="110" spans="1:53" ht="21.6" customHeight="1" x14ac:dyDescent="0.3">
      <c r="A110" s="2" t="s">
        <v>390</v>
      </c>
      <c r="B110" s="15" t="s">
        <v>91</v>
      </c>
      <c r="C110" s="3" t="s">
        <v>78</v>
      </c>
      <c r="D110" s="3" t="s">
        <v>53</v>
      </c>
      <c r="E110" s="3" t="s">
        <v>53</v>
      </c>
      <c r="F110" s="3" t="s">
        <v>391</v>
      </c>
      <c r="G110" s="144">
        <v>349</v>
      </c>
      <c r="H110" s="394">
        <v>46076</v>
      </c>
      <c r="I110" s="50">
        <v>46101</v>
      </c>
      <c r="J110" s="15">
        <f t="shared" si="31"/>
        <v>25</v>
      </c>
      <c r="K110" s="3" t="s">
        <v>55</v>
      </c>
      <c r="L110" s="3" t="s">
        <v>56</v>
      </c>
      <c r="M110" s="15" t="s">
        <v>92</v>
      </c>
      <c r="N110" s="3" t="s">
        <v>212</v>
      </c>
      <c r="O110" s="3" t="s">
        <v>59</v>
      </c>
      <c r="P110" s="8">
        <v>5632</v>
      </c>
      <c r="Q110" s="44" t="s">
        <v>100</v>
      </c>
      <c r="R110" s="57">
        <f t="shared" si="52"/>
        <v>46076</v>
      </c>
      <c r="S110" s="13" t="s">
        <v>61</v>
      </c>
      <c r="T110" s="35">
        <v>46108</v>
      </c>
      <c r="U110" s="37">
        <v>46084</v>
      </c>
      <c r="V110" s="37">
        <f t="shared" si="47"/>
        <v>46101</v>
      </c>
      <c r="W110" s="59">
        <f t="shared" si="33"/>
        <v>25</v>
      </c>
      <c r="X110" s="59">
        <f t="shared" si="34"/>
        <v>8</v>
      </c>
      <c r="Y110" s="59">
        <f t="shared" si="35"/>
        <v>17</v>
      </c>
      <c r="Z110" s="39">
        <v>516.05999999999995</v>
      </c>
      <c r="AA110" s="4" t="s">
        <v>141</v>
      </c>
      <c r="AB110" s="35">
        <v>46080</v>
      </c>
      <c r="AC110" s="13">
        <v>5632</v>
      </c>
      <c r="AD110" s="174">
        <v>7373</v>
      </c>
      <c r="AE110" s="13" t="s">
        <v>63</v>
      </c>
      <c r="AF110" s="35">
        <v>46087</v>
      </c>
      <c r="AG110" s="3" t="str">
        <f>K110</f>
        <v>FOB</v>
      </c>
      <c r="AH110" s="13" t="s">
        <v>390</v>
      </c>
      <c r="AI110" s="36" t="e">
        <f>#REF!</f>
        <v>#REF!</v>
      </c>
      <c r="AJ110" s="36">
        <v>0</v>
      </c>
      <c r="AK110" s="142">
        <f t="shared" si="53"/>
        <v>0</v>
      </c>
      <c r="AL110" s="47">
        <v>46080</v>
      </c>
      <c r="AM110" s="153">
        <v>46084</v>
      </c>
      <c r="AN110" s="63">
        <f t="shared" si="54"/>
        <v>-3</v>
      </c>
      <c r="AO110" s="34" t="s">
        <v>65</v>
      </c>
      <c r="AP110" s="64">
        <f t="shared" si="48"/>
        <v>46101</v>
      </c>
      <c r="AQ110" s="64">
        <f t="shared" si="51"/>
        <v>46084</v>
      </c>
      <c r="AR110" s="65">
        <f t="shared" si="39"/>
        <v>25</v>
      </c>
      <c r="AS110" s="65">
        <f t="shared" si="40"/>
        <v>8</v>
      </c>
      <c r="AT110" s="157">
        <f t="shared" si="41"/>
        <v>17</v>
      </c>
      <c r="AU110" s="13"/>
      <c r="AV110" s="13" t="s">
        <v>59</v>
      </c>
      <c r="AW110" s="109">
        <f t="shared" si="49"/>
        <v>5632</v>
      </c>
      <c r="AX110" s="66">
        <f t="shared" si="55"/>
        <v>516.05999999999995</v>
      </c>
      <c r="AY110" s="66"/>
      <c r="AZ110" s="66">
        <f t="shared" si="56"/>
        <v>0</v>
      </c>
      <c r="BA110" s="67">
        <f t="shared" si="57"/>
        <v>516.05999999999995</v>
      </c>
    </row>
    <row r="111" spans="1:53" ht="21.6" customHeight="1" x14ac:dyDescent="0.3">
      <c r="A111" s="2" t="s">
        <v>195</v>
      </c>
      <c r="B111" s="3" t="s">
        <v>51</v>
      </c>
      <c r="C111" s="3" t="s">
        <v>78</v>
      </c>
      <c r="D111" s="3" t="s">
        <v>53</v>
      </c>
      <c r="E111" s="3">
        <v>5.6059999999999999</v>
      </c>
      <c r="F111" s="3" t="s">
        <v>392</v>
      </c>
      <c r="G111" s="144">
        <v>352</v>
      </c>
      <c r="H111" s="394">
        <v>46076</v>
      </c>
      <c r="I111" s="50">
        <v>46104</v>
      </c>
      <c r="J111" s="15">
        <f t="shared" si="31"/>
        <v>28</v>
      </c>
      <c r="K111" s="3" t="s">
        <v>393</v>
      </c>
      <c r="L111" s="3" t="s">
        <v>56</v>
      </c>
      <c r="M111" s="3" t="s">
        <v>57</v>
      </c>
      <c r="N111" s="3" t="s">
        <v>197</v>
      </c>
      <c r="O111" s="3" t="s">
        <v>59</v>
      </c>
      <c r="P111" s="8">
        <v>59780</v>
      </c>
      <c r="Q111" s="44" t="s">
        <v>60</v>
      </c>
      <c r="R111" s="57">
        <f t="shared" si="52"/>
        <v>46076</v>
      </c>
      <c r="S111" s="13" t="s">
        <v>61</v>
      </c>
      <c r="T111" s="35">
        <v>46108</v>
      </c>
      <c r="U111" s="37">
        <v>46104</v>
      </c>
      <c r="V111" s="37">
        <f t="shared" ref="V111:V142" si="58">I111</f>
        <v>46104</v>
      </c>
      <c r="W111" s="59">
        <f t="shared" si="33"/>
        <v>28</v>
      </c>
      <c r="X111" s="59">
        <f t="shared" si="34"/>
        <v>28</v>
      </c>
      <c r="Y111" s="59">
        <f t="shared" si="35"/>
        <v>0</v>
      </c>
      <c r="Z111" s="39">
        <v>15468.31</v>
      </c>
      <c r="AA111" s="4" t="s">
        <v>141</v>
      </c>
      <c r="AB111" s="35">
        <v>46080</v>
      </c>
      <c r="AC111" s="13">
        <v>59780</v>
      </c>
      <c r="AD111" s="174">
        <v>7372</v>
      </c>
      <c r="AE111" s="13" t="s">
        <v>63</v>
      </c>
      <c r="AF111" s="35">
        <v>46084</v>
      </c>
      <c r="AG111" s="3" t="s">
        <v>70</v>
      </c>
      <c r="AH111" s="13" t="s">
        <v>64</v>
      </c>
      <c r="AI111" s="36" t="e">
        <f>#REF!</f>
        <v>#REF!</v>
      </c>
      <c r="AJ111" s="36">
        <v>0</v>
      </c>
      <c r="AK111" s="142">
        <f t="shared" si="53"/>
        <v>0</v>
      </c>
      <c r="AL111" s="47">
        <v>44984</v>
      </c>
      <c r="AM111" s="153">
        <v>46084</v>
      </c>
      <c r="AN111" s="63">
        <f t="shared" si="54"/>
        <v>0</v>
      </c>
      <c r="AO111" s="34" t="s">
        <v>65</v>
      </c>
      <c r="AP111" s="64">
        <f t="shared" si="48"/>
        <v>46104</v>
      </c>
      <c r="AQ111" s="64">
        <f t="shared" si="51"/>
        <v>46084</v>
      </c>
      <c r="AR111" s="65">
        <f t="shared" si="39"/>
        <v>28</v>
      </c>
      <c r="AS111" s="65">
        <f t="shared" si="40"/>
        <v>8</v>
      </c>
      <c r="AT111" s="157">
        <f t="shared" si="41"/>
        <v>20</v>
      </c>
      <c r="AU111" s="13"/>
      <c r="AV111" s="13" t="s">
        <v>59</v>
      </c>
      <c r="AW111" s="109">
        <f t="shared" si="49"/>
        <v>59780</v>
      </c>
      <c r="AX111" s="66">
        <f t="shared" si="55"/>
        <v>15468.31</v>
      </c>
      <c r="AY111" s="66"/>
      <c r="AZ111" s="66">
        <f t="shared" si="56"/>
        <v>0</v>
      </c>
      <c r="BA111" s="67">
        <f t="shared" si="57"/>
        <v>15468.31</v>
      </c>
    </row>
    <row r="112" spans="1:53" ht="21.6" customHeight="1" x14ac:dyDescent="0.3">
      <c r="A112" s="2" t="s">
        <v>394</v>
      </c>
      <c r="B112" s="15" t="s">
        <v>51</v>
      </c>
      <c r="C112" s="3" t="s">
        <v>78</v>
      </c>
      <c r="D112" s="3" t="s">
        <v>53</v>
      </c>
      <c r="E112" s="3" t="s">
        <v>53</v>
      </c>
      <c r="F112" s="3" t="s">
        <v>395</v>
      </c>
      <c r="G112" s="144">
        <v>353</v>
      </c>
      <c r="H112" s="394">
        <v>46076</v>
      </c>
      <c r="I112" s="50">
        <v>46090</v>
      </c>
      <c r="J112" s="15">
        <f t="shared" si="31"/>
        <v>14</v>
      </c>
      <c r="K112" s="3" t="s">
        <v>393</v>
      </c>
      <c r="L112" s="3" t="s">
        <v>56</v>
      </c>
      <c r="M112" s="15" t="s">
        <v>57</v>
      </c>
      <c r="N112" s="3" t="s">
        <v>87</v>
      </c>
      <c r="O112" s="3" t="s">
        <v>59</v>
      </c>
      <c r="P112" s="8">
        <v>29000.959999999999</v>
      </c>
      <c r="Q112" s="44" t="s">
        <v>60</v>
      </c>
      <c r="R112" s="57">
        <f t="shared" si="52"/>
        <v>46076</v>
      </c>
      <c r="S112" s="13" t="s">
        <v>61</v>
      </c>
      <c r="T112" s="35">
        <v>46108</v>
      </c>
      <c r="U112" s="37">
        <v>46084</v>
      </c>
      <c r="V112" s="37">
        <f t="shared" si="58"/>
        <v>46090</v>
      </c>
      <c r="W112" s="59">
        <f t="shared" si="33"/>
        <v>14</v>
      </c>
      <c r="X112" s="59">
        <f t="shared" si="34"/>
        <v>8</v>
      </c>
      <c r="Y112" s="59">
        <f t="shared" si="35"/>
        <v>6</v>
      </c>
      <c r="Z112" s="39">
        <v>4407.03</v>
      </c>
      <c r="AA112" s="4" t="s">
        <v>141</v>
      </c>
      <c r="AB112" s="35">
        <v>46080</v>
      </c>
      <c r="AC112" s="13">
        <v>29000.959999999999</v>
      </c>
      <c r="AD112" s="174">
        <v>7335</v>
      </c>
      <c r="AE112" s="13" t="s">
        <v>63</v>
      </c>
      <c r="AF112" s="35">
        <v>46085</v>
      </c>
      <c r="AG112" s="3" t="str">
        <f t="shared" ref="AG112:AG123" si="59">K112</f>
        <v xml:space="preserve">FOB </v>
      </c>
      <c r="AH112" s="13" t="s">
        <v>396</v>
      </c>
      <c r="AI112" s="36" t="e">
        <f>#REF!</f>
        <v>#REF!</v>
      </c>
      <c r="AJ112" s="36">
        <v>0</v>
      </c>
      <c r="AK112" s="142">
        <f t="shared" si="53"/>
        <v>0</v>
      </c>
      <c r="AL112" s="47">
        <v>44984</v>
      </c>
      <c r="AM112" s="153">
        <v>46084</v>
      </c>
      <c r="AN112" s="63">
        <f t="shared" si="54"/>
        <v>-1</v>
      </c>
      <c r="AO112" s="34" t="s">
        <v>65</v>
      </c>
      <c r="AP112" s="64">
        <f t="shared" si="48"/>
        <v>46090</v>
      </c>
      <c r="AQ112" s="64">
        <f t="shared" si="51"/>
        <v>46084</v>
      </c>
      <c r="AR112" s="65">
        <f t="shared" si="39"/>
        <v>14</v>
      </c>
      <c r="AS112" s="65">
        <f t="shared" si="40"/>
        <v>8</v>
      </c>
      <c r="AT112" s="157">
        <f t="shared" si="41"/>
        <v>6</v>
      </c>
      <c r="AU112" s="13"/>
      <c r="AV112" s="13" t="s">
        <v>59</v>
      </c>
      <c r="AW112" s="109">
        <f t="shared" si="49"/>
        <v>29000.959999999999</v>
      </c>
      <c r="AX112" s="66">
        <f t="shared" si="55"/>
        <v>4407.03</v>
      </c>
      <c r="AY112" s="66"/>
      <c r="AZ112" s="66">
        <f t="shared" si="56"/>
        <v>0</v>
      </c>
      <c r="BA112" s="67">
        <f t="shared" si="57"/>
        <v>4407.03</v>
      </c>
    </row>
    <row r="113" spans="1:53" ht="21.6" customHeight="1" x14ac:dyDescent="0.3">
      <c r="A113" s="2" t="s">
        <v>307</v>
      </c>
      <c r="B113" s="3" t="s">
        <v>96</v>
      </c>
      <c r="C113" s="3" t="s">
        <v>78</v>
      </c>
      <c r="D113" s="3">
        <v>4600016155</v>
      </c>
      <c r="E113" s="3">
        <v>4501923467</v>
      </c>
      <c r="F113" s="3" t="s">
        <v>53</v>
      </c>
      <c r="G113" s="144">
        <v>354</v>
      </c>
      <c r="H113" s="394">
        <v>46077</v>
      </c>
      <c r="I113" s="50">
        <v>46122</v>
      </c>
      <c r="J113" s="15">
        <f t="shared" si="31"/>
        <v>45</v>
      </c>
      <c r="K113" s="3" t="s">
        <v>70</v>
      </c>
      <c r="L113" s="3" t="s">
        <v>56</v>
      </c>
      <c r="M113" s="3" t="s">
        <v>255</v>
      </c>
      <c r="N113" s="3" t="s">
        <v>311</v>
      </c>
      <c r="O113" s="3" t="s">
        <v>59</v>
      </c>
      <c r="P113" s="8">
        <v>7931.43</v>
      </c>
      <c r="Q113" s="44" t="s">
        <v>100</v>
      </c>
      <c r="R113" s="57">
        <f t="shared" si="52"/>
        <v>46077</v>
      </c>
      <c r="S113" s="13" t="s">
        <v>61</v>
      </c>
      <c r="T113" s="35">
        <v>46108</v>
      </c>
      <c r="U113" s="37">
        <v>46098</v>
      </c>
      <c r="V113" s="37">
        <f t="shared" si="58"/>
        <v>46122</v>
      </c>
      <c r="W113" s="59">
        <f t="shared" si="33"/>
        <v>45</v>
      </c>
      <c r="X113" s="59">
        <f t="shared" si="34"/>
        <v>21</v>
      </c>
      <c r="Y113" s="59">
        <f t="shared" si="35"/>
        <v>24</v>
      </c>
      <c r="Z113" s="39"/>
      <c r="AA113" s="4" t="s">
        <v>388</v>
      </c>
      <c r="AB113" s="35">
        <v>46099</v>
      </c>
      <c r="AC113" s="13">
        <v>7931.43</v>
      </c>
      <c r="AD113" s="174">
        <v>7428</v>
      </c>
      <c r="AE113" s="13" t="s">
        <v>63</v>
      </c>
      <c r="AF113" s="35">
        <v>46105</v>
      </c>
      <c r="AG113" s="3" t="str">
        <f t="shared" si="59"/>
        <v>CIF</v>
      </c>
      <c r="AH113" s="13" t="s">
        <v>188</v>
      </c>
      <c r="AI113" s="36" t="e">
        <f>#REF!</f>
        <v>#REF!</v>
      </c>
      <c r="AJ113" s="36">
        <v>606.41999999999996</v>
      </c>
      <c r="AK113" s="142">
        <f t="shared" si="53"/>
        <v>7.6457839254711946E-2</v>
      </c>
      <c r="AL113" s="47">
        <v>46108</v>
      </c>
      <c r="AM113" s="153">
        <v>46108</v>
      </c>
      <c r="AN113" s="63">
        <f t="shared" si="54"/>
        <v>3</v>
      </c>
      <c r="AO113" s="34" t="s">
        <v>65</v>
      </c>
      <c r="AP113" s="64">
        <f t="shared" si="48"/>
        <v>46122</v>
      </c>
      <c r="AQ113" s="64">
        <f t="shared" si="51"/>
        <v>46108</v>
      </c>
      <c r="AR113" s="65">
        <f t="shared" si="39"/>
        <v>45</v>
      </c>
      <c r="AS113" s="65">
        <f t="shared" si="40"/>
        <v>31</v>
      </c>
      <c r="AT113" s="157">
        <f t="shared" si="41"/>
        <v>14</v>
      </c>
      <c r="AU113" s="13"/>
      <c r="AV113" s="13" t="s">
        <v>59</v>
      </c>
      <c r="AW113" s="109">
        <f t="shared" si="49"/>
        <v>7931.43</v>
      </c>
      <c r="AX113" s="66">
        <f t="shared" si="55"/>
        <v>0</v>
      </c>
      <c r="AY113" s="66"/>
      <c r="AZ113" s="66">
        <f t="shared" si="56"/>
        <v>606.41999999999996</v>
      </c>
      <c r="BA113" s="67">
        <f t="shared" si="57"/>
        <v>606.41999999999996</v>
      </c>
    </row>
    <row r="114" spans="1:53" ht="21.6" customHeight="1" x14ac:dyDescent="0.3">
      <c r="A114" s="2" t="s">
        <v>181</v>
      </c>
      <c r="B114" s="3" t="s">
        <v>51</v>
      </c>
      <c r="C114" s="3" t="s">
        <v>78</v>
      </c>
      <c r="D114" s="3" t="s">
        <v>53</v>
      </c>
      <c r="E114" s="3">
        <v>123028605</v>
      </c>
      <c r="F114" s="3" t="s">
        <v>397</v>
      </c>
      <c r="G114" s="144">
        <v>356</v>
      </c>
      <c r="H114" s="394">
        <v>46077</v>
      </c>
      <c r="I114" s="50">
        <v>46104</v>
      </c>
      <c r="J114" s="15">
        <f t="shared" si="31"/>
        <v>27</v>
      </c>
      <c r="K114" s="3" t="s">
        <v>55</v>
      </c>
      <c r="L114" s="3" t="s">
        <v>56</v>
      </c>
      <c r="M114" s="3" t="s">
        <v>57</v>
      </c>
      <c r="N114" s="3" t="s">
        <v>58</v>
      </c>
      <c r="O114" s="3" t="s">
        <v>59</v>
      </c>
      <c r="P114" s="8">
        <v>4213.4399999999996</v>
      </c>
      <c r="Q114" s="44" t="s">
        <v>60</v>
      </c>
      <c r="R114" s="57">
        <f t="shared" si="52"/>
        <v>46077</v>
      </c>
      <c r="S114" s="13" t="s">
        <v>61</v>
      </c>
      <c r="T114" s="35">
        <v>46108</v>
      </c>
      <c r="U114" s="37">
        <v>46098</v>
      </c>
      <c r="V114" s="37">
        <f t="shared" si="58"/>
        <v>46104</v>
      </c>
      <c r="W114" s="59">
        <f t="shared" si="33"/>
        <v>27</v>
      </c>
      <c r="X114" s="59">
        <f t="shared" si="34"/>
        <v>21</v>
      </c>
      <c r="Y114" s="59">
        <f t="shared" si="35"/>
        <v>6</v>
      </c>
      <c r="Z114" s="39"/>
      <c r="AA114" s="4" t="s">
        <v>304</v>
      </c>
      <c r="AB114" s="35">
        <v>46106</v>
      </c>
      <c r="AC114" s="13">
        <v>4213.4399999999996</v>
      </c>
      <c r="AD114" s="174">
        <v>7446</v>
      </c>
      <c r="AE114" s="13" t="s">
        <v>63</v>
      </c>
      <c r="AF114" s="35">
        <v>46106</v>
      </c>
      <c r="AG114" s="3" t="str">
        <f t="shared" si="59"/>
        <v>FOB</v>
      </c>
      <c r="AH114" s="13" t="s">
        <v>398</v>
      </c>
      <c r="AI114" s="36" t="e">
        <f>#REF!</f>
        <v>#REF!</v>
      </c>
      <c r="AJ114" s="36">
        <v>0</v>
      </c>
      <c r="AK114" s="142">
        <f t="shared" si="53"/>
        <v>0</v>
      </c>
      <c r="AL114" s="47">
        <v>46099</v>
      </c>
      <c r="AM114" s="153">
        <v>46099</v>
      </c>
      <c r="AN114" s="63">
        <f t="shared" si="54"/>
        <v>-7</v>
      </c>
      <c r="AO114" s="34" t="s">
        <v>65</v>
      </c>
      <c r="AP114" s="64">
        <f t="shared" si="48"/>
        <v>46104</v>
      </c>
      <c r="AQ114" s="64">
        <f t="shared" si="51"/>
        <v>46099</v>
      </c>
      <c r="AR114" s="65">
        <f t="shared" si="39"/>
        <v>27</v>
      </c>
      <c r="AS114" s="65">
        <f t="shared" si="40"/>
        <v>22</v>
      </c>
      <c r="AT114" s="157">
        <f t="shared" si="41"/>
        <v>5</v>
      </c>
      <c r="AU114" s="13"/>
      <c r="AV114" s="13" t="s">
        <v>59</v>
      </c>
      <c r="AW114" s="109">
        <f t="shared" si="49"/>
        <v>4213.4399999999996</v>
      </c>
      <c r="AX114" s="66">
        <f t="shared" si="55"/>
        <v>0</v>
      </c>
      <c r="AY114" s="66"/>
      <c r="AZ114" s="66">
        <f t="shared" si="56"/>
        <v>0</v>
      </c>
      <c r="BA114" s="67">
        <f t="shared" si="57"/>
        <v>0</v>
      </c>
    </row>
    <row r="115" spans="1:53" ht="21.6" customHeight="1" x14ac:dyDescent="0.3">
      <c r="A115" s="2" t="s">
        <v>157</v>
      </c>
      <c r="B115" s="3" t="s">
        <v>96</v>
      </c>
      <c r="C115" s="3" t="s">
        <v>78</v>
      </c>
      <c r="D115" s="3" t="s">
        <v>53</v>
      </c>
      <c r="E115" s="3">
        <v>4508473</v>
      </c>
      <c r="F115" s="3" t="s">
        <v>399</v>
      </c>
      <c r="G115" s="144">
        <v>362</v>
      </c>
      <c r="H115" s="394">
        <v>46078</v>
      </c>
      <c r="I115" s="50">
        <v>46115</v>
      </c>
      <c r="J115" s="15">
        <f t="shared" si="31"/>
        <v>37</v>
      </c>
      <c r="K115" s="3" t="s">
        <v>70</v>
      </c>
      <c r="L115" s="3" t="s">
        <v>56</v>
      </c>
      <c r="M115" s="3" t="s">
        <v>159</v>
      </c>
      <c r="N115" s="3" t="s">
        <v>400</v>
      </c>
      <c r="O115" s="3" t="s">
        <v>59</v>
      </c>
      <c r="P115" s="166">
        <v>7714.8</v>
      </c>
      <c r="Q115" s="44" t="s">
        <v>100</v>
      </c>
      <c r="R115" s="57">
        <f t="shared" si="52"/>
        <v>46078</v>
      </c>
      <c r="S115" s="13" t="s">
        <v>61</v>
      </c>
      <c r="T115" s="35">
        <v>46108</v>
      </c>
      <c r="U115" s="37">
        <v>46087</v>
      </c>
      <c r="V115" s="37">
        <f t="shared" si="58"/>
        <v>46115</v>
      </c>
      <c r="W115" s="59">
        <f t="shared" si="33"/>
        <v>37</v>
      </c>
      <c r="X115" s="59">
        <f t="shared" si="34"/>
        <v>9</v>
      </c>
      <c r="Y115" s="59">
        <f t="shared" si="35"/>
        <v>28</v>
      </c>
      <c r="Z115" s="39"/>
      <c r="AA115" s="4" t="s">
        <v>345</v>
      </c>
      <c r="AB115" s="35">
        <v>46090</v>
      </c>
      <c r="AC115" s="13">
        <v>7714.8</v>
      </c>
      <c r="AD115" s="174">
        <v>7398</v>
      </c>
      <c r="AE115" s="13" t="s">
        <v>63</v>
      </c>
      <c r="AF115" s="35">
        <v>46090</v>
      </c>
      <c r="AG115" s="3" t="str">
        <f t="shared" si="59"/>
        <v>CIF</v>
      </c>
      <c r="AH115" s="13" t="s">
        <v>312</v>
      </c>
      <c r="AI115" s="36" t="e">
        <f>#REF!</f>
        <v>#REF!</v>
      </c>
      <c r="AJ115" s="36">
        <v>179.88</v>
      </c>
      <c r="AK115" s="142">
        <f t="shared" si="53"/>
        <v>2.3316223362886919E-2</v>
      </c>
      <c r="AL115" s="47">
        <v>46093</v>
      </c>
      <c r="AM115" s="153">
        <v>46105</v>
      </c>
      <c r="AN115" s="63">
        <f t="shared" si="54"/>
        <v>15</v>
      </c>
      <c r="AO115" s="34" t="s">
        <v>65</v>
      </c>
      <c r="AP115" s="64">
        <f t="shared" si="48"/>
        <v>46115</v>
      </c>
      <c r="AQ115" s="64">
        <f t="shared" si="51"/>
        <v>46105</v>
      </c>
      <c r="AR115" s="65">
        <f t="shared" si="39"/>
        <v>37</v>
      </c>
      <c r="AS115" s="65">
        <f t="shared" si="40"/>
        <v>27</v>
      </c>
      <c r="AT115" s="157">
        <f t="shared" si="41"/>
        <v>10</v>
      </c>
      <c r="AU115" s="13"/>
      <c r="AV115" s="13" t="s">
        <v>59</v>
      </c>
      <c r="AW115" s="109">
        <f t="shared" si="49"/>
        <v>7714.8</v>
      </c>
      <c r="AX115" s="66">
        <f t="shared" si="55"/>
        <v>0</v>
      </c>
      <c r="AY115" s="66"/>
      <c r="AZ115" s="66">
        <f t="shared" si="56"/>
        <v>179.88</v>
      </c>
      <c r="BA115" s="67">
        <f t="shared" si="57"/>
        <v>179.88</v>
      </c>
    </row>
    <row r="116" spans="1:53" ht="21.6" customHeight="1" x14ac:dyDescent="0.3">
      <c r="A116" s="2" t="s">
        <v>401</v>
      </c>
      <c r="B116" s="3" t="s">
        <v>91</v>
      </c>
      <c r="C116" s="3" t="s">
        <v>78</v>
      </c>
      <c r="D116" s="3" t="s">
        <v>53</v>
      </c>
      <c r="E116" s="3">
        <v>1200378165</v>
      </c>
      <c r="F116" s="3" t="s">
        <v>53</v>
      </c>
      <c r="G116" s="144">
        <v>363</v>
      </c>
      <c r="H116" s="394">
        <v>46079</v>
      </c>
      <c r="I116" s="50">
        <v>46108</v>
      </c>
      <c r="J116" s="15">
        <f t="shared" si="31"/>
        <v>29</v>
      </c>
      <c r="K116" s="3" t="s">
        <v>55</v>
      </c>
      <c r="L116" s="3" t="s">
        <v>56</v>
      </c>
      <c r="M116" s="3" t="s">
        <v>92</v>
      </c>
      <c r="N116" s="3" t="s">
        <v>252</v>
      </c>
      <c r="O116" s="3" t="s">
        <v>59</v>
      </c>
      <c r="P116" s="166">
        <v>25092</v>
      </c>
      <c r="Q116" s="44" t="s">
        <v>100</v>
      </c>
      <c r="R116" s="57">
        <f t="shared" si="52"/>
        <v>46079</v>
      </c>
      <c r="S116" s="13" t="s">
        <v>61</v>
      </c>
      <c r="T116" s="35">
        <v>46108</v>
      </c>
      <c r="U116" s="37">
        <v>46101</v>
      </c>
      <c r="V116" s="37">
        <f t="shared" si="58"/>
        <v>46108</v>
      </c>
      <c r="W116" s="59">
        <f t="shared" si="33"/>
        <v>29</v>
      </c>
      <c r="X116" s="59">
        <f t="shared" si="34"/>
        <v>22</v>
      </c>
      <c r="Y116" s="59">
        <f t="shared" si="35"/>
        <v>7</v>
      </c>
      <c r="Z116" s="39"/>
      <c r="AA116" s="4" t="s">
        <v>388</v>
      </c>
      <c r="AB116" s="35">
        <v>46104</v>
      </c>
      <c r="AC116" s="13">
        <v>25092</v>
      </c>
      <c r="AD116" s="13">
        <v>7441</v>
      </c>
      <c r="AE116" s="13" t="s">
        <v>63</v>
      </c>
      <c r="AF116" s="35">
        <v>46104</v>
      </c>
      <c r="AG116" s="3" t="str">
        <f t="shared" si="59"/>
        <v>FOB</v>
      </c>
      <c r="AH116" s="13" t="s">
        <v>402</v>
      </c>
      <c r="AI116" s="36" t="e">
        <f>#REF!</f>
        <v>#REF!</v>
      </c>
      <c r="AJ116" s="36">
        <v>0</v>
      </c>
      <c r="AK116" s="142">
        <f t="shared" si="53"/>
        <v>0</v>
      </c>
      <c r="AL116" s="47">
        <v>46104</v>
      </c>
      <c r="AM116" s="153">
        <v>46104</v>
      </c>
      <c r="AN116" s="63">
        <f t="shared" si="54"/>
        <v>0</v>
      </c>
      <c r="AO116" s="34" t="s">
        <v>65</v>
      </c>
      <c r="AP116" s="64">
        <f t="shared" ref="AP116:AP134" si="60">I116</f>
        <v>46108</v>
      </c>
      <c r="AQ116" s="64">
        <f t="shared" si="51"/>
        <v>46104</v>
      </c>
      <c r="AR116" s="65">
        <f t="shared" si="39"/>
        <v>29</v>
      </c>
      <c r="AS116" s="65">
        <f t="shared" si="40"/>
        <v>25</v>
      </c>
      <c r="AT116" s="157">
        <f t="shared" si="41"/>
        <v>4</v>
      </c>
      <c r="AU116" s="13"/>
      <c r="AV116" s="13" t="s">
        <v>59</v>
      </c>
      <c r="AW116" s="109">
        <f t="shared" si="49"/>
        <v>25092</v>
      </c>
      <c r="AX116" s="66">
        <f t="shared" si="55"/>
        <v>0</v>
      </c>
      <c r="AY116" s="66"/>
      <c r="AZ116" s="66">
        <f t="shared" si="56"/>
        <v>0</v>
      </c>
      <c r="BA116" s="67">
        <f t="shared" si="57"/>
        <v>0</v>
      </c>
    </row>
    <row r="117" spans="1:53" ht="21.6" customHeight="1" x14ac:dyDescent="0.3">
      <c r="A117" s="2" t="s">
        <v>192</v>
      </c>
      <c r="B117" s="15" t="s">
        <v>171</v>
      </c>
      <c r="C117" s="3" t="s">
        <v>78</v>
      </c>
      <c r="D117" s="3">
        <v>4600000028</v>
      </c>
      <c r="E117" s="3">
        <v>4500073411</v>
      </c>
      <c r="F117" s="3" t="s">
        <v>53</v>
      </c>
      <c r="G117" s="144">
        <v>364</v>
      </c>
      <c r="H117" s="394">
        <v>46079</v>
      </c>
      <c r="I117" s="50">
        <v>46111</v>
      </c>
      <c r="J117" s="15">
        <f t="shared" si="31"/>
        <v>32</v>
      </c>
      <c r="K117" s="3" t="s">
        <v>55</v>
      </c>
      <c r="L117" s="3" t="s">
        <v>56</v>
      </c>
      <c r="M117" s="15" t="s">
        <v>186</v>
      </c>
      <c r="N117" s="3" t="s">
        <v>403</v>
      </c>
      <c r="O117" s="3" t="s">
        <v>59</v>
      </c>
      <c r="P117" s="166">
        <v>11242.88</v>
      </c>
      <c r="Q117" s="44" t="s">
        <v>100</v>
      </c>
      <c r="R117" s="57">
        <f t="shared" si="52"/>
        <v>46079</v>
      </c>
      <c r="S117" s="13" t="s">
        <v>61</v>
      </c>
      <c r="T117" s="35">
        <v>46108</v>
      </c>
      <c r="U117" s="37">
        <v>46097</v>
      </c>
      <c r="V117" s="37">
        <f t="shared" si="58"/>
        <v>46111</v>
      </c>
      <c r="W117" s="59">
        <f t="shared" si="33"/>
        <v>32</v>
      </c>
      <c r="X117" s="59">
        <f t="shared" si="34"/>
        <v>18</v>
      </c>
      <c r="Y117" s="59">
        <f t="shared" si="35"/>
        <v>14</v>
      </c>
      <c r="Z117" s="39"/>
      <c r="AA117" s="4" t="s">
        <v>388</v>
      </c>
      <c r="AB117" s="35">
        <v>46097</v>
      </c>
      <c r="AC117" s="13">
        <v>11242.88</v>
      </c>
      <c r="AD117" s="13">
        <v>7420</v>
      </c>
      <c r="AE117" s="13" t="s">
        <v>63</v>
      </c>
      <c r="AF117" s="35">
        <v>46106</v>
      </c>
      <c r="AG117" s="3" t="str">
        <f t="shared" si="59"/>
        <v>FOB</v>
      </c>
      <c r="AH117" s="13" t="s">
        <v>404</v>
      </c>
      <c r="AI117" s="36" t="e">
        <f>#REF!</f>
        <v>#REF!</v>
      </c>
      <c r="AJ117" s="36">
        <v>0</v>
      </c>
      <c r="AK117" s="142">
        <f t="shared" si="53"/>
        <v>0</v>
      </c>
      <c r="AL117" s="47">
        <v>46097</v>
      </c>
      <c r="AM117" s="153">
        <v>46097</v>
      </c>
      <c r="AN117" s="63">
        <f t="shared" si="54"/>
        <v>-9</v>
      </c>
      <c r="AO117" s="34" t="s">
        <v>65</v>
      </c>
      <c r="AP117" s="64">
        <f t="shared" si="60"/>
        <v>46111</v>
      </c>
      <c r="AQ117" s="64">
        <f t="shared" si="51"/>
        <v>46097</v>
      </c>
      <c r="AR117" s="65">
        <f t="shared" si="39"/>
        <v>32</v>
      </c>
      <c r="AS117" s="65">
        <f t="shared" si="40"/>
        <v>18</v>
      </c>
      <c r="AT117" s="157">
        <f t="shared" si="41"/>
        <v>14</v>
      </c>
      <c r="AU117" s="13"/>
      <c r="AV117" s="13" t="s">
        <v>59</v>
      </c>
      <c r="AW117" s="109">
        <f t="shared" ref="AW117:AW148" si="61">AC117</f>
        <v>11242.88</v>
      </c>
      <c r="AX117" s="66">
        <f t="shared" si="55"/>
        <v>0</v>
      </c>
      <c r="AY117" s="66"/>
      <c r="AZ117" s="66">
        <f t="shared" si="56"/>
        <v>0</v>
      </c>
      <c r="BA117" s="67">
        <f t="shared" si="57"/>
        <v>0</v>
      </c>
    </row>
    <row r="118" spans="1:53" ht="21.6" customHeight="1" x14ac:dyDescent="0.3">
      <c r="A118" s="2" t="s">
        <v>202</v>
      </c>
      <c r="B118" s="3" t="s">
        <v>51</v>
      </c>
      <c r="C118" s="3" t="s">
        <v>78</v>
      </c>
      <c r="D118" s="3" t="s">
        <v>53</v>
      </c>
      <c r="E118" s="3">
        <v>1885</v>
      </c>
      <c r="F118" s="3" t="s">
        <v>405</v>
      </c>
      <c r="G118" s="144">
        <v>365</v>
      </c>
      <c r="H118" s="394">
        <v>46080</v>
      </c>
      <c r="I118" s="50">
        <v>46112</v>
      </c>
      <c r="J118" s="15">
        <f t="shared" si="31"/>
        <v>32</v>
      </c>
      <c r="K118" s="3" t="s">
        <v>55</v>
      </c>
      <c r="L118" s="3" t="s">
        <v>56</v>
      </c>
      <c r="M118" s="3" t="s">
        <v>57</v>
      </c>
      <c r="N118" s="3" t="s">
        <v>204</v>
      </c>
      <c r="O118" s="3" t="s">
        <v>59</v>
      </c>
      <c r="P118" s="166">
        <v>8159.36</v>
      </c>
      <c r="Q118" s="44" t="s">
        <v>100</v>
      </c>
      <c r="R118" s="57">
        <f t="shared" si="52"/>
        <v>46080</v>
      </c>
      <c r="S118" s="13" t="s">
        <v>61</v>
      </c>
      <c r="T118" s="35">
        <v>46108</v>
      </c>
      <c r="U118" s="37">
        <v>46097</v>
      </c>
      <c r="V118" s="37">
        <f t="shared" si="58"/>
        <v>46112</v>
      </c>
      <c r="W118" s="59">
        <f t="shared" si="33"/>
        <v>32</v>
      </c>
      <c r="X118" s="59">
        <f t="shared" si="34"/>
        <v>17</v>
      </c>
      <c r="Y118" s="59">
        <f t="shared" si="35"/>
        <v>15</v>
      </c>
      <c r="Z118" s="39"/>
      <c r="AA118" s="4" t="s">
        <v>304</v>
      </c>
      <c r="AB118" s="35">
        <v>46097</v>
      </c>
      <c r="AC118" s="13">
        <v>8159.36</v>
      </c>
      <c r="AD118" s="13">
        <v>7419</v>
      </c>
      <c r="AE118" s="13" t="s">
        <v>63</v>
      </c>
      <c r="AF118" s="35">
        <v>46106</v>
      </c>
      <c r="AG118" s="3" t="str">
        <f t="shared" si="59"/>
        <v>FOB</v>
      </c>
      <c r="AH118" s="13" t="s">
        <v>127</v>
      </c>
      <c r="AI118" s="36" t="e">
        <f>#REF!</f>
        <v>#REF!</v>
      </c>
      <c r="AJ118" s="36">
        <v>0</v>
      </c>
      <c r="AK118" s="142">
        <f t="shared" si="53"/>
        <v>0</v>
      </c>
      <c r="AL118" s="47">
        <v>46097</v>
      </c>
      <c r="AM118" s="153">
        <v>46097</v>
      </c>
      <c r="AN118" s="63">
        <f t="shared" si="54"/>
        <v>-9</v>
      </c>
      <c r="AO118" s="34" t="s">
        <v>65</v>
      </c>
      <c r="AP118" s="64">
        <f t="shared" si="60"/>
        <v>46112</v>
      </c>
      <c r="AQ118" s="64">
        <f t="shared" ref="AQ118:AQ149" si="62">AM118</f>
        <v>46097</v>
      </c>
      <c r="AR118" s="65">
        <f t="shared" si="39"/>
        <v>32</v>
      </c>
      <c r="AS118" s="65">
        <f t="shared" si="40"/>
        <v>17</v>
      </c>
      <c r="AT118" s="157">
        <f t="shared" si="41"/>
        <v>15</v>
      </c>
      <c r="AU118" s="13"/>
      <c r="AV118" s="13" t="s">
        <v>59</v>
      </c>
      <c r="AW118" s="109">
        <f t="shared" si="61"/>
        <v>8159.36</v>
      </c>
      <c r="AX118" s="66">
        <f t="shared" si="55"/>
        <v>0</v>
      </c>
      <c r="AY118" s="66"/>
      <c r="AZ118" s="66">
        <f t="shared" si="56"/>
        <v>0</v>
      </c>
      <c r="BA118" s="67">
        <f t="shared" si="57"/>
        <v>0</v>
      </c>
    </row>
    <row r="119" spans="1:53" ht="21.6" customHeight="1" x14ac:dyDescent="0.3">
      <c r="A119" s="2" t="s">
        <v>210</v>
      </c>
      <c r="B119" s="3" t="s">
        <v>91</v>
      </c>
      <c r="C119" s="3" t="s">
        <v>78</v>
      </c>
      <c r="D119" s="3" t="s">
        <v>53</v>
      </c>
      <c r="E119" s="3" t="s">
        <v>53</v>
      </c>
      <c r="F119" s="3" t="s">
        <v>406</v>
      </c>
      <c r="G119" s="144">
        <v>366</v>
      </c>
      <c r="H119" s="394">
        <v>46080</v>
      </c>
      <c r="I119" s="50">
        <v>46093</v>
      </c>
      <c r="J119" s="15">
        <f t="shared" si="31"/>
        <v>13</v>
      </c>
      <c r="K119" s="3" t="s">
        <v>55</v>
      </c>
      <c r="L119" s="3" t="s">
        <v>56</v>
      </c>
      <c r="M119" s="3" t="s">
        <v>92</v>
      </c>
      <c r="N119" s="3" t="s">
        <v>212</v>
      </c>
      <c r="O119" s="3" t="s">
        <v>59</v>
      </c>
      <c r="P119" s="166">
        <v>1853.92</v>
      </c>
      <c r="Q119" s="44" t="s">
        <v>100</v>
      </c>
      <c r="R119" s="57">
        <f t="shared" si="52"/>
        <v>46080</v>
      </c>
      <c r="S119" s="13" t="s">
        <v>61</v>
      </c>
      <c r="T119" s="35">
        <v>46108</v>
      </c>
      <c r="U119" s="37">
        <v>46086</v>
      </c>
      <c r="V119" s="37">
        <f t="shared" si="58"/>
        <v>46093</v>
      </c>
      <c r="W119" s="59">
        <f t="shared" si="33"/>
        <v>13</v>
      </c>
      <c r="X119" s="59">
        <f t="shared" si="34"/>
        <v>6</v>
      </c>
      <c r="Y119" s="59">
        <f t="shared" si="35"/>
        <v>7</v>
      </c>
      <c r="Z119" s="39"/>
      <c r="AA119" s="4" t="s">
        <v>345</v>
      </c>
      <c r="AB119" s="35">
        <v>46086</v>
      </c>
      <c r="AC119" s="13">
        <v>1853.92</v>
      </c>
      <c r="AD119" s="13">
        <v>7391</v>
      </c>
      <c r="AE119" s="13" t="s">
        <v>63</v>
      </c>
      <c r="AF119" s="35">
        <v>46087</v>
      </c>
      <c r="AG119" s="3" t="str">
        <f t="shared" si="59"/>
        <v>FOB</v>
      </c>
      <c r="AH119" s="13" t="s">
        <v>407</v>
      </c>
      <c r="AI119" s="36" t="e">
        <f>#REF!</f>
        <v>#REF!</v>
      </c>
      <c r="AJ119" s="36">
        <v>0</v>
      </c>
      <c r="AK119" s="142">
        <f t="shared" si="53"/>
        <v>0</v>
      </c>
      <c r="AL119" s="47">
        <v>46086</v>
      </c>
      <c r="AM119" s="153">
        <v>46086</v>
      </c>
      <c r="AN119" s="63">
        <f t="shared" si="54"/>
        <v>-1</v>
      </c>
      <c r="AO119" s="34" t="s">
        <v>65</v>
      </c>
      <c r="AP119" s="64">
        <f t="shared" si="60"/>
        <v>46093</v>
      </c>
      <c r="AQ119" s="64">
        <f t="shared" si="62"/>
        <v>46086</v>
      </c>
      <c r="AR119" s="65">
        <f t="shared" si="39"/>
        <v>13</v>
      </c>
      <c r="AS119" s="65">
        <f t="shared" si="40"/>
        <v>6</v>
      </c>
      <c r="AT119" s="157">
        <f t="shared" si="41"/>
        <v>7</v>
      </c>
      <c r="AU119" s="13"/>
      <c r="AV119" s="13" t="s">
        <v>59</v>
      </c>
      <c r="AW119" s="109">
        <f t="shared" si="61"/>
        <v>1853.92</v>
      </c>
      <c r="AX119" s="66">
        <f t="shared" si="55"/>
        <v>0</v>
      </c>
      <c r="AY119" s="66"/>
      <c r="AZ119" s="66">
        <f t="shared" si="56"/>
        <v>0</v>
      </c>
      <c r="BA119" s="67">
        <f t="shared" si="57"/>
        <v>0</v>
      </c>
    </row>
    <row r="120" spans="1:53" ht="21.6" customHeight="1" x14ac:dyDescent="0.3">
      <c r="A120" s="2" t="s">
        <v>284</v>
      </c>
      <c r="B120" s="15" t="s">
        <v>171</v>
      </c>
      <c r="C120" s="3" t="s">
        <v>78</v>
      </c>
      <c r="D120" s="3" t="s">
        <v>53</v>
      </c>
      <c r="E120" s="3">
        <v>4518391586</v>
      </c>
      <c r="F120" s="3" t="s">
        <v>53</v>
      </c>
      <c r="G120" s="144">
        <v>368</v>
      </c>
      <c r="H120" s="394">
        <v>46080</v>
      </c>
      <c r="I120" s="50">
        <v>46113</v>
      </c>
      <c r="J120" s="15">
        <f t="shared" si="31"/>
        <v>33</v>
      </c>
      <c r="K120" s="3" t="s">
        <v>70</v>
      </c>
      <c r="L120" s="3" t="s">
        <v>56</v>
      </c>
      <c r="M120" s="15" t="s">
        <v>186</v>
      </c>
      <c r="N120" s="3" t="s">
        <v>286</v>
      </c>
      <c r="O120" s="3" t="s">
        <v>59</v>
      </c>
      <c r="P120" s="166">
        <v>9340</v>
      </c>
      <c r="Q120" s="44" t="s">
        <v>100</v>
      </c>
      <c r="R120" s="57">
        <f t="shared" si="52"/>
        <v>46080</v>
      </c>
      <c r="S120" s="13" t="s">
        <v>61</v>
      </c>
      <c r="T120" s="35">
        <v>46108</v>
      </c>
      <c r="U120" s="37">
        <v>46085</v>
      </c>
      <c r="V120" s="37">
        <f t="shared" si="58"/>
        <v>46113</v>
      </c>
      <c r="W120" s="59">
        <f t="shared" si="33"/>
        <v>33</v>
      </c>
      <c r="X120" s="59">
        <f t="shared" si="34"/>
        <v>5</v>
      </c>
      <c r="Y120" s="59">
        <f t="shared" si="35"/>
        <v>28</v>
      </c>
      <c r="Z120" s="39"/>
      <c r="AA120" s="4" t="s">
        <v>345</v>
      </c>
      <c r="AB120" s="35">
        <v>46086</v>
      </c>
      <c r="AC120" s="13">
        <v>9340</v>
      </c>
      <c r="AD120" s="13">
        <v>7390</v>
      </c>
      <c r="AE120" s="13" t="s">
        <v>63</v>
      </c>
      <c r="AF120" s="35">
        <v>46090</v>
      </c>
      <c r="AG120" s="3" t="str">
        <f t="shared" si="59"/>
        <v>CIF</v>
      </c>
      <c r="AH120" s="13" t="s">
        <v>245</v>
      </c>
      <c r="AI120" s="36" t="e">
        <f>#REF!</f>
        <v>#REF!</v>
      </c>
      <c r="AJ120" s="36">
        <v>577.83000000000004</v>
      </c>
      <c r="AK120" s="142">
        <f t="shared" si="53"/>
        <v>6.1866167023554609E-2</v>
      </c>
      <c r="AL120" s="47">
        <v>46098</v>
      </c>
      <c r="AM120" s="153">
        <v>46098</v>
      </c>
      <c r="AN120" s="63">
        <f t="shared" si="54"/>
        <v>8</v>
      </c>
      <c r="AO120" s="34" t="s">
        <v>65</v>
      </c>
      <c r="AP120" s="64">
        <f t="shared" si="60"/>
        <v>46113</v>
      </c>
      <c r="AQ120" s="64">
        <f t="shared" si="62"/>
        <v>46098</v>
      </c>
      <c r="AR120" s="65">
        <f t="shared" si="39"/>
        <v>33</v>
      </c>
      <c r="AS120" s="65">
        <f t="shared" si="40"/>
        <v>18</v>
      </c>
      <c r="AT120" s="157">
        <f t="shared" si="41"/>
        <v>15</v>
      </c>
      <c r="AU120" s="13"/>
      <c r="AV120" s="13" t="s">
        <v>59</v>
      </c>
      <c r="AW120" s="109">
        <f t="shared" si="61"/>
        <v>9340</v>
      </c>
      <c r="AX120" s="66">
        <f t="shared" si="55"/>
        <v>0</v>
      </c>
      <c r="AY120" s="66"/>
      <c r="AZ120" s="66">
        <f t="shared" si="56"/>
        <v>577.83000000000004</v>
      </c>
      <c r="BA120" s="67">
        <f t="shared" si="57"/>
        <v>577.83000000000004</v>
      </c>
    </row>
    <row r="121" spans="1:53" ht="21.6" customHeight="1" x14ac:dyDescent="0.3">
      <c r="A121" s="2" t="s">
        <v>408</v>
      </c>
      <c r="B121" s="3" t="s">
        <v>51</v>
      </c>
      <c r="C121" s="3" t="s">
        <v>78</v>
      </c>
      <c r="D121" s="3" t="s">
        <v>53</v>
      </c>
      <c r="E121" s="3">
        <v>4515058296</v>
      </c>
      <c r="F121" s="3" t="s">
        <v>53</v>
      </c>
      <c r="G121" s="144">
        <v>370</v>
      </c>
      <c r="H121" s="394">
        <v>46083</v>
      </c>
      <c r="I121" s="50">
        <v>46112</v>
      </c>
      <c r="J121" s="15">
        <f t="shared" si="31"/>
        <v>29</v>
      </c>
      <c r="K121" s="3" t="s">
        <v>70</v>
      </c>
      <c r="L121" s="3" t="s">
        <v>56</v>
      </c>
      <c r="M121" s="3" t="s">
        <v>57</v>
      </c>
      <c r="N121" s="3" t="s">
        <v>87</v>
      </c>
      <c r="O121" s="3" t="s">
        <v>59</v>
      </c>
      <c r="P121" s="8">
        <v>25202.61</v>
      </c>
      <c r="Q121" s="44" t="s">
        <v>60</v>
      </c>
      <c r="R121" s="57">
        <f t="shared" si="52"/>
        <v>46083</v>
      </c>
      <c r="S121" s="13" t="s">
        <v>61</v>
      </c>
      <c r="T121" s="35">
        <v>46108</v>
      </c>
      <c r="U121" s="37">
        <v>46099</v>
      </c>
      <c r="V121" s="37">
        <f t="shared" si="58"/>
        <v>46112</v>
      </c>
      <c r="W121" s="59">
        <f t="shared" si="33"/>
        <v>29</v>
      </c>
      <c r="X121" s="59">
        <f t="shared" si="34"/>
        <v>16</v>
      </c>
      <c r="Y121" s="59">
        <f t="shared" si="35"/>
        <v>13</v>
      </c>
      <c r="Z121" s="39"/>
      <c r="AA121" s="4" t="s">
        <v>388</v>
      </c>
      <c r="AB121" s="35">
        <v>46101</v>
      </c>
      <c r="AC121" s="13">
        <v>25202.61</v>
      </c>
      <c r="AD121" s="13">
        <v>7450</v>
      </c>
      <c r="AE121" s="13" t="s">
        <v>63</v>
      </c>
      <c r="AF121" s="35">
        <v>46119</v>
      </c>
      <c r="AG121" s="3" t="str">
        <f t="shared" si="59"/>
        <v>CIF</v>
      </c>
      <c r="AH121" s="13" t="s">
        <v>64</v>
      </c>
      <c r="AI121" s="36" t="e">
        <f>#REF!</f>
        <v>#REF!</v>
      </c>
      <c r="AJ121" s="36">
        <v>0</v>
      </c>
      <c r="AK121" s="142">
        <f t="shared" si="53"/>
        <v>0</v>
      </c>
      <c r="AL121" s="47">
        <v>46119</v>
      </c>
      <c r="AM121" s="153">
        <v>46119</v>
      </c>
      <c r="AN121" s="63">
        <f t="shared" si="54"/>
        <v>0</v>
      </c>
      <c r="AO121" s="34" t="s">
        <v>65</v>
      </c>
      <c r="AP121" s="64">
        <f t="shared" si="60"/>
        <v>46112</v>
      </c>
      <c r="AQ121" s="64">
        <f t="shared" si="62"/>
        <v>46119</v>
      </c>
      <c r="AR121" s="65">
        <f t="shared" si="39"/>
        <v>29</v>
      </c>
      <c r="AS121" s="65">
        <f t="shared" si="40"/>
        <v>36</v>
      </c>
      <c r="AT121" s="157">
        <f t="shared" si="41"/>
        <v>-7</v>
      </c>
      <c r="AU121" s="13"/>
      <c r="AV121" s="13"/>
      <c r="AW121" s="109">
        <f t="shared" si="61"/>
        <v>25202.61</v>
      </c>
      <c r="AX121" s="66">
        <f t="shared" si="55"/>
        <v>0</v>
      </c>
      <c r="AY121" s="66"/>
      <c r="AZ121" s="66">
        <f t="shared" si="56"/>
        <v>0</v>
      </c>
      <c r="BA121" s="67">
        <f t="shared" si="57"/>
        <v>0</v>
      </c>
    </row>
    <row r="122" spans="1:53" ht="21.6" customHeight="1" x14ac:dyDescent="0.3">
      <c r="A122" s="2" t="s">
        <v>90</v>
      </c>
      <c r="B122" s="3" t="s">
        <v>91</v>
      </c>
      <c r="C122" s="3" t="s">
        <v>78</v>
      </c>
      <c r="D122" s="3" t="s">
        <v>53</v>
      </c>
      <c r="E122" s="3">
        <v>4412652969</v>
      </c>
      <c r="F122" s="3" t="s">
        <v>53</v>
      </c>
      <c r="G122" s="144">
        <v>371</v>
      </c>
      <c r="H122" s="394">
        <v>46083</v>
      </c>
      <c r="I122" s="50">
        <v>46093</v>
      </c>
      <c r="J122" s="15">
        <f t="shared" si="31"/>
        <v>10</v>
      </c>
      <c r="K122" s="3" t="s">
        <v>70</v>
      </c>
      <c r="L122" s="3" t="s">
        <v>56</v>
      </c>
      <c r="M122" s="3" t="s">
        <v>92</v>
      </c>
      <c r="N122" s="3" t="s">
        <v>93</v>
      </c>
      <c r="O122" s="3" t="s">
        <v>59</v>
      </c>
      <c r="P122" s="8">
        <v>2154</v>
      </c>
      <c r="Q122" s="44" t="s">
        <v>94</v>
      </c>
      <c r="R122" s="57">
        <f t="shared" si="52"/>
        <v>46083</v>
      </c>
      <c r="S122" s="13" t="s">
        <v>61</v>
      </c>
      <c r="T122" s="35">
        <v>46108</v>
      </c>
      <c r="U122" s="37">
        <v>46085</v>
      </c>
      <c r="V122" s="37">
        <f t="shared" si="58"/>
        <v>46093</v>
      </c>
      <c r="W122" s="59">
        <f t="shared" si="33"/>
        <v>10</v>
      </c>
      <c r="X122" s="59">
        <f t="shared" si="34"/>
        <v>2</v>
      </c>
      <c r="Y122" s="59">
        <f t="shared" si="35"/>
        <v>8</v>
      </c>
      <c r="Z122" s="39"/>
      <c r="AA122" s="4" t="s">
        <v>345</v>
      </c>
      <c r="AB122" s="35">
        <v>46085</v>
      </c>
      <c r="AC122" s="13">
        <v>2224.0100000000002</v>
      </c>
      <c r="AD122" s="13">
        <v>7385</v>
      </c>
      <c r="AE122" s="13" t="s">
        <v>63</v>
      </c>
      <c r="AF122" s="35">
        <v>46085</v>
      </c>
      <c r="AG122" s="3" t="str">
        <f t="shared" si="59"/>
        <v>CIF</v>
      </c>
      <c r="AH122" s="13" t="s">
        <v>64</v>
      </c>
      <c r="AI122" s="36" t="e">
        <f>#REF!</f>
        <v>#REF!</v>
      </c>
      <c r="AJ122" s="36">
        <v>0</v>
      </c>
      <c r="AK122" s="142">
        <f t="shared" si="53"/>
        <v>0</v>
      </c>
      <c r="AL122" s="47">
        <v>46085</v>
      </c>
      <c r="AM122" s="153">
        <v>46085</v>
      </c>
      <c r="AN122" s="63">
        <f t="shared" si="54"/>
        <v>0</v>
      </c>
      <c r="AO122" s="34" t="s">
        <v>65</v>
      </c>
      <c r="AP122" s="64">
        <f t="shared" si="60"/>
        <v>46093</v>
      </c>
      <c r="AQ122" s="64">
        <f t="shared" si="62"/>
        <v>46085</v>
      </c>
      <c r="AR122" s="65">
        <f t="shared" si="39"/>
        <v>10</v>
      </c>
      <c r="AS122" s="65">
        <f t="shared" si="40"/>
        <v>2</v>
      </c>
      <c r="AT122" s="157">
        <f t="shared" si="41"/>
        <v>8</v>
      </c>
      <c r="AU122" s="13"/>
      <c r="AV122" s="13" t="s">
        <v>59</v>
      </c>
      <c r="AW122" s="109">
        <f t="shared" si="61"/>
        <v>2224.0100000000002</v>
      </c>
      <c r="AX122" s="66">
        <f t="shared" si="55"/>
        <v>0</v>
      </c>
      <c r="AY122" s="66"/>
      <c r="AZ122" s="66">
        <f t="shared" si="56"/>
        <v>0</v>
      </c>
      <c r="BA122" s="67">
        <f t="shared" si="57"/>
        <v>0</v>
      </c>
    </row>
    <row r="123" spans="1:53" ht="21.6" customHeight="1" x14ac:dyDescent="0.3">
      <c r="A123" s="2" t="s">
        <v>276</v>
      </c>
      <c r="B123" s="15" t="s">
        <v>91</v>
      </c>
      <c r="C123" s="3" t="s">
        <v>78</v>
      </c>
      <c r="D123" s="3" t="s">
        <v>53</v>
      </c>
      <c r="E123" s="3">
        <v>632247</v>
      </c>
      <c r="F123" s="3" t="s">
        <v>409</v>
      </c>
      <c r="G123" s="144">
        <v>372</v>
      </c>
      <c r="H123" s="394">
        <v>46083</v>
      </c>
      <c r="I123" s="50">
        <v>46113</v>
      </c>
      <c r="J123" s="15">
        <f t="shared" si="31"/>
        <v>30</v>
      </c>
      <c r="K123" s="3" t="s">
        <v>70</v>
      </c>
      <c r="L123" s="3" t="s">
        <v>56</v>
      </c>
      <c r="M123" s="15" t="s">
        <v>92</v>
      </c>
      <c r="N123" s="3" t="s">
        <v>248</v>
      </c>
      <c r="O123" s="3" t="s">
        <v>59</v>
      </c>
      <c r="P123" s="8">
        <v>133120</v>
      </c>
      <c r="Q123" s="44" t="s">
        <v>60</v>
      </c>
      <c r="R123" s="57">
        <f t="shared" si="52"/>
        <v>46083</v>
      </c>
      <c r="S123" s="13" t="s">
        <v>61</v>
      </c>
      <c r="T123" s="35">
        <v>46108</v>
      </c>
      <c r="U123" s="37">
        <v>46106</v>
      </c>
      <c r="V123" s="37">
        <f t="shared" si="58"/>
        <v>46113</v>
      </c>
      <c r="W123" s="59">
        <f t="shared" si="33"/>
        <v>30</v>
      </c>
      <c r="X123" s="59">
        <f t="shared" si="34"/>
        <v>23</v>
      </c>
      <c r="Y123" s="59">
        <f t="shared" si="35"/>
        <v>7</v>
      </c>
      <c r="Z123" s="39"/>
      <c r="AA123" s="4" t="s">
        <v>388</v>
      </c>
      <c r="AB123" s="35">
        <v>46106</v>
      </c>
      <c r="AC123" s="13">
        <v>133120</v>
      </c>
      <c r="AD123" s="13">
        <v>7445</v>
      </c>
      <c r="AE123" s="13" t="s">
        <v>63</v>
      </c>
      <c r="AF123" s="35">
        <v>46106</v>
      </c>
      <c r="AG123" s="3" t="str">
        <f t="shared" si="59"/>
        <v>CIF</v>
      </c>
      <c r="AH123" s="13" t="s">
        <v>64</v>
      </c>
      <c r="AI123" s="36" t="e">
        <f>#REF!</f>
        <v>#REF!</v>
      </c>
      <c r="AJ123" s="36">
        <v>0</v>
      </c>
      <c r="AK123" s="142">
        <f t="shared" si="53"/>
        <v>0</v>
      </c>
      <c r="AL123" s="47">
        <v>46106</v>
      </c>
      <c r="AM123" s="153">
        <v>46106</v>
      </c>
      <c r="AN123" s="63">
        <f t="shared" si="54"/>
        <v>0</v>
      </c>
      <c r="AO123" s="34" t="s">
        <v>65</v>
      </c>
      <c r="AP123" s="64">
        <f t="shared" si="60"/>
        <v>46113</v>
      </c>
      <c r="AQ123" s="64">
        <f t="shared" si="62"/>
        <v>46106</v>
      </c>
      <c r="AR123" s="65">
        <f t="shared" si="39"/>
        <v>30</v>
      </c>
      <c r="AS123" s="65">
        <f t="shared" si="40"/>
        <v>23</v>
      </c>
      <c r="AT123" s="157">
        <f t="shared" si="41"/>
        <v>7</v>
      </c>
      <c r="AU123" s="13"/>
      <c r="AV123" s="13" t="s">
        <v>59</v>
      </c>
      <c r="AW123" s="109">
        <f t="shared" si="61"/>
        <v>133120</v>
      </c>
      <c r="AX123" s="66">
        <f t="shared" si="55"/>
        <v>0</v>
      </c>
      <c r="AY123" s="66"/>
      <c r="AZ123" s="66">
        <f t="shared" si="56"/>
        <v>0</v>
      </c>
      <c r="BA123" s="67">
        <f t="shared" si="57"/>
        <v>0</v>
      </c>
    </row>
    <row r="124" spans="1:53" ht="21.6" customHeight="1" x14ac:dyDescent="0.3">
      <c r="A124" s="2" t="s">
        <v>122</v>
      </c>
      <c r="B124" s="3" t="s">
        <v>51</v>
      </c>
      <c r="C124" s="3" t="s">
        <v>78</v>
      </c>
      <c r="D124" s="3" t="s">
        <v>53</v>
      </c>
      <c r="E124" s="3">
        <v>555732585</v>
      </c>
      <c r="F124" s="3" t="s">
        <v>53</v>
      </c>
      <c r="G124" s="144">
        <v>373</v>
      </c>
      <c r="H124" s="394">
        <v>46083</v>
      </c>
      <c r="I124" s="50">
        <v>46132</v>
      </c>
      <c r="J124" s="15">
        <f t="shared" si="31"/>
        <v>49</v>
      </c>
      <c r="K124" s="3" t="s">
        <v>70</v>
      </c>
      <c r="L124" s="3" t="s">
        <v>56</v>
      </c>
      <c r="M124" s="3" t="s">
        <v>57</v>
      </c>
      <c r="N124" s="3" t="s">
        <v>123</v>
      </c>
      <c r="O124" s="3" t="s">
        <v>59</v>
      </c>
      <c r="P124" s="8">
        <v>67068.12</v>
      </c>
      <c r="Q124" s="44" t="s">
        <v>60</v>
      </c>
      <c r="R124" s="57">
        <f t="shared" si="52"/>
        <v>46083</v>
      </c>
      <c r="S124" s="13" t="s">
        <v>61</v>
      </c>
      <c r="T124" s="35">
        <v>46108</v>
      </c>
      <c r="U124" s="37">
        <v>46106</v>
      </c>
      <c r="V124" s="37">
        <f t="shared" si="58"/>
        <v>46132</v>
      </c>
      <c r="W124" s="59">
        <f t="shared" si="33"/>
        <v>49</v>
      </c>
      <c r="X124" s="59">
        <f t="shared" si="34"/>
        <v>23</v>
      </c>
      <c r="Y124" s="59">
        <f t="shared" si="35"/>
        <v>26</v>
      </c>
      <c r="Z124" s="39"/>
      <c r="AA124" s="4" t="s">
        <v>388</v>
      </c>
      <c r="AB124" s="35">
        <v>46112</v>
      </c>
      <c r="AC124" s="13">
        <v>67068.12</v>
      </c>
      <c r="AD124" s="13">
        <v>7476</v>
      </c>
      <c r="AE124" s="13" t="s">
        <v>63</v>
      </c>
      <c r="AF124" s="35">
        <v>46119</v>
      </c>
      <c r="AG124" s="3" t="s">
        <v>70</v>
      </c>
      <c r="AH124" s="13" t="s">
        <v>64</v>
      </c>
      <c r="AI124" s="36" t="e">
        <f>#REF!</f>
        <v>#REF!</v>
      </c>
      <c r="AJ124" s="36">
        <v>0</v>
      </c>
      <c r="AK124" s="142">
        <f t="shared" si="53"/>
        <v>0</v>
      </c>
      <c r="AL124" s="47">
        <v>46119</v>
      </c>
      <c r="AM124" s="153">
        <v>46119</v>
      </c>
      <c r="AN124" s="63">
        <f t="shared" si="54"/>
        <v>0</v>
      </c>
      <c r="AO124" s="34" t="s">
        <v>65</v>
      </c>
      <c r="AP124" s="64">
        <f t="shared" si="60"/>
        <v>46132</v>
      </c>
      <c r="AQ124" s="64">
        <f t="shared" si="62"/>
        <v>46119</v>
      </c>
      <c r="AR124" s="65">
        <f t="shared" si="39"/>
        <v>49</v>
      </c>
      <c r="AS124" s="65">
        <f t="shared" si="40"/>
        <v>36</v>
      </c>
      <c r="AT124" s="157">
        <f t="shared" si="41"/>
        <v>13</v>
      </c>
      <c r="AU124" s="13"/>
      <c r="AV124" s="13"/>
      <c r="AW124" s="109">
        <f t="shared" si="61"/>
        <v>67068.12</v>
      </c>
      <c r="AX124" s="66">
        <f t="shared" si="55"/>
        <v>0</v>
      </c>
      <c r="AY124" s="66"/>
      <c r="AZ124" s="66">
        <f t="shared" si="56"/>
        <v>0</v>
      </c>
      <c r="BA124" s="67">
        <f t="shared" si="57"/>
        <v>0</v>
      </c>
    </row>
    <row r="125" spans="1:53" ht="21.6" customHeight="1" x14ac:dyDescent="0.3">
      <c r="A125" s="2" t="s">
        <v>90</v>
      </c>
      <c r="B125" s="15" t="s">
        <v>91</v>
      </c>
      <c r="C125" s="3" t="s">
        <v>78</v>
      </c>
      <c r="D125" s="3" t="s">
        <v>53</v>
      </c>
      <c r="E125" s="3">
        <v>4412654727</v>
      </c>
      <c r="F125" s="5" t="s">
        <v>53</v>
      </c>
      <c r="G125" s="144">
        <v>374</v>
      </c>
      <c r="H125" s="394">
        <v>46083</v>
      </c>
      <c r="I125" s="50">
        <v>46101</v>
      </c>
      <c r="J125" s="15">
        <f t="shared" si="31"/>
        <v>18</v>
      </c>
      <c r="K125" s="3" t="s">
        <v>70</v>
      </c>
      <c r="L125" s="3" t="s">
        <v>56</v>
      </c>
      <c r="M125" s="15" t="s">
        <v>92</v>
      </c>
      <c r="N125" s="3" t="s">
        <v>93</v>
      </c>
      <c r="O125" s="3" t="s">
        <v>59</v>
      </c>
      <c r="P125" s="8">
        <v>12223.2</v>
      </c>
      <c r="Q125" s="44" t="s">
        <v>100</v>
      </c>
      <c r="R125" s="57">
        <f t="shared" si="52"/>
        <v>46083</v>
      </c>
      <c r="S125" s="13" t="s">
        <v>61</v>
      </c>
      <c r="T125" s="35">
        <v>46108</v>
      </c>
      <c r="U125" s="37">
        <v>46101</v>
      </c>
      <c r="V125" s="37">
        <f t="shared" si="58"/>
        <v>46101</v>
      </c>
      <c r="W125" s="59">
        <f t="shared" si="33"/>
        <v>18</v>
      </c>
      <c r="X125" s="59">
        <f t="shared" si="34"/>
        <v>18</v>
      </c>
      <c r="Y125" s="59">
        <f t="shared" si="35"/>
        <v>0</v>
      </c>
      <c r="Z125" s="39"/>
      <c r="AA125" s="4" t="s">
        <v>388</v>
      </c>
      <c r="AB125" s="35">
        <v>46101</v>
      </c>
      <c r="AC125" s="13">
        <v>12223.2</v>
      </c>
      <c r="AD125" s="13">
        <v>7435</v>
      </c>
      <c r="AE125" s="13" t="s">
        <v>63</v>
      </c>
      <c r="AF125" s="35">
        <v>46101</v>
      </c>
      <c r="AG125" s="3" t="str">
        <f t="shared" ref="AG125:AG156" si="63">K125</f>
        <v>CIF</v>
      </c>
      <c r="AH125" s="13" t="s">
        <v>64</v>
      </c>
      <c r="AI125" s="36" t="e">
        <f>#REF!</f>
        <v>#REF!</v>
      </c>
      <c r="AJ125" s="36">
        <v>0</v>
      </c>
      <c r="AK125" s="142">
        <f t="shared" si="53"/>
        <v>0</v>
      </c>
      <c r="AL125" s="47">
        <v>46101</v>
      </c>
      <c r="AM125" s="153">
        <v>46101</v>
      </c>
      <c r="AN125" s="63">
        <f t="shared" si="54"/>
        <v>0</v>
      </c>
      <c r="AO125" s="34" t="s">
        <v>65</v>
      </c>
      <c r="AP125" s="64">
        <f t="shared" si="60"/>
        <v>46101</v>
      </c>
      <c r="AQ125" s="64">
        <f t="shared" si="62"/>
        <v>46101</v>
      </c>
      <c r="AR125" s="65">
        <f t="shared" si="39"/>
        <v>18</v>
      </c>
      <c r="AS125" s="65">
        <f t="shared" si="40"/>
        <v>18</v>
      </c>
      <c r="AT125" s="157">
        <f t="shared" si="41"/>
        <v>0</v>
      </c>
      <c r="AU125" s="13"/>
      <c r="AV125" s="13" t="s">
        <v>59</v>
      </c>
      <c r="AW125" s="109">
        <f t="shared" si="61"/>
        <v>12223.2</v>
      </c>
      <c r="AX125" s="66">
        <f t="shared" si="55"/>
        <v>0</v>
      </c>
      <c r="AY125" s="66"/>
      <c r="AZ125" s="66">
        <f t="shared" si="56"/>
        <v>0</v>
      </c>
      <c r="BA125" s="67">
        <f t="shared" si="57"/>
        <v>0</v>
      </c>
    </row>
    <row r="126" spans="1:53" ht="21.6" customHeight="1" x14ac:dyDescent="0.3">
      <c r="A126" s="2" t="s">
        <v>410</v>
      </c>
      <c r="B126" s="3" t="s">
        <v>96</v>
      </c>
      <c r="C126" s="3" t="s">
        <v>78</v>
      </c>
      <c r="D126" s="3" t="s">
        <v>53</v>
      </c>
      <c r="E126" s="3">
        <v>34044638</v>
      </c>
      <c r="F126" s="3" t="s">
        <v>411</v>
      </c>
      <c r="G126" s="144">
        <v>378</v>
      </c>
      <c r="H126" s="394">
        <v>46084</v>
      </c>
      <c r="I126" s="50">
        <v>46104</v>
      </c>
      <c r="J126" s="15">
        <f t="shared" si="31"/>
        <v>20</v>
      </c>
      <c r="K126" s="3" t="s">
        <v>70</v>
      </c>
      <c r="L126" s="3" t="s">
        <v>56</v>
      </c>
      <c r="M126" s="3" t="s">
        <v>98</v>
      </c>
      <c r="N126" s="3" t="s">
        <v>412</v>
      </c>
      <c r="O126" s="3" t="s">
        <v>59</v>
      </c>
      <c r="P126" s="8">
        <v>2012.2</v>
      </c>
      <c r="Q126" s="44" t="s">
        <v>100</v>
      </c>
      <c r="R126" s="57">
        <f t="shared" si="52"/>
        <v>46084</v>
      </c>
      <c r="S126" s="13" t="s">
        <v>61</v>
      </c>
      <c r="T126" s="35">
        <v>46108</v>
      </c>
      <c r="U126" s="37">
        <v>46087</v>
      </c>
      <c r="V126" s="37">
        <f t="shared" si="58"/>
        <v>46104</v>
      </c>
      <c r="W126" s="59">
        <f t="shared" si="33"/>
        <v>20</v>
      </c>
      <c r="X126" s="59">
        <f t="shared" si="34"/>
        <v>3</v>
      </c>
      <c r="Y126" s="59">
        <f t="shared" si="35"/>
        <v>17</v>
      </c>
      <c r="Z126" s="39"/>
      <c r="AA126" s="4" t="s">
        <v>345</v>
      </c>
      <c r="AB126" s="35">
        <v>46090</v>
      </c>
      <c r="AC126" s="13">
        <v>2012.2</v>
      </c>
      <c r="AD126" s="13">
        <v>7399</v>
      </c>
      <c r="AE126" s="13" t="s">
        <v>63</v>
      </c>
      <c r="AF126" s="35">
        <v>46092</v>
      </c>
      <c r="AG126" s="3" t="str">
        <f t="shared" si="63"/>
        <v>CIF</v>
      </c>
      <c r="AH126" s="13" t="s">
        <v>312</v>
      </c>
      <c r="AI126" s="36" t="e">
        <f>#REF!</f>
        <v>#REF!</v>
      </c>
      <c r="AJ126" s="36">
        <v>93.85</v>
      </c>
      <c r="AK126" s="142">
        <f t="shared" si="53"/>
        <v>4.6640492992744254E-2</v>
      </c>
      <c r="AL126" s="47">
        <v>46097</v>
      </c>
      <c r="AM126" s="153">
        <v>46097</v>
      </c>
      <c r="AN126" s="63">
        <f t="shared" si="54"/>
        <v>5</v>
      </c>
      <c r="AO126" s="34" t="s">
        <v>65</v>
      </c>
      <c r="AP126" s="64">
        <f t="shared" si="60"/>
        <v>46104</v>
      </c>
      <c r="AQ126" s="64">
        <f t="shared" si="62"/>
        <v>46097</v>
      </c>
      <c r="AR126" s="65">
        <f t="shared" si="39"/>
        <v>20</v>
      </c>
      <c r="AS126" s="65">
        <f t="shared" si="40"/>
        <v>13</v>
      </c>
      <c r="AT126" s="157">
        <f t="shared" si="41"/>
        <v>7</v>
      </c>
      <c r="AU126" s="13"/>
      <c r="AV126" s="13" t="s">
        <v>59</v>
      </c>
      <c r="AW126" s="109">
        <f t="shared" si="61"/>
        <v>2012.2</v>
      </c>
      <c r="AX126" s="66">
        <f t="shared" si="55"/>
        <v>0</v>
      </c>
      <c r="AY126" s="66"/>
      <c r="AZ126" s="66">
        <f t="shared" si="56"/>
        <v>93.85</v>
      </c>
      <c r="BA126" s="67">
        <f t="shared" si="57"/>
        <v>93.85</v>
      </c>
    </row>
    <row r="127" spans="1:53" ht="21.6" customHeight="1" x14ac:dyDescent="0.3">
      <c r="A127" s="2" t="s">
        <v>202</v>
      </c>
      <c r="B127" s="3" t="s">
        <v>51</v>
      </c>
      <c r="C127" s="3" t="s">
        <v>78</v>
      </c>
      <c r="D127" s="3" t="s">
        <v>53</v>
      </c>
      <c r="E127" s="3">
        <v>1893</v>
      </c>
      <c r="F127" t="s">
        <v>413</v>
      </c>
      <c r="G127" s="144">
        <v>379</v>
      </c>
      <c r="H127" s="394">
        <v>46084</v>
      </c>
      <c r="I127" s="50">
        <v>46099</v>
      </c>
      <c r="J127" s="15">
        <f t="shared" si="31"/>
        <v>15</v>
      </c>
      <c r="K127" s="3" t="s">
        <v>55</v>
      </c>
      <c r="L127" s="3" t="s">
        <v>56</v>
      </c>
      <c r="M127" s="3" t="s">
        <v>57</v>
      </c>
      <c r="N127" s="3" t="s">
        <v>204</v>
      </c>
      <c r="O127" s="3" t="s">
        <v>59</v>
      </c>
      <c r="P127" s="8">
        <v>28490</v>
      </c>
      <c r="Q127" s="44" t="s">
        <v>100</v>
      </c>
      <c r="R127" s="57">
        <f t="shared" si="52"/>
        <v>46084</v>
      </c>
      <c r="S127" s="13" t="s">
        <v>61</v>
      </c>
      <c r="T127" s="35">
        <v>46108</v>
      </c>
      <c r="U127" s="37">
        <v>46093</v>
      </c>
      <c r="V127" s="37">
        <f t="shared" si="58"/>
        <v>46099</v>
      </c>
      <c r="W127" s="59">
        <f t="shared" si="33"/>
        <v>15</v>
      </c>
      <c r="X127" s="59">
        <f t="shared" si="34"/>
        <v>9</v>
      </c>
      <c r="Y127" s="59">
        <f t="shared" si="35"/>
        <v>6</v>
      </c>
      <c r="Z127" s="39"/>
      <c r="AA127" s="4" t="s">
        <v>304</v>
      </c>
      <c r="AB127" s="35">
        <v>46094</v>
      </c>
      <c r="AC127" s="13">
        <v>28490</v>
      </c>
      <c r="AD127" s="13">
        <v>7411</v>
      </c>
      <c r="AE127" s="13" t="s">
        <v>63</v>
      </c>
      <c r="AF127" s="35">
        <v>46099</v>
      </c>
      <c r="AG127" s="3" t="str">
        <f t="shared" si="63"/>
        <v>FOB</v>
      </c>
      <c r="AH127" s="13" t="s">
        <v>127</v>
      </c>
      <c r="AI127" s="36" t="e">
        <f>#REF!</f>
        <v>#REF!</v>
      </c>
      <c r="AJ127" s="36">
        <v>0</v>
      </c>
      <c r="AK127" s="142">
        <f t="shared" si="53"/>
        <v>0</v>
      </c>
      <c r="AL127" s="47">
        <v>46097</v>
      </c>
      <c r="AM127" s="153">
        <v>46099</v>
      </c>
      <c r="AN127" s="63">
        <f t="shared" si="54"/>
        <v>0</v>
      </c>
      <c r="AO127" s="34" t="s">
        <v>65</v>
      </c>
      <c r="AP127" s="64">
        <f t="shared" si="60"/>
        <v>46099</v>
      </c>
      <c r="AQ127" s="64">
        <f t="shared" si="62"/>
        <v>46099</v>
      </c>
      <c r="AR127" s="65">
        <f t="shared" si="39"/>
        <v>15</v>
      </c>
      <c r="AS127" s="65">
        <f t="shared" si="40"/>
        <v>15</v>
      </c>
      <c r="AT127" s="157">
        <f t="shared" si="41"/>
        <v>0</v>
      </c>
      <c r="AU127" s="13"/>
      <c r="AV127" s="13" t="s">
        <v>59</v>
      </c>
      <c r="AW127" s="109">
        <f t="shared" si="61"/>
        <v>28490</v>
      </c>
      <c r="AX127" s="66">
        <f t="shared" si="55"/>
        <v>0</v>
      </c>
      <c r="AY127" s="66"/>
      <c r="AZ127" s="66">
        <f t="shared" si="56"/>
        <v>0</v>
      </c>
      <c r="BA127" s="67">
        <f t="shared" si="57"/>
        <v>0</v>
      </c>
    </row>
    <row r="128" spans="1:53" ht="21.6" customHeight="1" x14ac:dyDescent="0.3">
      <c r="A128" s="2" t="s">
        <v>157</v>
      </c>
      <c r="B128" s="3" t="s">
        <v>96</v>
      </c>
      <c r="C128" s="3" t="s">
        <v>78</v>
      </c>
      <c r="D128" s="3" t="s">
        <v>53</v>
      </c>
      <c r="E128" s="3">
        <v>4517068</v>
      </c>
      <c r="F128" s="3" t="s">
        <v>414</v>
      </c>
      <c r="G128" s="144">
        <v>381</v>
      </c>
      <c r="H128" s="394">
        <v>46085</v>
      </c>
      <c r="I128" s="50">
        <v>46132</v>
      </c>
      <c r="J128" s="15">
        <f t="shared" si="31"/>
        <v>47</v>
      </c>
      <c r="K128" s="3" t="s">
        <v>70</v>
      </c>
      <c r="L128" s="3" t="s">
        <v>56</v>
      </c>
      <c r="M128" s="3" t="s">
        <v>159</v>
      </c>
      <c r="N128" s="3" t="s">
        <v>160</v>
      </c>
      <c r="O128" s="3" t="s">
        <v>59</v>
      </c>
      <c r="P128" s="8">
        <v>5568.8</v>
      </c>
      <c r="Q128" s="44" t="s">
        <v>100</v>
      </c>
      <c r="R128" s="57">
        <f t="shared" si="52"/>
        <v>46085</v>
      </c>
      <c r="S128" s="13" t="s">
        <v>61</v>
      </c>
      <c r="T128" s="35">
        <v>46108</v>
      </c>
      <c r="U128" s="37">
        <v>46091</v>
      </c>
      <c r="V128" s="37">
        <f t="shared" si="58"/>
        <v>46132</v>
      </c>
      <c r="W128" s="59">
        <f t="shared" si="33"/>
        <v>47</v>
      </c>
      <c r="X128" s="59">
        <f t="shared" si="34"/>
        <v>6</v>
      </c>
      <c r="Y128" s="59">
        <f t="shared" si="35"/>
        <v>41</v>
      </c>
      <c r="Z128" s="39"/>
      <c r="AA128" s="4" t="s">
        <v>304</v>
      </c>
      <c r="AB128" s="35">
        <v>46092</v>
      </c>
      <c r="AC128" s="13">
        <v>5568.8</v>
      </c>
      <c r="AD128" s="13">
        <v>7407</v>
      </c>
      <c r="AE128" s="13" t="s">
        <v>63</v>
      </c>
      <c r="AF128" s="35">
        <v>46094</v>
      </c>
      <c r="AG128" s="3" t="str">
        <f t="shared" si="63"/>
        <v>CIF</v>
      </c>
      <c r="AH128" s="13" t="s">
        <v>312</v>
      </c>
      <c r="AI128" s="36" t="e">
        <f>#REF!</f>
        <v>#REF!</v>
      </c>
      <c r="AJ128" s="36">
        <v>165.26</v>
      </c>
      <c r="AK128" s="142">
        <f t="shared" si="53"/>
        <v>2.9676052291337449E-2</v>
      </c>
      <c r="AL128" s="47">
        <v>46112</v>
      </c>
      <c r="AM128" s="153">
        <v>46105</v>
      </c>
      <c r="AN128" s="63">
        <f t="shared" si="54"/>
        <v>11</v>
      </c>
      <c r="AO128" s="34" t="s">
        <v>65</v>
      </c>
      <c r="AP128" s="64">
        <f t="shared" si="60"/>
        <v>46132</v>
      </c>
      <c r="AQ128" s="64">
        <f t="shared" si="62"/>
        <v>46105</v>
      </c>
      <c r="AR128" s="65">
        <f t="shared" si="39"/>
        <v>47</v>
      </c>
      <c r="AS128" s="65">
        <f t="shared" si="40"/>
        <v>20</v>
      </c>
      <c r="AT128" s="157">
        <f t="shared" si="41"/>
        <v>27</v>
      </c>
      <c r="AU128" s="13"/>
      <c r="AV128" s="13" t="s">
        <v>59</v>
      </c>
      <c r="AW128" s="109">
        <f t="shared" si="61"/>
        <v>5568.8</v>
      </c>
      <c r="AX128" s="66">
        <f t="shared" si="55"/>
        <v>0</v>
      </c>
      <c r="AY128" s="66"/>
      <c r="AZ128" s="66">
        <f t="shared" si="56"/>
        <v>165.26</v>
      </c>
      <c r="BA128" s="67">
        <f t="shared" si="57"/>
        <v>165.26</v>
      </c>
    </row>
    <row r="129" spans="1:53" ht="21.6" customHeight="1" x14ac:dyDescent="0.3">
      <c r="A129" s="2" t="s">
        <v>90</v>
      </c>
      <c r="B129" s="3" t="s">
        <v>91</v>
      </c>
      <c r="C129" s="3" t="s">
        <v>78</v>
      </c>
      <c r="D129" s="3" t="s">
        <v>53</v>
      </c>
      <c r="E129" s="3">
        <v>4412675039</v>
      </c>
      <c r="F129" s="3" t="s">
        <v>53</v>
      </c>
      <c r="G129" s="144">
        <v>382</v>
      </c>
      <c r="H129" s="394">
        <v>46085</v>
      </c>
      <c r="I129" s="50">
        <v>46101</v>
      </c>
      <c r="J129" s="15">
        <f t="shared" si="31"/>
        <v>16</v>
      </c>
      <c r="K129" s="3" t="s">
        <v>70</v>
      </c>
      <c r="L129" s="3" t="s">
        <v>56</v>
      </c>
      <c r="M129" s="3" t="s">
        <v>92</v>
      </c>
      <c r="N129" s="3" t="s">
        <v>93</v>
      </c>
      <c r="O129" s="3" t="s">
        <v>59</v>
      </c>
      <c r="P129" s="8">
        <v>298.8</v>
      </c>
      <c r="Q129" s="44" t="s">
        <v>100</v>
      </c>
      <c r="R129" s="57">
        <f t="shared" si="52"/>
        <v>46085</v>
      </c>
      <c r="S129" s="13" t="s">
        <v>61</v>
      </c>
      <c r="T129" s="35">
        <v>46108</v>
      </c>
      <c r="U129" s="37">
        <v>46101</v>
      </c>
      <c r="V129" s="37">
        <f t="shared" si="58"/>
        <v>46101</v>
      </c>
      <c r="W129" s="59">
        <f t="shared" si="33"/>
        <v>16</v>
      </c>
      <c r="X129" s="59">
        <f t="shared" si="34"/>
        <v>16</v>
      </c>
      <c r="Y129" s="59">
        <f t="shared" si="35"/>
        <v>0</v>
      </c>
      <c r="Z129" s="39"/>
      <c r="AA129" s="4" t="s">
        <v>388</v>
      </c>
      <c r="AB129" s="35">
        <v>46101</v>
      </c>
      <c r="AC129" s="13">
        <v>298.8</v>
      </c>
      <c r="AD129" s="13">
        <v>7434</v>
      </c>
      <c r="AE129" s="13" t="s">
        <v>63</v>
      </c>
      <c r="AF129" s="35">
        <v>46101</v>
      </c>
      <c r="AG129" s="3" t="str">
        <f t="shared" si="63"/>
        <v>CIF</v>
      </c>
      <c r="AH129" s="13" t="s">
        <v>64</v>
      </c>
      <c r="AI129" s="36" t="e">
        <f>#REF!</f>
        <v>#REF!</v>
      </c>
      <c r="AJ129" s="36">
        <v>0</v>
      </c>
      <c r="AK129" s="142">
        <f t="shared" si="53"/>
        <v>0</v>
      </c>
      <c r="AL129" s="47">
        <v>46101</v>
      </c>
      <c r="AM129" s="153">
        <v>46101</v>
      </c>
      <c r="AN129" s="63">
        <f t="shared" si="54"/>
        <v>0</v>
      </c>
      <c r="AO129" s="34" t="s">
        <v>65</v>
      </c>
      <c r="AP129" s="64">
        <f t="shared" si="60"/>
        <v>46101</v>
      </c>
      <c r="AQ129" s="64">
        <f t="shared" si="62"/>
        <v>46101</v>
      </c>
      <c r="AR129" s="65">
        <f t="shared" si="39"/>
        <v>16</v>
      </c>
      <c r="AS129" s="65">
        <f t="shared" si="40"/>
        <v>16</v>
      </c>
      <c r="AT129" s="157">
        <f t="shared" si="41"/>
        <v>0</v>
      </c>
      <c r="AU129" s="13"/>
      <c r="AV129" s="13" t="s">
        <v>59</v>
      </c>
      <c r="AW129" s="109">
        <f t="shared" si="61"/>
        <v>298.8</v>
      </c>
      <c r="AX129" s="66">
        <f t="shared" si="55"/>
        <v>0</v>
      </c>
      <c r="AY129" s="66"/>
      <c r="AZ129" s="66">
        <f t="shared" si="56"/>
        <v>0</v>
      </c>
      <c r="BA129" s="67">
        <f t="shared" si="57"/>
        <v>0</v>
      </c>
    </row>
    <row r="130" spans="1:53" ht="21.6" customHeight="1" x14ac:dyDescent="0.3">
      <c r="A130" s="2" t="s">
        <v>307</v>
      </c>
      <c r="B130" s="3" t="s">
        <v>91</v>
      </c>
      <c r="C130" s="3" t="s">
        <v>52</v>
      </c>
      <c r="D130" s="3" t="s">
        <v>53</v>
      </c>
      <c r="E130" s="3">
        <v>4501928332</v>
      </c>
      <c r="F130" s="3" t="s">
        <v>415</v>
      </c>
      <c r="G130" s="144">
        <v>384</v>
      </c>
      <c r="H130" s="394">
        <v>46085</v>
      </c>
      <c r="I130" s="50">
        <v>46116</v>
      </c>
      <c r="J130" s="15">
        <f t="shared" ref="J130:J193" si="64">I130-H130</f>
        <v>31</v>
      </c>
      <c r="K130" s="3" t="s">
        <v>70</v>
      </c>
      <c r="L130" s="3" t="s">
        <v>56</v>
      </c>
      <c r="M130" s="15" t="s">
        <v>92</v>
      </c>
      <c r="N130" s="3" t="s">
        <v>227</v>
      </c>
      <c r="O130" s="3" t="s">
        <v>59</v>
      </c>
      <c r="P130" s="8">
        <v>166220.6</v>
      </c>
      <c r="Q130" s="44" t="s">
        <v>100</v>
      </c>
      <c r="R130" s="57">
        <f t="shared" ref="R130:R152" si="65">H130</f>
        <v>46085</v>
      </c>
      <c r="S130" s="13" t="s">
        <v>61</v>
      </c>
      <c r="T130" s="35">
        <v>46108</v>
      </c>
      <c r="U130" s="37">
        <v>46112</v>
      </c>
      <c r="V130" s="37">
        <f t="shared" si="58"/>
        <v>46116</v>
      </c>
      <c r="W130" s="59">
        <f t="shared" ref="W130:W193" si="66">V130-R130</f>
        <v>31</v>
      </c>
      <c r="X130" s="59">
        <f t="shared" ref="X130:X193" si="67">U130-R130</f>
        <v>27</v>
      </c>
      <c r="Y130" s="59">
        <f t="shared" ref="Y130:Y193" si="68">W130-X130</f>
        <v>4</v>
      </c>
      <c r="Z130" s="39"/>
      <c r="AA130" s="4" t="s">
        <v>379</v>
      </c>
      <c r="AB130" s="35">
        <v>46111</v>
      </c>
      <c r="AC130" s="13">
        <v>101795.75</v>
      </c>
      <c r="AD130" s="13">
        <v>7468</v>
      </c>
      <c r="AE130" s="13" t="s">
        <v>63</v>
      </c>
      <c r="AF130" s="35">
        <v>46099</v>
      </c>
      <c r="AG130" s="3" t="str">
        <f t="shared" si="63"/>
        <v>CIF</v>
      </c>
      <c r="AH130" s="13" t="s">
        <v>64</v>
      </c>
      <c r="AI130" s="36" t="e">
        <f>#REF!</f>
        <v>#REF!</v>
      </c>
      <c r="AJ130" s="36">
        <v>0</v>
      </c>
      <c r="AK130" s="142">
        <f t="shared" ref="AK130:AK161" si="69">AJ130/AC130</f>
        <v>0</v>
      </c>
      <c r="AL130" s="47">
        <v>46113</v>
      </c>
      <c r="AM130" s="153">
        <v>46113</v>
      </c>
      <c r="AN130" s="63">
        <f t="shared" ref="AN130:AN161" si="70">AM130-AF130</f>
        <v>14</v>
      </c>
      <c r="AO130" s="34" t="s">
        <v>65</v>
      </c>
      <c r="AP130" s="64">
        <f t="shared" si="60"/>
        <v>46116</v>
      </c>
      <c r="AQ130" s="64">
        <f t="shared" si="62"/>
        <v>46113</v>
      </c>
      <c r="AR130" s="65">
        <f t="shared" ref="AR130:AR193" si="71">AP130-H130</f>
        <v>31</v>
      </c>
      <c r="AS130" s="65">
        <f t="shared" ref="AS130:AS193" si="72">AM130-H130</f>
        <v>28</v>
      </c>
      <c r="AT130" s="157">
        <f t="shared" ref="AT130:AT193" si="73">AR130-AS130</f>
        <v>3</v>
      </c>
      <c r="AU130" s="13"/>
      <c r="AV130" s="13"/>
      <c r="AW130" s="109">
        <f t="shared" si="61"/>
        <v>101795.75</v>
      </c>
      <c r="AX130" s="66">
        <f t="shared" ref="AX130:AX161" si="74">Z130</f>
        <v>0</v>
      </c>
      <c r="AY130" s="66"/>
      <c r="AZ130" s="66">
        <f t="shared" ref="AZ130:AZ161" si="75">AJ130</f>
        <v>0</v>
      </c>
      <c r="BA130" s="67">
        <f t="shared" ref="BA130:BA161" si="76">AX130+AZ130</f>
        <v>0</v>
      </c>
    </row>
    <row r="131" spans="1:53" ht="21.6" customHeight="1" x14ac:dyDescent="0.3">
      <c r="A131" s="2" t="s">
        <v>416</v>
      </c>
      <c r="B131" s="15" t="s">
        <v>67</v>
      </c>
      <c r="C131" s="3" t="s">
        <v>78</v>
      </c>
      <c r="D131" s="3" t="s">
        <v>53</v>
      </c>
      <c r="E131" s="3">
        <v>65</v>
      </c>
      <c r="F131" s="3" t="s">
        <v>417</v>
      </c>
      <c r="G131" s="144">
        <v>388</v>
      </c>
      <c r="H131" s="394">
        <v>46087</v>
      </c>
      <c r="I131" s="50">
        <v>46173</v>
      </c>
      <c r="J131" s="15">
        <f t="shared" si="64"/>
        <v>86</v>
      </c>
      <c r="K131" s="3" t="s">
        <v>55</v>
      </c>
      <c r="L131" s="3" t="s">
        <v>113</v>
      </c>
      <c r="M131" s="15" t="s">
        <v>72</v>
      </c>
      <c r="N131" s="3" t="s">
        <v>418</v>
      </c>
      <c r="O131" s="3" t="s">
        <v>59</v>
      </c>
      <c r="P131" s="8">
        <v>202571.59</v>
      </c>
      <c r="Q131" s="44" t="s">
        <v>60</v>
      </c>
      <c r="R131" s="57">
        <f t="shared" si="65"/>
        <v>46087</v>
      </c>
      <c r="S131" s="13" t="s">
        <v>61</v>
      </c>
      <c r="T131" s="35">
        <v>46112</v>
      </c>
      <c r="U131" s="37">
        <v>46114</v>
      </c>
      <c r="V131" s="37">
        <f t="shared" si="58"/>
        <v>46173</v>
      </c>
      <c r="W131" s="59">
        <f t="shared" si="66"/>
        <v>86</v>
      </c>
      <c r="X131" s="59">
        <f t="shared" si="67"/>
        <v>27</v>
      </c>
      <c r="Y131" s="59">
        <f t="shared" si="68"/>
        <v>59</v>
      </c>
      <c r="Z131" s="39"/>
      <c r="AA131" s="4" t="s">
        <v>379</v>
      </c>
      <c r="AB131" s="35">
        <v>46112</v>
      </c>
      <c r="AC131" s="352">
        <v>202571.59</v>
      </c>
      <c r="AD131" s="13">
        <v>7472</v>
      </c>
      <c r="AE131" s="13" t="s">
        <v>63</v>
      </c>
      <c r="AF131" s="35">
        <v>46120</v>
      </c>
      <c r="AG131" s="3" t="str">
        <f t="shared" si="63"/>
        <v>FOB</v>
      </c>
      <c r="AH131" s="13" t="s">
        <v>419</v>
      </c>
      <c r="AI131" s="36" t="e">
        <f>#REF!</f>
        <v>#REF!</v>
      </c>
      <c r="AJ131" s="36">
        <v>0</v>
      </c>
      <c r="AK131" s="142">
        <f t="shared" si="69"/>
        <v>0</v>
      </c>
      <c r="AL131" s="47">
        <v>46113</v>
      </c>
      <c r="AM131" s="153">
        <v>46120</v>
      </c>
      <c r="AN131" s="63">
        <f t="shared" si="70"/>
        <v>0</v>
      </c>
      <c r="AO131" s="34" t="s">
        <v>65</v>
      </c>
      <c r="AP131" s="64">
        <f t="shared" si="60"/>
        <v>46173</v>
      </c>
      <c r="AQ131" s="64">
        <f t="shared" si="62"/>
        <v>46120</v>
      </c>
      <c r="AR131" s="65">
        <f t="shared" si="71"/>
        <v>86</v>
      </c>
      <c r="AS131" s="65">
        <f t="shared" si="72"/>
        <v>33</v>
      </c>
      <c r="AT131" s="157">
        <f t="shared" si="73"/>
        <v>53</v>
      </c>
      <c r="AU131" s="13"/>
      <c r="AV131" s="13"/>
      <c r="AW131" s="109">
        <f t="shared" si="61"/>
        <v>202571.59</v>
      </c>
      <c r="AX131" s="66">
        <f t="shared" si="74"/>
        <v>0</v>
      </c>
      <c r="AY131" s="66"/>
      <c r="AZ131" s="66">
        <f t="shared" si="75"/>
        <v>0</v>
      </c>
      <c r="BA131" s="67">
        <f t="shared" si="76"/>
        <v>0</v>
      </c>
    </row>
    <row r="132" spans="1:53" ht="21.6" customHeight="1" x14ac:dyDescent="0.3">
      <c r="A132" s="2" t="s">
        <v>420</v>
      </c>
      <c r="B132" s="15" t="s">
        <v>51</v>
      </c>
      <c r="C132" s="3" t="s">
        <v>78</v>
      </c>
      <c r="D132" s="3" t="s">
        <v>53</v>
      </c>
      <c r="E132" s="3" t="s">
        <v>53</v>
      </c>
      <c r="F132" s="3" t="s">
        <v>421</v>
      </c>
      <c r="G132" s="144">
        <v>391</v>
      </c>
      <c r="H132" s="394">
        <v>46090</v>
      </c>
      <c r="I132" s="50">
        <v>46097</v>
      </c>
      <c r="J132" s="15">
        <f t="shared" si="64"/>
        <v>7</v>
      </c>
      <c r="K132" s="3" t="s">
        <v>55</v>
      </c>
      <c r="L132" s="3" t="s">
        <v>56</v>
      </c>
      <c r="M132" s="15" t="s">
        <v>57</v>
      </c>
      <c r="N132" s="3"/>
      <c r="O132" s="3" t="s">
        <v>59</v>
      </c>
      <c r="P132" s="8">
        <v>7731.04</v>
      </c>
      <c r="Q132" s="44" t="s">
        <v>60</v>
      </c>
      <c r="R132" s="57">
        <f t="shared" si="65"/>
        <v>46090</v>
      </c>
      <c r="S132" s="13" t="s">
        <v>61</v>
      </c>
      <c r="T132" s="35">
        <v>46108</v>
      </c>
      <c r="U132" s="37">
        <v>46097</v>
      </c>
      <c r="V132" s="37">
        <f t="shared" si="58"/>
        <v>46097</v>
      </c>
      <c r="W132" s="59">
        <f t="shared" si="66"/>
        <v>7</v>
      </c>
      <c r="X132" s="59">
        <f t="shared" si="67"/>
        <v>7</v>
      </c>
      <c r="Y132" s="59">
        <f t="shared" si="68"/>
        <v>0</v>
      </c>
      <c r="Z132" s="39"/>
      <c r="AA132" s="4" t="s">
        <v>388</v>
      </c>
      <c r="AB132" s="35">
        <v>46097</v>
      </c>
      <c r="AC132" s="13">
        <v>7731.04</v>
      </c>
      <c r="AD132" s="13">
        <v>7417</v>
      </c>
      <c r="AE132" s="13" t="s">
        <v>63</v>
      </c>
      <c r="AF132" s="35">
        <v>46106</v>
      </c>
      <c r="AG132" s="3" t="str">
        <f t="shared" si="63"/>
        <v>FOB</v>
      </c>
      <c r="AH132" s="13" t="s">
        <v>127</v>
      </c>
      <c r="AI132" s="36" t="e">
        <f>#REF!</f>
        <v>#REF!</v>
      </c>
      <c r="AJ132" s="36">
        <v>0</v>
      </c>
      <c r="AK132" s="142">
        <f t="shared" si="69"/>
        <v>0</v>
      </c>
      <c r="AL132" s="47">
        <v>46097</v>
      </c>
      <c r="AM132" s="153">
        <v>46097</v>
      </c>
      <c r="AN132" s="63">
        <f t="shared" si="70"/>
        <v>-9</v>
      </c>
      <c r="AO132" s="34" t="s">
        <v>65</v>
      </c>
      <c r="AP132" s="64">
        <f t="shared" si="60"/>
        <v>46097</v>
      </c>
      <c r="AQ132" s="64">
        <f t="shared" si="62"/>
        <v>46097</v>
      </c>
      <c r="AR132" s="65">
        <f t="shared" si="71"/>
        <v>7</v>
      </c>
      <c r="AS132" s="65">
        <f t="shared" si="72"/>
        <v>7</v>
      </c>
      <c r="AT132" s="157">
        <f t="shared" si="73"/>
        <v>0</v>
      </c>
      <c r="AU132" s="13"/>
      <c r="AV132" s="13" t="s">
        <v>59</v>
      </c>
      <c r="AW132" s="109">
        <f t="shared" si="61"/>
        <v>7731.04</v>
      </c>
      <c r="AX132" s="66">
        <f t="shared" si="74"/>
        <v>0</v>
      </c>
      <c r="AY132" s="66"/>
      <c r="AZ132" s="66">
        <f t="shared" si="75"/>
        <v>0</v>
      </c>
      <c r="BA132" s="67">
        <f t="shared" si="76"/>
        <v>0</v>
      </c>
    </row>
    <row r="133" spans="1:53" ht="21.6" customHeight="1" x14ac:dyDescent="0.3">
      <c r="A133" s="2" t="s">
        <v>307</v>
      </c>
      <c r="B133" s="15" t="s">
        <v>51</v>
      </c>
      <c r="C133" s="3" t="s">
        <v>78</v>
      </c>
      <c r="D133" s="3" t="s">
        <v>53</v>
      </c>
      <c r="E133" s="3">
        <v>4501927943</v>
      </c>
      <c r="F133" s="3" t="s">
        <v>53</v>
      </c>
      <c r="G133" s="144">
        <v>392</v>
      </c>
      <c r="H133" s="394">
        <v>46090</v>
      </c>
      <c r="I133" s="50">
        <v>46138</v>
      </c>
      <c r="J133" s="15">
        <f t="shared" si="64"/>
        <v>48</v>
      </c>
      <c r="K133" s="3" t="s">
        <v>70</v>
      </c>
      <c r="L133" s="3" t="s">
        <v>56</v>
      </c>
      <c r="M133" s="15" t="s">
        <v>57</v>
      </c>
      <c r="N133" s="3" t="s">
        <v>197</v>
      </c>
      <c r="O133" s="3" t="s">
        <v>59</v>
      </c>
      <c r="P133" s="8">
        <v>8165.49</v>
      </c>
      <c r="Q133" s="44" t="s">
        <v>100</v>
      </c>
      <c r="R133" s="57">
        <f t="shared" si="65"/>
        <v>46090</v>
      </c>
      <c r="S133" s="13" t="s">
        <v>61</v>
      </c>
      <c r="T133" s="35">
        <v>46108</v>
      </c>
      <c r="U133" s="37">
        <v>46104</v>
      </c>
      <c r="V133" s="37">
        <f t="shared" si="58"/>
        <v>46138</v>
      </c>
      <c r="W133" s="59">
        <f t="shared" si="66"/>
        <v>48</v>
      </c>
      <c r="X133" s="59">
        <f t="shared" si="67"/>
        <v>14</v>
      </c>
      <c r="Y133" s="59">
        <f t="shared" si="68"/>
        <v>34</v>
      </c>
      <c r="Z133" s="39"/>
      <c r="AA133" s="4" t="s">
        <v>388</v>
      </c>
      <c r="AB133" s="35">
        <v>46106</v>
      </c>
      <c r="AC133" s="13">
        <v>8165.49</v>
      </c>
      <c r="AD133" s="13">
        <v>7452</v>
      </c>
      <c r="AE133" s="13" t="s">
        <v>63</v>
      </c>
      <c r="AF133" s="35">
        <v>46119</v>
      </c>
      <c r="AG133" s="3" t="str">
        <f t="shared" si="63"/>
        <v>CIF</v>
      </c>
      <c r="AH133" s="13" t="s">
        <v>64</v>
      </c>
      <c r="AI133" s="36" t="e">
        <f>#REF!</f>
        <v>#REF!</v>
      </c>
      <c r="AJ133" s="36">
        <v>0</v>
      </c>
      <c r="AK133" s="142">
        <f t="shared" si="69"/>
        <v>0</v>
      </c>
      <c r="AL133" s="47">
        <v>46119</v>
      </c>
      <c r="AM133" s="153">
        <v>46119</v>
      </c>
      <c r="AN133" s="63">
        <f t="shared" si="70"/>
        <v>0</v>
      </c>
      <c r="AO133" s="34" t="s">
        <v>65</v>
      </c>
      <c r="AP133" s="64">
        <f t="shared" si="60"/>
        <v>46138</v>
      </c>
      <c r="AQ133" s="64">
        <f t="shared" si="62"/>
        <v>46119</v>
      </c>
      <c r="AR133" s="65">
        <f t="shared" si="71"/>
        <v>48</v>
      </c>
      <c r="AS133" s="65">
        <f t="shared" si="72"/>
        <v>29</v>
      </c>
      <c r="AT133" s="157">
        <f t="shared" si="73"/>
        <v>19</v>
      </c>
      <c r="AU133" s="13"/>
      <c r="AV133" s="13"/>
      <c r="AW133" s="109">
        <f t="shared" si="61"/>
        <v>8165.49</v>
      </c>
      <c r="AX133" s="66">
        <f t="shared" si="74"/>
        <v>0</v>
      </c>
      <c r="AY133" s="66"/>
      <c r="AZ133" s="66">
        <f t="shared" si="75"/>
        <v>0</v>
      </c>
      <c r="BA133" s="67">
        <f t="shared" si="76"/>
        <v>0</v>
      </c>
    </row>
    <row r="134" spans="1:53" ht="21.6" customHeight="1" x14ac:dyDescent="0.3">
      <c r="A134" s="2" t="s">
        <v>307</v>
      </c>
      <c r="B134" s="3" t="s">
        <v>51</v>
      </c>
      <c r="C134" s="3" t="s">
        <v>78</v>
      </c>
      <c r="D134" s="3" t="s">
        <v>53</v>
      </c>
      <c r="E134" s="3">
        <v>4501927974</v>
      </c>
      <c r="F134" s="3"/>
      <c r="G134" s="144">
        <v>393</v>
      </c>
      <c r="H134" s="394">
        <v>46090</v>
      </c>
      <c r="I134" s="50">
        <v>46132</v>
      </c>
      <c r="J134" s="15">
        <f t="shared" si="64"/>
        <v>42</v>
      </c>
      <c r="K134" s="3" t="s">
        <v>70</v>
      </c>
      <c r="L134" s="3" t="s">
        <v>56</v>
      </c>
      <c r="M134" s="3" t="s">
        <v>57</v>
      </c>
      <c r="N134" s="3" t="s">
        <v>422</v>
      </c>
      <c r="O134" s="3" t="s">
        <v>59</v>
      </c>
      <c r="P134" s="8">
        <v>18676.88</v>
      </c>
      <c r="Q134" s="44" t="s">
        <v>100</v>
      </c>
      <c r="R134" s="57">
        <f t="shared" si="65"/>
        <v>46090</v>
      </c>
      <c r="S134" s="13" t="s">
        <v>61</v>
      </c>
      <c r="T134" s="35">
        <v>46108</v>
      </c>
      <c r="U134" s="37">
        <v>46106</v>
      </c>
      <c r="V134" s="37">
        <f t="shared" si="58"/>
        <v>46132</v>
      </c>
      <c r="W134" s="59">
        <f t="shared" si="66"/>
        <v>42</v>
      </c>
      <c r="X134" s="59">
        <f t="shared" si="67"/>
        <v>16</v>
      </c>
      <c r="Y134" s="59">
        <f t="shared" si="68"/>
        <v>26</v>
      </c>
      <c r="Z134" s="39"/>
      <c r="AA134" s="4" t="s">
        <v>379</v>
      </c>
      <c r="AB134" s="35">
        <v>46108</v>
      </c>
      <c r="AC134" s="13">
        <v>18676.88</v>
      </c>
      <c r="AD134" s="13">
        <v>7463</v>
      </c>
      <c r="AE134" s="13" t="s">
        <v>63</v>
      </c>
      <c r="AF134" s="35">
        <v>46119</v>
      </c>
      <c r="AG134" s="3" t="str">
        <f t="shared" si="63"/>
        <v>CIF</v>
      </c>
      <c r="AH134" s="13" t="s">
        <v>64</v>
      </c>
      <c r="AI134" s="36" t="e">
        <f>#REF!</f>
        <v>#REF!</v>
      </c>
      <c r="AJ134" s="36">
        <v>0</v>
      </c>
      <c r="AK134" s="142">
        <f t="shared" si="69"/>
        <v>0</v>
      </c>
      <c r="AL134" s="47">
        <v>46119</v>
      </c>
      <c r="AM134" s="153">
        <v>46119</v>
      </c>
      <c r="AN134" s="63">
        <f t="shared" si="70"/>
        <v>0</v>
      </c>
      <c r="AO134" s="34" t="s">
        <v>65</v>
      </c>
      <c r="AP134" s="64">
        <f t="shared" si="60"/>
        <v>46132</v>
      </c>
      <c r="AQ134" s="64">
        <f t="shared" si="62"/>
        <v>46119</v>
      </c>
      <c r="AR134" s="65">
        <f t="shared" si="71"/>
        <v>42</v>
      </c>
      <c r="AS134" s="65">
        <f t="shared" si="72"/>
        <v>29</v>
      </c>
      <c r="AT134" s="157">
        <f t="shared" si="73"/>
        <v>13</v>
      </c>
      <c r="AU134" s="13"/>
      <c r="AV134" s="13"/>
      <c r="AW134" s="109">
        <f t="shared" si="61"/>
        <v>18676.88</v>
      </c>
      <c r="AX134" s="66">
        <f t="shared" si="74"/>
        <v>0</v>
      </c>
      <c r="AY134" s="66"/>
      <c r="AZ134" s="66">
        <f t="shared" si="75"/>
        <v>0</v>
      </c>
      <c r="BA134" s="67">
        <f t="shared" si="76"/>
        <v>0</v>
      </c>
    </row>
    <row r="135" spans="1:53" ht="21.6" customHeight="1" x14ac:dyDescent="0.3">
      <c r="A135" s="2" t="s">
        <v>356</v>
      </c>
      <c r="B135" s="15" t="s">
        <v>171</v>
      </c>
      <c r="C135" s="3" t="s">
        <v>52</v>
      </c>
      <c r="D135" s="3" t="s">
        <v>53</v>
      </c>
      <c r="E135" s="3" t="s">
        <v>423</v>
      </c>
      <c r="F135" s="3" t="s">
        <v>424</v>
      </c>
      <c r="G135" s="144">
        <v>396</v>
      </c>
      <c r="H135" s="394">
        <v>46091</v>
      </c>
      <c r="I135" s="50">
        <v>46121</v>
      </c>
      <c r="J135" s="15">
        <f t="shared" si="64"/>
        <v>30</v>
      </c>
      <c r="K135" s="3" t="s">
        <v>70</v>
      </c>
      <c r="L135" s="3" t="s">
        <v>56</v>
      </c>
      <c r="M135" s="15" t="s">
        <v>173</v>
      </c>
      <c r="N135" s="3" t="s">
        <v>425</v>
      </c>
      <c r="O135" s="3" t="s">
        <v>59</v>
      </c>
      <c r="P135" s="166">
        <v>6462.87</v>
      </c>
      <c r="Q135" s="44" t="s">
        <v>100</v>
      </c>
      <c r="R135" s="57">
        <f t="shared" si="65"/>
        <v>46091</v>
      </c>
      <c r="S135" s="13" t="s">
        <v>61</v>
      </c>
      <c r="T135" s="35">
        <v>46108</v>
      </c>
      <c r="U135" s="37">
        <v>46108</v>
      </c>
      <c r="V135" s="37">
        <f t="shared" si="58"/>
        <v>46121</v>
      </c>
      <c r="W135" s="59">
        <f t="shared" si="66"/>
        <v>30</v>
      </c>
      <c r="X135" s="59">
        <f t="shared" si="67"/>
        <v>17</v>
      </c>
      <c r="Y135" s="59">
        <f t="shared" si="68"/>
        <v>13</v>
      </c>
      <c r="Z135" s="39"/>
      <c r="AA135" s="4" t="s">
        <v>379</v>
      </c>
      <c r="AB135" s="35">
        <v>46114</v>
      </c>
      <c r="AC135" s="13">
        <v>6462.87</v>
      </c>
      <c r="AD135" s="13">
        <v>7487</v>
      </c>
      <c r="AE135" s="13" t="s">
        <v>63</v>
      </c>
      <c r="AF135" s="35">
        <v>46114</v>
      </c>
      <c r="AG135" s="3" t="str">
        <f t="shared" si="63"/>
        <v>CIF</v>
      </c>
      <c r="AH135" s="13" t="s">
        <v>312</v>
      </c>
      <c r="AI135" s="36" t="e">
        <f>#REF!</f>
        <v>#REF!</v>
      </c>
      <c r="AJ135" s="36">
        <v>453.07</v>
      </c>
      <c r="AK135" s="142">
        <f t="shared" si="69"/>
        <v>7.0103529855930879E-2</v>
      </c>
      <c r="AL135" s="47">
        <v>46128</v>
      </c>
      <c r="AM135" s="153">
        <v>46134</v>
      </c>
      <c r="AN135" s="63">
        <f t="shared" si="70"/>
        <v>20</v>
      </c>
      <c r="AO135" s="34" t="s">
        <v>103</v>
      </c>
      <c r="AP135" s="64">
        <v>46121</v>
      </c>
      <c r="AQ135" s="64">
        <f t="shared" si="62"/>
        <v>46134</v>
      </c>
      <c r="AR135" s="65">
        <f t="shared" si="71"/>
        <v>30</v>
      </c>
      <c r="AS135" s="65">
        <f t="shared" si="72"/>
        <v>43</v>
      </c>
      <c r="AT135" s="157">
        <f t="shared" si="73"/>
        <v>-13</v>
      </c>
      <c r="AU135" s="13" t="s">
        <v>426</v>
      </c>
      <c r="AV135" s="13" t="s">
        <v>116</v>
      </c>
      <c r="AW135" s="109">
        <f t="shared" si="61"/>
        <v>6462.87</v>
      </c>
      <c r="AX135" s="66">
        <f t="shared" si="74"/>
        <v>0</v>
      </c>
      <c r="AY135" s="66"/>
      <c r="AZ135" s="66">
        <f t="shared" si="75"/>
        <v>453.07</v>
      </c>
      <c r="BA135" s="67">
        <f t="shared" si="76"/>
        <v>453.07</v>
      </c>
    </row>
    <row r="136" spans="1:53" ht="21.6" customHeight="1" x14ac:dyDescent="0.3">
      <c r="A136" s="2" t="s">
        <v>202</v>
      </c>
      <c r="B136" s="15" t="s">
        <v>51</v>
      </c>
      <c r="C136" s="3" t="s">
        <v>78</v>
      </c>
      <c r="D136" s="3" t="s">
        <v>53</v>
      </c>
      <c r="E136" s="3">
        <v>1898</v>
      </c>
      <c r="F136" s="3" t="s">
        <v>427</v>
      </c>
      <c r="G136" s="144">
        <v>397</v>
      </c>
      <c r="H136" s="394">
        <v>46091</v>
      </c>
      <c r="I136" s="50">
        <v>46121</v>
      </c>
      <c r="J136" s="15">
        <f t="shared" si="64"/>
        <v>30</v>
      </c>
      <c r="K136" s="3" t="s">
        <v>55</v>
      </c>
      <c r="L136" s="3" t="s">
        <v>56</v>
      </c>
      <c r="M136" s="15" t="s">
        <v>57</v>
      </c>
      <c r="N136" s="3" t="s">
        <v>315</v>
      </c>
      <c r="O136" s="3" t="s">
        <v>59</v>
      </c>
      <c r="P136" s="166">
        <v>1503.48</v>
      </c>
      <c r="Q136" s="44" t="s">
        <v>100</v>
      </c>
      <c r="R136" s="57">
        <f t="shared" si="65"/>
        <v>46091</v>
      </c>
      <c r="S136" s="13" t="s">
        <v>61</v>
      </c>
      <c r="T136" s="35">
        <v>46108</v>
      </c>
      <c r="U136" s="37">
        <v>46098</v>
      </c>
      <c r="V136" s="37">
        <f t="shared" si="58"/>
        <v>46121</v>
      </c>
      <c r="W136" s="59">
        <f t="shared" si="66"/>
        <v>30</v>
      </c>
      <c r="X136" s="59">
        <f t="shared" si="67"/>
        <v>7</v>
      </c>
      <c r="Y136" s="59">
        <f t="shared" si="68"/>
        <v>23</v>
      </c>
      <c r="Z136" s="39"/>
      <c r="AA136" s="4" t="s">
        <v>388</v>
      </c>
      <c r="AB136" s="35">
        <v>46099</v>
      </c>
      <c r="AC136" s="13">
        <v>1503.48</v>
      </c>
      <c r="AD136" s="13">
        <v>7427</v>
      </c>
      <c r="AE136" s="13" t="s">
        <v>63</v>
      </c>
      <c r="AF136" s="35">
        <v>46106</v>
      </c>
      <c r="AG136" s="3" t="str">
        <f t="shared" si="63"/>
        <v>FOB</v>
      </c>
      <c r="AH136" s="13" t="s">
        <v>127</v>
      </c>
      <c r="AI136" s="36" t="e">
        <f>#REF!</f>
        <v>#REF!</v>
      </c>
      <c r="AJ136" s="36">
        <v>0</v>
      </c>
      <c r="AK136" s="142">
        <f t="shared" si="69"/>
        <v>0</v>
      </c>
      <c r="AL136" s="47">
        <v>46099</v>
      </c>
      <c r="AM136" s="153">
        <v>46099</v>
      </c>
      <c r="AN136" s="63">
        <f t="shared" si="70"/>
        <v>-7</v>
      </c>
      <c r="AO136" s="34" t="s">
        <v>65</v>
      </c>
      <c r="AP136" s="64">
        <f t="shared" ref="AP136:AP167" si="77">I136</f>
        <v>46121</v>
      </c>
      <c r="AQ136" s="64">
        <f t="shared" si="62"/>
        <v>46099</v>
      </c>
      <c r="AR136" s="65">
        <f t="shared" si="71"/>
        <v>30</v>
      </c>
      <c r="AS136" s="65">
        <f t="shared" si="72"/>
        <v>8</v>
      </c>
      <c r="AT136" s="157">
        <f t="shared" si="73"/>
        <v>22</v>
      </c>
      <c r="AU136" s="13"/>
      <c r="AV136" s="13" t="s">
        <v>59</v>
      </c>
      <c r="AW136" s="109">
        <f t="shared" si="61"/>
        <v>1503.48</v>
      </c>
      <c r="AX136" s="66">
        <f t="shared" si="74"/>
        <v>0</v>
      </c>
      <c r="AY136" s="66"/>
      <c r="AZ136" s="66">
        <f t="shared" si="75"/>
        <v>0</v>
      </c>
      <c r="BA136" s="67">
        <f t="shared" si="76"/>
        <v>0</v>
      </c>
    </row>
    <row r="137" spans="1:53" ht="21.6" customHeight="1" x14ac:dyDescent="0.3">
      <c r="A137" s="2" t="s">
        <v>181</v>
      </c>
      <c r="B137" s="3" t="s">
        <v>51</v>
      </c>
      <c r="C137" s="3" t="s">
        <v>78</v>
      </c>
      <c r="D137" s="3" t="s">
        <v>53</v>
      </c>
      <c r="E137" s="3">
        <v>123028844</v>
      </c>
      <c r="F137" s="3" t="s">
        <v>428</v>
      </c>
      <c r="G137" s="144">
        <v>398</v>
      </c>
      <c r="H137" s="394">
        <v>46091</v>
      </c>
      <c r="I137" s="50">
        <v>46106</v>
      </c>
      <c r="J137" s="15">
        <f t="shared" si="64"/>
        <v>15</v>
      </c>
      <c r="K137" s="3" t="s">
        <v>55</v>
      </c>
      <c r="L137" s="3" t="s">
        <v>56</v>
      </c>
      <c r="M137" s="3" t="s">
        <v>57</v>
      </c>
      <c r="N137" s="3" t="s">
        <v>58</v>
      </c>
      <c r="O137" s="3" t="s">
        <v>59</v>
      </c>
      <c r="P137" s="166">
        <v>11194.2</v>
      </c>
      <c r="Q137" s="44" t="s">
        <v>100</v>
      </c>
      <c r="R137" s="57">
        <f t="shared" si="65"/>
        <v>46091</v>
      </c>
      <c r="S137" s="13" t="s">
        <v>61</v>
      </c>
      <c r="T137" s="35">
        <v>46108</v>
      </c>
      <c r="U137" s="37">
        <v>46104</v>
      </c>
      <c r="V137" s="37">
        <f t="shared" si="58"/>
        <v>46106</v>
      </c>
      <c r="W137" s="59">
        <f t="shared" si="66"/>
        <v>15</v>
      </c>
      <c r="X137" s="59">
        <f t="shared" si="67"/>
        <v>13</v>
      </c>
      <c r="Y137" s="59">
        <f t="shared" si="68"/>
        <v>2</v>
      </c>
      <c r="Z137" s="39"/>
      <c r="AA137" s="4" t="s">
        <v>388</v>
      </c>
      <c r="AB137" s="35">
        <v>46106</v>
      </c>
      <c r="AC137" s="13">
        <v>11194.2</v>
      </c>
      <c r="AD137" s="13">
        <v>7448</v>
      </c>
      <c r="AE137" s="13" t="s">
        <v>63</v>
      </c>
      <c r="AF137" s="35">
        <v>46106</v>
      </c>
      <c r="AG137" s="3" t="str">
        <f t="shared" si="63"/>
        <v>FOB</v>
      </c>
      <c r="AH137" s="13" t="s">
        <v>398</v>
      </c>
      <c r="AI137" s="36" t="e">
        <f>#REF!</f>
        <v>#REF!</v>
      </c>
      <c r="AJ137" s="36">
        <v>0</v>
      </c>
      <c r="AK137" s="142">
        <f t="shared" si="69"/>
        <v>0</v>
      </c>
      <c r="AL137" s="47">
        <v>46104</v>
      </c>
      <c r="AM137" s="153">
        <v>46104</v>
      </c>
      <c r="AN137" s="63">
        <f t="shared" si="70"/>
        <v>-2</v>
      </c>
      <c r="AO137" s="34" t="s">
        <v>65</v>
      </c>
      <c r="AP137" s="64">
        <f t="shared" si="77"/>
        <v>46106</v>
      </c>
      <c r="AQ137" s="64">
        <f t="shared" si="62"/>
        <v>46104</v>
      </c>
      <c r="AR137" s="65">
        <f t="shared" si="71"/>
        <v>15</v>
      </c>
      <c r="AS137" s="65">
        <f t="shared" si="72"/>
        <v>13</v>
      </c>
      <c r="AT137" s="157">
        <f t="shared" si="73"/>
        <v>2</v>
      </c>
      <c r="AU137" s="13"/>
      <c r="AV137" s="13" t="s">
        <v>59</v>
      </c>
      <c r="AW137" s="109">
        <f t="shared" si="61"/>
        <v>11194.2</v>
      </c>
      <c r="AX137" s="66">
        <f t="shared" si="74"/>
        <v>0</v>
      </c>
      <c r="AY137" s="66"/>
      <c r="AZ137" s="66">
        <f t="shared" si="75"/>
        <v>0</v>
      </c>
      <c r="BA137" s="67">
        <f t="shared" si="76"/>
        <v>0</v>
      </c>
    </row>
    <row r="138" spans="1:53" ht="21.6" customHeight="1" x14ac:dyDescent="0.3">
      <c r="A138" s="2" t="s">
        <v>284</v>
      </c>
      <c r="B138" s="3" t="s">
        <v>171</v>
      </c>
      <c r="C138" s="3" t="s">
        <v>78</v>
      </c>
      <c r="D138" s="3" t="s">
        <v>53</v>
      </c>
      <c r="E138" s="3">
        <v>4518449369</v>
      </c>
      <c r="F138" s="3" t="s">
        <v>53</v>
      </c>
      <c r="G138" s="144">
        <v>401</v>
      </c>
      <c r="H138" s="394">
        <v>46091</v>
      </c>
      <c r="I138" s="50">
        <v>46142</v>
      </c>
      <c r="J138" s="15">
        <f t="shared" si="64"/>
        <v>51</v>
      </c>
      <c r="K138" s="3" t="s">
        <v>70</v>
      </c>
      <c r="L138" s="3" t="s">
        <v>56</v>
      </c>
      <c r="M138" s="3" t="s">
        <v>186</v>
      </c>
      <c r="N138" s="3" t="s">
        <v>286</v>
      </c>
      <c r="O138" s="3" t="s">
        <v>59</v>
      </c>
      <c r="P138" s="166">
        <v>5528</v>
      </c>
      <c r="Q138" s="44" t="s">
        <v>100</v>
      </c>
      <c r="R138" s="57">
        <f t="shared" si="65"/>
        <v>46091</v>
      </c>
      <c r="S138" s="13" t="s">
        <v>61</v>
      </c>
      <c r="T138" s="35">
        <v>46108</v>
      </c>
      <c r="U138" s="37">
        <v>46094</v>
      </c>
      <c r="V138" s="37">
        <f t="shared" si="58"/>
        <v>46142</v>
      </c>
      <c r="W138" s="59">
        <f t="shared" si="66"/>
        <v>51</v>
      </c>
      <c r="X138" s="59">
        <f t="shared" si="67"/>
        <v>3</v>
      </c>
      <c r="Y138" s="59">
        <f t="shared" si="68"/>
        <v>48</v>
      </c>
      <c r="Z138" s="39"/>
      <c r="AA138" s="4" t="s">
        <v>304</v>
      </c>
      <c r="AB138" s="35">
        <v>46098</v>
      </c>
      <c r="AC138" s="13">
        <v>5528</v>
      </c>
      <c r="AD138" s="13">
        <v>7423</v>
      </c>
      <c r="AE138" s="13" t="s">
        <v>63</v>
      </c>
      <c r="AF138" s="35">
        <v>46099</v>
      </c>
      <c r="AG138" s="3" t="str">
        <f t="shared" si="63"/>
        <v>CIF</v>
      </c>
      <c r="AH138" s="13" t="s">
        <v>245</v>
      </c>
      <c r="AI138" s="36" t="e">
        <f>#REF!</f>
        <v>#REF!</v>
      </c>
      <c r="AJ138" s="36">
        <v>331.8</v>
      </c>
      <c r="AK138" s="142">
        <f t="shared" si="69"/>
        <v>6.0021707670043417E-2</v>
      </c>
      <c r="AL138" s="47">
        <v>46108</v>
      </c>
      <c r="AM138" s="153">
        <v>46108</v>
      </c>
      <c r="AN138" s="63">
        <f t="shared" si="70"/>
        <v>9</v>
      </c>
      <c r="AO138" s="34" t="s">
        <v>65</v>
      </c>
      <c r="AP138" s="64">
        <f t="shared" si="77"/>
        <v>46142</v>
      </c>
      <c r="AQ138" s="64">
        <f t="shared" si="62"/>
        <v>46108</v>
      </c>
      <c r="AR138" s="65">
        <f t="shared" si="71"/>
        <v>51</v>
      </c>
      <c r="AS138" s="65">
        <f t="shared" si="72"/>
        <v>17</v>
      </c>
      <c r="AT138" s="157">
        <f t="shared" si="73"/>
        <v>34</v>
      </c>
      <c r="AU138" s="13"/>
      <c r="AV138" s="13" t="s">
        <v>59</v>
      </c>
      <c r="AW138" s="109">
        <f t="shared" si="61"/>
        <v>5528</v>
      </c>
      <c r="AX138" s="66">
        <f t="shared" si="74"/>
        <v>0</v>
      </c>
      <c r="AY138" s="66"/>
      <c r="AZ138" s="66">
        <f t="shared" si="75"/>
        <v>331.8</v>
      </c>
      <c r="BA138" s="67">
        <f t="shared" si="76"/>
        <v>331.8</v>
      </c>
    </row>
    <row r="139" spans="1:53" ht="21.6" customHeight="1" x14ac:dyDescent="0.3">
      <c r="A139" s="2" t="s">
        <v>429</v>
      </c>
      <c r="B139" s="3" t="s">
        <v>171</v>
      </c>
      <c r="C139" s="3" t="s">
        <v>52</v>
      </c>
      <c r="D139" s="3" t="s">
        <v>53</v>
      </c>
      <c r="E139" s="3">
        <v>4504592967</v>
      </c>
      <c r="F139" s="3" t="s">
        <v>430</v>
      </c>
      <c r="G139" s="144">
        <v>399</v>
      </c>
      <c r="H139" s="394">
        <v>46092</v>
      </c>
      <c r="I139" s="50">
        <v>46101</v>
      </c>
      <c r="J139" s="15">
        <f t="shared" si="64"/>
        <v>9</v>
      </c>
      <c r="K139" s="3" t="s">
        <v>55</v>
      </c>
      <c r="L139" s="3" t="s">
        <v>56</v>
      </c>
      <c r="M139" s="3" t="s">
        <v>186</v>
      </c>
      <c r="N139" s="3" t="s">
        <v>13</v>
      </c>
      <c r="O139" s="3" t="s">
        <v>59</v>
      </c>
      <c r="P139" s="166">
        <v>5862.33</v>
      </c>
      <c r="Q139" s="44" t="s">
        <v>60</v>
      </c>
      <c r="R139" s="57">
        <f t="shared" si="65"/>
        <v>46092</v>
      </c>
      <c r="S139" s="13" t="s">
        <v>61</v>
      </c>
      <c r="T139" s="35">
        <v>46108</v>
      </c>
      <c r="U139" s="37">
        <v>46101</v>
      </c>
      <c r="V139" s="37">
        <f t="shared" si="58"/>
        <v>46101</v>
      </c>
      <c r="W139" s="59">
        <f t="shared" si="66"/>
        <v>9</v>
      </c>
      <c r="X139" s="59">
        <f t="shared" si="67"/>
        <v>9</v>
      </c>
      <c r="Y139" s="59">
        <f t="shared" si="68"/>
        <v>0</v>
      </c>
      <c r="Z139" s="39"/>
      <c r="AA139" s="4" t="s">
        <v>388</v>
      </c>
      <c r="AB139" s="35">
        <v>46101</v>
      </c>
      <c r="AC139" s="13">
        <v>5862.33</v>
      </c>
      <c r="AD139" s="13">
        <v>7436</v>
      </c>
      <c r="AE139" s="13" t="s">
        <v>63</v>
      </c>
      <c r="AF139" s="35">
        <v>46104</v>
      </c>
      <c r="AG139" s="3" t="str">
        <f t="shared" si="63"/>
        <v>FOB</v>
      </c>
      <c r="AH139" s="13" t="s">
        <v>431</v>
      </c>
      <c r="AI139" s="36" t="e">
        <f>#REF!</f>
        <v>#REF!</v>
      </c>
      <c r="AJ139" s="36">
        <v>0</v>
      </c>
      <c r="AK139" s="142">
        <f t="shared" si="69"/>
        <v>0</v>
      </c>
      <c r="AL139" s="47">
        <v>46100</v>
      </c>
      <c r="AM139" s="153">
        <v>46101</v>
      </c>
      <c r="AN139" s="63">
        <f t="shared" si="70"/>
        <v>-3</v>
      </c>
      <c r="AO139" s="34" t="s">
        <v>65</v>
      </c>
      <c r="AP139" s="64">
        <f t="shared" si="77"/>
        <v>46101</v>
      </c>
      <c r="AQ139" s="64">
        <f t="shared" si="62"/>
        <v>46101</v>
      </c>
      <c r="AR139" s="65">
        <f t="shared" si="71"/>
        <v>9</v>
      </c>
      <c r="AS139" s="65">
        <f t="shared" si="72"/>
        <v>9</v>
      </c>
      <c r="AT139" s="157">
        <f t="shared" si="73"/>
        <v>0</v>
      </c>
      <c r="AU139" s="13"/>
      <c r="AV139" s="13" t="s">
        <v>59</v>
      </c>
      <c r="AW139" s="109">
        <f t="shared" si="61"/>
        <v>5862.33</v>
      </c>
      <c r="AX139" s="66">
        <f t="shared" si="74"/>
        <v>0</v>
      </c>
      <c r="AY139" s="66"/>
      <c r="AZ139" s="66">
        <f t="shared" si="75"/>
        <v>0</v>
      </c>
      <c r="BA139" s="67">
        <f t="shared" si="76"/>
        <v>0</v>
      </c>
    </row>
    <row r="140" spans="1:53" ht="21.6" customHeight="1" x14ac:dyDescent="0.3">
      <c r="A140" s="2" t="s">
        <v>76</v>
      </c>
      <c r="B140" s="15" t="s">
        <v>51</v>
      </c>
      <c r="C140" s="3" t="s">
        <v>134</v>
      </c>
      <c r="D140" s="3" t="s">
        <v>53</v>
      </c>
      <c r="E140" s="3" t="s">
        <v>53</v>
      </c>
      <c r="F140" s="3" t="s">
        <v>53</v>
      </c>
      <c r="G140" s="144">
        <v>405</v>
      </c>
      <c r="H140" s="394">
        <v>46092</v>
      </c>
      <c r="I140" s="50">
        <v>46127</v>
      </c>
      <c r="J140" s="15">
        <f t="shared" si="64"/>
        <v>35</v>
      </c>
      <c r="K140" s="3" t="s">
        <v>55</v>
      </c>
      <c r="L140" s="3" t="s">
        <v>56</v>
      </c>
      <c r="M140" s="15" t="s">
        <v>57</v>
      </c>
      <c r="N140" s="3" t="s">
        <v>432</v>
      </c>
      <c r="O140" s="3" t="s">
        <v>59</v>
      </c>
      <c r="P140" s="8">
        <v>4182.75</v>
      </c>
      <c r="Q140" s="44" t="s">
        <v>60</v>
      </c>
      <c r="R140" s="57">
        <f t="shared" si="65"/>
        <v>46092</v>
      </c>
      <c r="S140" s="13" t="s">
        <v>61</v>
      </c>
      <c r="T140" s="35">
        <v>46136</v>
      </c>
      <c r="U140" s="37">
        <v>46127</v>
      </c>
      <c r="V140" s="37">
        <f t="shared" si="58"/>
        <v>46127</v>
      </c>
      <c r="W140" s="59">
        <f t="shared" si="66"/>
        <v>35</v>
      </c>
      <c r="X140" s="59">
        <f t="shared" si="67"/>
        <v>35</v>
      </c>
      <c r="Y140" s="59">
        <f t="shared" si="68"/>
        <v>0</v>
      </c>
      <c r="Z140" s="39"/>
      <c r="AA140" s="4" t="s">
        <v>433</v>
      </c>
      <c r="AB140" s="35">
        <v>46121</v>
      </c>
      <c r="AC140" s="13"/>
      <c r="AD140" s="13">
        <v>14</v>
      </c>
      <c r="AE140" s="13" t="s">
        <v>63</v>
      </c>
      <c r="AF140" s="35">
        <v>46128</v>
      </c>
      <c r="AG140" s="3" t="str">
        <f t="shared" si="63"/>
        <v>FOB</v>
      </c>
      <c r="AH140" s="13"/>
      <c r="AI140" s="36" t="e">
        <f>#REF!</f>
        <v>#REF!</v>
      </c>
      <c r="AJ140" s="36">
        <v>0</v>
      </c>
      <c r="AK140" s="142" t="e">
        <f t="shared" si="69"/>
        <v>#DIV/0!</v>
      </c>
      <c r="AL140" s="47">
        <v>46127</v>
      </c>
      <c r="AM140" s="153">
        <v>46127</v>
      </c>
      <c r="AN140" s="63">
        <f t="shared" si="70"/>
        <v>-1</v>
      </c>
      <c r="AO140" s="34" t="s">
        <v>65</v>
      </c>
      <c r="AP140" s="64">
        <f t="shared" si="77"/>
        <v>46127</v>
      </c>
      <c r="AQ140" s="64">
        <f t="shared" si="62"/>
        <v>46127</v>
      </c>
      <c r="AR140" s="65">
        <f t="shared" si="71"/>
        <v>35</v>
      </c>
      <c r="AS140" s="65">
        <f t="shared" si="72"/>
        <v>35</v>
      </c>
      <c r="AT140" s="157">
        <f t="shared" si="73"/>
        <v>0</v>
      </c>
      <c r="AU140" s="13"/>
      <c r="AV140" s="13" t="s">
        <v>59</v>
      </c>
      <c r="AW140" s="109">
        <f t="shared" si="61"/>
        <v>0</v>
      </c>
      <c r="AX140" s="66">
        <f t="shared" si="74"/>
        <v>0</v>
      </c>
      <c r="AY140" s="66"/>
      <c r="AZ140" s="66">
        <f t="shared" si="75"/>
        <v>0</v>
      </c>
      <c r="BA140" s="67">
        <f t="shared" si="76"/>
        <v>0</v>
      </c>
    </row>
    <row r="141" spans="1:53" ht="21.6" customHeight="1" x14ac:dyDescent="0.3">
      <c r="A141" s="2" t="s">
        <v>217</v>
      </c>
      <c r="B141" s="15" t="s">
        <v>77</v>
      </c>
      <c r="C141" s="3" t="s">
        <v>78</v>
      </c>
      <c r="D141" s="3" t="s">
        <v>53</v>
      </c>
      <c r="E141" s="3">
        <v>79517</v>
      </c>
      <c r="F141" s="3" t="s">
        <v>434</v>
      </c>
      <c r="G141" s="144">
        <v>406</v>
      </c>
      <c r="H141" s="394">
        <v>46092</v>
      </c>
      <c r="I141" s="50">
        <v>46108</v>
      </c>
      <c r="J141" s="15">
        <f t="shared" si="64"/>
        <v>16</v>
      </c>
      <c r="K141" s="3" t="s">
        <v>55</v>
      </c>
      <c r="L141" s="3" t="s">
        <v>56</v>
      </c>
      <c r="M141" s="15" t="s">
        <v>208</v>
      </c>
      <c r="N141" s="3" t="s">
        <v>219</v>
      </c>
      <c r="O141" s="3" t="s">
        <v>59</v>
      </c>
      <c r="P141" s="166">
        <v>12546.76</v>
      </c>
      <c r="Q141" s="44" t="s">
        <v>60</v>
      </c>
      <c r="R141" s="57">
        <f t="shared" si="65"/>
        <v>46092</v>
      </c>
      <c r="S141" s="13" t="s">
        <v>61</v>
      </c>
      <c r="T141" s="35">
        <v>46108</v>
      </c>
      <c r="U141" s="37">
        <v>46113</v>
      </c>
      <c r="V141" s="37">
        <f t="shared" si="58"/>
        <v>46108</v>
      </c>
      <c r="W141" s="59">
        <f t="shared" si="66"/>
        <v>16</v>
      </c>
      <c r="X141" s="59">
        <f t="shared" si="67"/>
        <v>21</v>
      </c>
      <c r="Y141" s="59">
        <f t="shared" si="68"/>
        <v>-5</v>
      </c>
      <c r="Z141" s="39"/>
      <c r="AA141" s="4" t="s">
        <v>379</v>
      </c>
      <c r="AB141" s="35">
        <v>46112</v>
      </c>
      <c r="AC141" s="13">
        <v>12593.09</v>
      </c>
      <c r="AD141" s="13">
        <v>7474</v>
      </c>
      <c r="AE141" s="13" t="s">
        <v>63</v>
      </c>
      <c r="AF141" s="35">
        <v>46113</v>
      </c>
      <c r="AG141" s="3" t="str">
        <f t="shared" si="63"/>
        <v>FOB</v>
      </c>
      <c r="AH141" s="118" t="s">
        <v>435</v>
      </c>
      <c r="AI141" s="36" t="e">
        <f>#REF!</f>
        <v>#REF!</v>
      </c>
      <c r="AJ141" s="36">
        <v>0</v>
      </c>
      <c r="AK141" s="142">
        <f t="shared" si="69"/>
        <v>0</v>
      </c>
      <c r="AL141" s="47">
        <v>46112</v>
      </c>
      <c r="AM141" s="153">
        <v>46112</v>
      </c>
      <c r="AN141" s="63">
        <f t="shared" si="70"/>
        <v>-1</v>
      </c>
      <c r="AO141" s="34" t="s">
        <v>103</v>
      </c>
      <c r="AP141" s="64">
        <f t="shared" si="77"/>
        <v>46108</v>
      </c>
      <c r="AQ141" s="64">
        <f t="shared" si="62"/>
        <v>46112</v>
      </c>
      <c r="AR141" s="65">
        <f t="shared" si="71"/>
        <v>16</v>
      </c>
      <c r="AS141" s="65">
        <f t="shared" si="72"/>
        <v>20</v>
      </c>
      <c r="AT141" s="157">
        <f t="shared" si="73"/>
        <v>-4</v>
      </c>
      <c r="AU141" s="13"/>
      <c r="AV141" s="13"/>
      <c r="AW141" s="109">
        <f t="shared" si="61"/>
        <v>12593.09</v>
      </c>
      <c r="AX141" s="66">
        <f t="shared" si="74"/>
        <v>0</v>
      </c>
      <c r="AY141" s="66"/>
      <c r="AZ141" s="66">
        <f t="shared" si="75"/>
        <v>0</v>
      </c>
      <c r="BA141" s="67">
        <f t="shared" si="76"/>
        <v>0</v>
      </c>
    </row>
    <row r="142" spans="1:53" ht="21.6" customHeight="1" x14ac:dyDescent="0.3">
      <c r="A142" s="2" t="s">
        <v>76</v>
      </c>
      <c r="B142" s="3" t="s">
        <v>51</v>
      </c>
      <c r="C142" s="3" t="s">
        <v>134</v>
      </c>
      <c r="D142" s="3" t="s">
        <v>53</v>
      </c>
      <c r="E142" s="3" t="s">
        <v>53</v>
      </c>
      <c r="F142" s="3" t="s">
        <v>53</v>
      </c>
      <c r="G142" s="144" t="s">
        <v>436</v>
      </c>
      <c r="H142" s="394">
        <v>46092</v>
      </c>
      <c r="I142" s="50">
        <v>46094</v>
      </c>
      <c r="J142" s="15">
        <f t="shared" si="64"/>
        <v>2</v>
      </c>
      <c r="K142" s="3" t="s">
        <v>55</v>
      </c>
      <c r="L142" s="3" t="s">
        <v>56</v>
      </c>
      <c r="M142" s="3" t="s">
        <v>57</v>
      </c>
      <c r="N142" s="3" t="s">
        <v>432</v>
      </c>
      <c r="O142" s="3" t="s">
        <v>59</v>
      </c>
      <c r="P142" s="8">
        <v>697.25</v>
      </c>
      <c r="Q142" s="44" t="s">
        <v>60</v>
      </c>
      <c r="R142" s="57">
        <f t="shared" si="65"/>
        <v>46092</v>
      </c>
      <c r="S142" s="13" t="s">
        <v>61</v>
      </c>
      <c r="T142" s="35">
        <v>46108</v>
      </c>
      <c r="U142" s="37">
        <v>46094</v>
      </c>
      <c r="V142" s="37">
        <f t="shared" si="58"/>
        <v>46094</v>
      </c>
      <c r="W142" s="59">
        <f t="shared" si="66"/>
        <v>2</v>
      </c>
      <c r="X142" s="59">
        <f t="shared" si="67"/>
        <v>2</v>
      </c>
      <c r="Y142" s="59">
        <f t="shared" si="68"/>
        <v>0</v>
      </c>
      <c r="Z142" s="39"/>
      <c r="AA142" s="4" t="s">
        <v>304</v>
      </c>
      <c r="AB142" s="35">
        <v>46094</v>
      </c>
      <c r="AC142" s="13">
        <v>0</v>
      </c>
      <c r="AD142" s="13">
        <v>7412</v>
      </c>
      <c r="AE142" s="13" t="s">
        <v>63</v>
      </c>
      <c r="AF142" s="35">
        <v>46094</v>
      </c>
      <c r="AG142" s="3" t="str">
        <f t="shared" si="63"/>
        <v>FOB</v>
      </c>
      <c r="AH142" s="32" t="s">
        <v>437</v>
      </c>
      <c r="AI142" s="36" t="e">
        <f>#REF!</f>
        <v>#REF!</v>
      </c>
      <c r="AJ142" s="36">
        <v>0</v>
      </c>
      <c r="AK142" s="142" t="e">
        <f t="shared" si="69"/>
        <v>#DIV/0!</v>
      </c>
      <c r="AL142" s="47">
        <v>46094</v>
      </c>
      <c r="AM142" s="153">
        <v>46094</v>
      </c>
      <c r="AN142" s="63">
        <f t="shared" si="70"/>
        <v>0</v>
      </c>
      <c r="AO142" s="34" t="s">
        <v>65</v>
      </c>
      <c r="AP142" s="64">
        <f t="shared" si="77"/>
        <v>46094</v>
      </c>
      <c r="AQ142" s="64">
        <f t="shared" si="62"/>
        <v>46094</v>
      </c>
      <c r="AR142" s="65">
        <f t="shared" si="71"/>
        <v>2</v>
      </c>
      <c r="AS142" s="65">
        <f t="shared" si="72"/>
        <v>2</v>
      </c>
      <c r="AT142" s="157">
        <f t="shared" si="73"/>
        <v>0</v>
      </c>
      <c r="AU142" s="13"/>
      <c r="AV142" s="13" t="s">
        <v>59</v>
      </c>
      <c r="AW142" s="109">
        <f t="shared" si="61"/>
        <v>0</v>
      </c>
      <c r="AX142" s="66">
        <f t="shared" si="74"/>
        <v>0</v>
      </c>
      <c r="AY142" s="66"/>
      <c r="AZ142" s="66">
        <f t="shared" si="75"/>
        <v>0</v>
      </c>
      <c r="BA142" s="67">
        <f t="shared" si="76"/>
        <v>0</v>
      </c>
    </row>
    <row r="143" spans="1:53" ht="21.6" customHeight="1" x14ac:dyDescent="0.3">
      <c r="A143" s="2" t="s">
        <v>76</v>
      </c>
      <c r="B143" s="3" t="s">
        <v>51</v>
      </c>
      <c r="C143" s="3" t="s">
        <v>134</v>
      </c>
      <c r="D143" s="3" t="s">
        <v>53</v>
      </c>
      <c r="E143" s="3" t="s">
        <v>53</v>
      </c>
      <c r="F143" s="3" t="s">
        <v>53</v>
      </c>
      <c r="G143" s="144" t="s">
        <v>438</v>
      </c>
      <c r="H143" s="394">
        <v>46092</v>
      </c>
      <c r="I143" s="50">
        <v>46101</v>
      </c>
      <c r="J143" s="15">
        <f t="shared" si="64"/>
        <v>9</v>
      </c>
      <c r="K143" s="3" t="s">
        <v>55</v>
      </c>
      <c r="L143" s="3" t="s">
        <v>56</v>
      </c>
      <c r="M143" s="3" t="s">
        <v>57</v>
      </c>
      <c r="N143" s="3" t="s">
        <v>432</v>
      </c>
      <c r="O143" s="3" t="s">
        <v>59</v>
      </c>
      <c r="P143" s="8">
        <v>8367</v>
      </c>
      <c r="Q143" s="44" t="s">
        <v>60</v>
      </c>
      <c r="R143" s="57">
        <f t="shared" si="65"/>
        <v>46092</v>
      </c>
      <c r="S143" s="13" t="s">
        <v>61</v>
      </c>
      <c r="T143" s="35">
        <v>46108</v>
      </c>
      <c r="U143" s="37">
        <v>46100</v>
      </c>
      <c r="V143" s="37">
        <f t="shared" ref="V143:V174" si="78">I143</f>
        <v>46101</v>
      </c>
      <c r="W143" s="59">
        <f t="shared" si="66"/>
        <v>9</v>
      </c>
      <c r="X143" s="59">
        <f t="shared" si="67"/>
        <v>8</v>
      </c>
      <c r="Y143" s="59">
        <f t="shared" si="68"/>
        <v>1</v>
      </c>
      <c r="Z143" s="39"/>
      <c r="AA143" s="4" t="s">
        <v>388</v>
      </c>
      <c r="AB143" s="35">
        <v>46104</v>
      </c>
      <c r="AC143" s="13">
        <v>0</v>
      </c>
      <c r="AD143" s="13">
        <v>7439</v>
      </c>
      <c r="AE143" s="13" t="s">
        <v>63</v>
      </c>
      <c r="AF143" s="35">
        <v>46105</v>
      </c>
      <c r="AG143" s="3" t="str">
        <f t="shared" si="63"/>
        <v>FOB</v>
      </c>
      <c r="AH143" s="32" t="s">
        <v>437</v>
      </c>
      <c r="AI143" s="36" t="e">
        <f>#REF!</f>
        <v>#REF!</v>
      </c>
      <c r="AJ143" s="36">
        <v>0</v>
      </c>
      <c r="AK143" s="142" t="e">
        <f t="shared" si="69"/>
        <v>#DIV/0!</v>
      </c>
      <c r="AL143" s="47">
        <v>46101</v>
      </c>
      <c r="AM143" s="153">
        <v>46101</v>
      </c>
      <c r="AN143" s="63">
        <f t="shared" si="70"/>
        <v>-4</v>
      </c>
      <c r="AO143" s="34" t="s">
        <v>65</v>
      </c>
      <c r="AP143" s="64">
        <f t="shared" si="77"/>
        <v>46101</v>
      </c>
      <c r="AQ143" s="64">
        <f t="shared" si="62"/>
        <v>46101</v>
      </c>
      <c r="AR143" s="65">
        <f t="shared" si="71"/>
        <v>9</v>
      </c>
      <c r="AS143" s="65">
        <f t="shared" si="72"/>
        <v>9</v>
      </c>
      <c r="AT143" s="157">
        <f t="shared" si="73"/>
        <v>0</v>
      </c>
      <c r="AU143" s="13"/>
      <c r="AV143" s="13" t="s">
        <v>59</v>
      </c>
      <c r="AW143" s="109">
        <f t="shared" si="61"/>
        <v>0</v>
      </c>
      <c r="AX143" s="66">
        <f t="shared" si="74"/>
        <v>0</v>
      </c>
      <c r="AY143" s="66"/>
      <c r="AZ143" s="66">
        <f t="shared" si="75"/>
        <v>0</v>
      </c>
      <c r="BA143" s="67">
        <f t="shared" si="76"/>
        <v>0</v>
      </c>
    </row>
    <row r="144" spans="1:53" ht="21.6" customHeight="1" x14ac:dyDescent="0.3">
      <c r="A144" s="2" t="s">
        <v>439</v>
      </c>
      <c r="B144" s="3" t="s">
        <v>51</v>
      </c>
      <c r="C144" s="3" t="s">
        <v>78</v>
      </c>
      <c r="D144" s="3" t="s">
        <v>53</v>
      </c>
      <c r="E144" s="5" t="s">
        <v>440</v>
      </c>
      <c r="F144" s="3" t="s">
        <v>441</v>
      </c>
      <c r="G144" s="144">
        <v>407</v>
      </c>
      <c r="H144" s="394">
        <v>46093</v>
      </c>
      <c r="I144" s="50">
        <v>46171</v>
      </c>
      <c r="J144" s="15">
        <f t="shared" si="64"/>
        <v>78</v>
      </c>
      <c r="K144" s="3" t="s">
        <v>70</v>
      </c>
      <c r="L144" s="3" t="s">
        <v>56</v>
      </c>
      <c r="M144" s="3" t="s">
        <v>57</v>
      </c>
      <c r="N144" s="3" t="s">
        <v>58</v>
      </c>
      <c r="O144" s="3" t="s">
        <v>59</v>
      </c>
      <c r="P144" s="8">
        <v>1042618.88</v>
      </c>
      <c r="Q144" s="44" t="s">
        <v>60</v>
      </c>
      <c r="R144" s="57">
        <f t="shared" si="65"/>
        <v>46093</v>
      </c>
      <c r="S144" s="13" t="s">
        <v>61</v>
      </c>
      <c r="T144" s="35">
        <v>46150</v>
      </c>
      <c r="U144" s="37">
        <v>46150</v>
      </c>
      <c r="V144" s="37">
        <f t="shared" si="78"/>
        <v>46171</v>
      </c>
      <c r="W144" s="59">
        <f t="shared" si="66"/>
        <v>78</v>
      </c>
      <c r="X144" s="59">
        <f t="shared" si="67"/>
        <v>57</v>
      </c>
      <c r="Y144" s="59">
        <f t="shared" si="68"/>
        <v>21</v>
      </c>
      <c r="Z144" s="39"/>
      <c r="AA144" s="4" t="s">
        <v>442</v>
      </c>
      <c r="AB144" s="119">
        <v>46142</v>
      </c>
      <c r="AC144" s="118">
        <v>1042618.88</v>
      </c>
      <c r="AD144" s="118">
        <v>7571</v>
      </c>
      <c r="AE144" s="118" t="s">
        <v>63</v>
      </c>
      <c r="AF144" s="119">
        <v>46154</v>
      </c>
      <c r="AG144" s="115" t="str">
        <f t="shared" si="63"/>
        <v>CIF</v>
      </c>
      <c r="AH144" s="13" t="s">
        <v>64</v>
      </c>
      <c r="AI144" s="36" t="e">
        <f>#REF!</f>
        <v>#REF!</v>
      </c>
      <c r="AJ144" s="36">
        <v>0</v>
      </c>
      <c r="AK144" s="142">
        <f t="shared" si="69"/>
        <v>0</v>
      </c>
      <c r="AL144" s="47"/>
      <c r="AM144" s="153">
        <v>46154</v>
      </c>
      <c r="AN144" s="63">
        <f t="shared" si="70"/>
        <v>0</v>
      </c>
      <c r="AO144" s="34" t="s">
        <v>65</v>
      </c>
      <c r="AP144" s="64">
        <f t="shared" si="77"/>
        <v>46171</v>
      </c>
      <c r="AQ144" s="64">
        <f t="shared" si="62"/>
        <v>46154</v>
      </c>
      <c r="AR144" s="65">
        <f t="shared" si="71"/>
        <v>78</v>
      </c>
      <c r="AS144" s="65">
        <f t="shared" si="72"/>
        <v>61</v>
      </c>
      <c r="AT144" s="157">
        <f t="shared" si="73"/>
        <v>17</v>
      </c>
      <c r="AU144" s="13"/>
      <c r="AV144" s="13" t="s">
        <v>59</v>
      </c>
      <c r="AW144" s="109">
        <f t="shared" si="61"/>
        <v>1042618.88</v>
      </c>
      <c r="AX144" s="66">
        <f t="shared" si="74"/>
        <v>0</v>
      </c>
      <c r="AY144" s="66"/>
      <c r="AZ144" s="66">
        <f t="shared" si="75"/>
        <v>0</v>
      </c>
      <c r="BA144" s="67">
        <f t="shared" si="76"/>
        <v>0</v>
      </c>
    </row>
    <row r="145" spans="1:53" ht="21.6" customHeight="1" x14ac:dyDescent="0.3">
      <c r="A145" s="2" t="s">
        <v>443</v>
      </c>
      <c r="B145" s="15" t="s">
        <v>51</v>
      </c>
      <c r="C145" s="3" t="s">
        <v>78</v>
      </c>
      <c r="D145" s="3" t="s">
        <v>53</v>
      </c>
      <c r="E145" s="3">
        <v>4500139939</v>
      </c>
      <c r="F145" s="3" t="s">
        <v>444</v>
      </c>
      <c r="G145" s="144">
        <v>408</v>
      </c>
      <c r="H145" s="394">
        <v>46093</v>
      </c>
      <c r="I145" s="50">
        <v>46173</v>
      </c>
      <c r="J145" s="15">
        <f t="shared" si="64"/>
        <v>80</v>
      </c>
      <c r="K145" s="3" t="s">
        <v>55</v>
      </c>
      <c r="L145" s="3" t="s">
        <v>56</v>
      </c>
      <c r="M145" s="15" t="s">
        <v>57</v>
      </c>
      <c r="N145" s="3" t="s">
        <v>58</v>
      </c>
      <c r="O145" s="3" t="s">
        <v>59</v>
      </c>
      <c r="P145" s="8">
        <v>629466.96</v>
      </c>
      <c r="Q145" s="44" t="s">
        <v>60</v>
      </c>
      <c r="R145" s="57">
        <f t="shared" si="65"/>
        <v>46093</v>
      </c>
      <c r="S145" s="13" t="s">
        <v>61</v>
      </c>
      <c r="T145" s="35">
        <v>46112</v>
      </c>
      <c r="U145" s="37">
        <v>46114</v>
      </c>
      <c r="V145" s="37">
        <f t="shared" si="78"/>
        <v>46173</v>
      </c>
      <c r="W145" s="59">
        <f t="shared" si="66"/>
        <v>80</v>
      </c>
      <c r="X145" s="59">
        <f t="shared" si="67"/>
        <v>21</v>
      </c>
      <c r="Y145" s="59">
        <f t="shared" si="68"/>
        <v>59</v>
      </c>
      <c r="Z145" s="39"/>
      <c r="AA145" s="4" t="s">
        <v>379</v>
      </c>
      <c r="AB145" s="35">
        <v>46112</v>
      </c>
      <c r="AC145" s="13">
        <v>629466.96</v>
      </c>
      <c r="AD145" s="13">
        <v>7473</v>
      </c>
      <c r="AE145" s="13" t="s">
        <v>63</v>
      </c>
      <c r="AF145" s="35">
        <v>46115</v>
      </c>
      <c r="AG145" s="3" t="str">
        <f t="shared" si="63"/>
        <v>FOB</v>
      </c>
      <c r="AH145" s="4" t="s">
        <v>445</v>
      </c>
      <c r="AI145" s="36" t="e">
        <f>#REF!</f>
        <v>#REF!</v>
      </c>
      <c r="AJ145" s="36">
        <v>0</v>
      </c>
      <c r="AK145" s="142">
        <f t="shared" si="69"/>
        <v>0</v>
      </c>
      <c r="AL145" s="47">
        <v>46115</v>
      </c>
      <c r="AM145" s="153">
        <v>46115</v>
      </c>
      <c r="AN145" s="63">
        <f t="shared" si="70"/>
        <v>0</v>
      </c>
      <c r="AO145" s="34" t="s">
        <v>65</v>
      </c>
      <c r="AP145" s="64">
        <f t="shared" si="77"/>
        <v>46173</v>
      </c>
      <c r="AQ145" s="64">
        <f t="shared" si="62"/>
        <v>46115</v>
      </c>
      <c r="AR145" s="65">
        <f t="shared" si="71"/>
        <v>80</v>
      </c>
      <c r="AS145" s="65">
        <f t="shared" si="72"/>
        <v>22</v>
      </c>
      <c r="AT145" s="157">
        <f t="shared" si="73"/>
        <v>58</v>
      </c>
      <c r="AU145" s="13"/>
      <c r="AV145" s="13"/>
      <c r="AW145" s="109">
        <f t="shared" si="61"/>
        <v>629466.96</v>
      </c>
      <c r="AX145" s="66">
        <f t="shared" si="74"/>
        <v>0</v>
      </c>
      <c r="AY145" s="66"/>
      <c r="AZ145" s="66">
        <f t="shared" si="75"/>
        <v>0</v>
      </c>
      <c r="BA145" s="67">
        <f t="shared" si="76"/>
        <v>0</v>
      </c>
    </row>
    <row r="146" spans="1:53" ht="21.6" customHeight="1" x14ac:dyDescent="0.3">
      <c r="A146" s="2" t="s">
        <v>446</v>
      </c>
      <c r="B146" s="15" t="s">
        <v>96</v>
      </c>
      <c r="C146" s="3" t="s">
        <v>78</v>
      </c>
      <c r="D146" s="3" t="s">
        <v>53</v>
      </c>
      <c r="E146" s="169">
        <v>24457</v>
      </c>
      <c r="F146" s="3" t="s">
        <v>447</v>
      </c>
      <c r="G146" s="144">
        <v>411</v>
      </c>
      <c r="H146" s="394">
        <v>46093</v>
      </c>
      <c r="I146" s="50">
        <v>46129</v>
      </c>
      <c r="J146" s="15">
        <f t="shared" si="64"/>
        <v>36</v>
      </c>
      <c r="K146" s="3" t="s">
        <v>55</v>
      </c>
      <c r="L146" s="3" t="s">
        <v>56</v>
      </c>
      <c r="M146" s="15" t="s">
        <v>98</v>
      </c>
      <c r="N146" s="3" t="s">
        <v>99</v>
      </c>
      <c r="O146" s="3" t="s">
        <v>59</v>
      </c>
      <c r="P146" s="8">
        <v>71077.78</v>
      </c>
      <c r="Q146" s="44" t="s">
        <v>60</v>
      </c>
      <c r="R146" s="57">
        <f t="shared" si="65"/>
        <v>46093</v>
      </c>
      <c r="S146" s="13" t="s">
        <v>61</v>
      </c>
      <c r="T146" s="35">
        <v>46135</v>
      </c>
      <c r="U146" s="37">
        <v>46135</v>
      </c>
      <c r="V146" s="37">
        <f t="shared" si="78"/>
        <v>46129</v>
      </c>
      <c r="W146" s="59">
        <f t="shared" si="66"/>
        <v>36</v>
      </c>
      <c r="X146" s="59">
        <f t="shared" si="67"/>
        <v>42</v>
      </c>
      <c r="Y146" s="59">
        <f t="shared" si="68"/>
        <v>-6</v>
      </c>
      <c r="Z146" s="39"/>
      <c r="AA146" s="4" t="s">
        <v>448</v>
      </c>
      <c r="AB146" s="57">
        <v>46136</v>
      </c>
      <c r="AC146" s="32">
        <v>71077.78</v>
      </c>
      <c r="AD146" s="32">
        <v>7548</v>
      </c>
      <c r="AE146" s="32" t="s">
        <v>63</v>
      </c>
      <c r="AF146" s="57">
        <v>46136</v>
      </c>
      <c r="AG146" s="15" t="str">
        <f t="shared" si="63"/>
        <v>FOB</v>
      </c>
      <c r="AH146" s="13" t="s">
        <v>449</v>
      </c>
      <c r="AI146" s="36" t="e">
        <f>#REF!</f>
        <v>#REF!</v>
      </c>
      <c r="AJ146" s="36">
        <v>0</v>
      </c>
      <c r="AK146" s="142">
        <f t="shared" si="69"/>
        <v>0</v>
      </c>
      <c r="AL146" s="47">
        <v>46135</v>
      </c>
      <c r="AM146" s="153">
        <v>46135</v>
      </c>
      <c r="AN146" s="63">
        <f t="shared" si="70"/>
        <v>-1</v>
      </c>
      <c r="AO146" s="34" t="s">
        <v>103</v>
      </c>
      <c r="AP146" s="64">
        <f t="shared" si="77"/>
        <v>46129</v>
      </c>
      <c r="AQ146" s="64">
        <f t="shared" si="62"/>
        <v>46135</v>
      </c>
      <c r="AR146" s="65">
        <f t="shared" si="71"/>
        <v>36</v>
      </c>
      <c r="AS146" s="65">
        <f t="shared" si="72"/>
        <v>42</v>
      </c>
      <c r="AT146" s="157">
        <f t="shared" si="73"/>
        <v>-6</v>
      </c>
      <c r="AU146" s="13" t="s">
        <v>450</v>
      </c>
      <c r="AV146" s="13" t="s">
        <v>116</v>
      </c>
      <c r="AW146" s="109">
        <f t="shared" si="61"/>
        <v>71077.78</v>
      </c>
      <c r="AX146" s="66">
        <f t="shared" si="74"/>
        <v>0</v>
      </c>
      <c r="AY146" s="66"/>
      <c r="AZ146" s="66">
        <f t="shared" si="75"/>
        <v>0</v>
      </c>
      <c r="BA146" s="67">
        <f t="shared" si="76"/>
        <v>0</v>
      </c>
    </row>
    <row r="147" spans="1:53" ht="21.6" customHeight="1" x14ac:dyDescent="0.3">
      <c r="A147" s="2" t="s">
        <v>451</v>
      </c>
      <c r="B147" s="15" t="s">
        <v>171</v>
      </c>
      <c r="C147" s="3" t="s">
        <v>78</v>
      </c>
      <c r="D147" s="3" t="s">
        <v>53</v>
      </c>
      <c r="E147" s="3">
        <v>5285</v>
      </c>
      <c r="F147" s="3" t="s">
        <v>452</v>
      </c>
      <c r="G147" s="144">
        <v>412</v>
      </c>
      <c r="H147" s="394">
        <v>46093</v>
      </c>
      <c r="I147" s="50">
        <v>46112</v>
      </c>
      <c r="J147" s="15">
        <f t="shared" si="64"/>
        <v>19</v>
      </c>
      <c r="K147" s="3" t="s">
        <v>55</v>
      </c>
      <c r="L147" s="3" t="s">
        <v>56</v>
      </c>
      <c r="M147" s="15" t="s">
        <v>186</v>
      </c>
      <c r="N147" s="3" t="s">
        <v>382</v>
      </c>
      <c r="O147" s="3" t="s">
        <v>59</v>
      </c>
      <c r="P147" s="8">
        <v>8288.7099999999991</v>
      </c>
      <c r="Q147" s="44" t="s">
        <v>60</v>
      </c>
      <c r="R147" s="57">
        <f t="shared" si="65"/>
        <v>46093</v>
      </c>
      <c r="S147" s="13" t="s">
        <v>61</v>
      </c>
      <c r="T147" s="35">
        <v>46108</v>
      </c>
      <c r="U147" s="37">
        <v>46111</v>
      </c>
      <c r="V147" s="37">
        <f t="shared" si="78"/>
        <v>46112</v>
      </c>
      <c r="W147" s="59">
        <f t="shared" si="66"/>
        <v>19</v>
      </c>
      <c r="X147" s="59">
        <f t="shared" si="67"/>
        <v>18</v>
      </c>
      <c r="Y147" s="59">
        <f t="shared" si="68"/>
        <v>1</v>
      </c>
      <c r="Z147" s="39"/>
      <c r="AA147" s="4" t="s">
        <v>379</v>
      </c>
      <c r="AB147" s="35">
        <v>46112</v>
      </c>
      <c r="AC147" s="13">
        <v>8288.7099999999991</v>
      </c>
      <c r="AD147" s="13">
        <v>7478</v>
      </c>
      <c r="AE147" s="13" t="s">
        <v>63</v>
      </c>
      <c r="AF147" s="35">
        <v>46132</v>
      </c>
      <c r="AG147" s="3" t="str">
        <f t="shared" si="63"/>
        <v>FOB</v>
      </c>
      <c r="AH147" s="118" t="s">
        <v>453</v>
      </c>
      <c r="AI147" s="36" t="e">
        <f>#REF!</f>
        <v>#REF!</v>
      </c>
      <c r="AJ147" s="36">
        <v>0</v>
      </c>
      <c r="AK147" s="142">
        <f t="shared" si="69"/>
        <v>0</v>
      </c>
      <c r="AL147" s="47">
        <v>46111</v>
      </c>
      <c r="AM147" s="153">
        <v>46112</v>
      </c>
      <c r="AN147" s="63">
        <f t="shared" si="70"/>
        <v>-20</v>
      </c>
      <c r="AO147" s="34" t="s">
        <v>65</v>
      </c>
      <c r="AP147" s="64">
        <f t="shared" si="77"/>
        <v>46112</v>
      </c>
      <c r="AQ147" s="64">
        <f t="shared" si="62"/>
        <v>46112</v>
      </c>
      <c r="AR147" s="65">
        <f t="shared" si="71"/>
        <v>19</v>
      </c>
      <c r="AS147" s="65">
        <f t="shared" si="72"/>
        <v>19</v>
      </c>
      <c r="AT147" s="157">
        <f t="shared" si="73"/>
        <v>0</v>
      </c>
      <c r="AU147" s="13"/>
      <c r="AV147" s="13"/>
      <c r="AW147" s="109">
        <f t="shared" si="61"/>
        <v>8288.7099999999991</v>
      </c>
      <c r="AX147" s="66">
        <f t="shared" si="74"/>
        <v>0</v>
      </c>
      <c r="AY147" s="66"/>
      <c r="AZ147" s="66">
        <f t="shared" si="75"/>
        <v>0</v>
      </c>
      <c r="BA147" s="67">
        <f t="shared" si="76"/>
        <v>0</v>
      </c>
    </row>
    <row r="148" spans="1:53" ht="21.6" customHeight="1" x14ac:dyDescent="0.3">
      <c r="A148" s="2" t="s">
        <v>408</v>
      </c>
      <c r="B148" s="3" t="s">
        <v>51</v>
      </c>
      <c r="C148" s="3" t="s">
        <v>78</v>
      </c>
      <c r="D148" s="3">
        <v>4600640021</v>
      </c>
      <c r="E148" s="3">
        <v>4515086154</v>
      </c>
      <c r="F148" s="3" t="s">
        <v>53</v>
      </c>
      <c r="G148" s="144">
        <v>415</v>
      </c>
      <c r="H148" s="394">
        <v>46094</v>
      </c>
      <c r="I148" s="50">
        <v>46148</v>
      </c>
      <c r="J148" s="15">
        <f t="shared" si="64"/>
        <v>54</v>
      </c>
      <c r="K148" s="3" t="s">
        <v>70</v>
      </c>
      <c r="L148" s="3" t="s">
        <v>56</v>
      </c>
      <c r="M148" s="3" t="s">
        <v>57</v>
      </c>
      <c r="N148" s="3" t="s">
        <v>87</v>
      </c>
      <c r="O148" s="3" t="s">
        <v>59</v>
      </c>
      <c r="P148" s="8">
        <v>2180.0500000000002</v>
      </c>
      <c r="Q148" s="44" t="s">
        <v>100</v>
      </c>
      <c r="R148" s="57">
        <f t="shared" si="65"/>
        <v>46094</v>
      </c>
      <c r="S148" s="13" t="s">
        <v>61</v>
      </c>
      <c r="T148" s="35">
        <v>46108</v>
      </c>
      <c r="U148" s="37">
        <v>46111</v>
      </c>
      <c r="V148" s="37">
        <f t="shared" si="78"/>
        <v>46148</v>
      </c>
      <c r="W148" s="59">
        <f t="shared" si="66"/>
        <v>54</v>
      </c>
      <c r="X148" s="59">
        <f t="shared" si="67"/>
        <v>17</v>
      </c>
      <c r="Y148" s="59">
        <f t="shared" si="68"/>
        <v>37</v>
      </c>
      <c r="Z148" s="39"/>
      <c r="AA148" s="4" t="s">
        <v>379</v>
      </c>
      <c r="AB148" s="35">
        <v>46135</v>
      </c>
      <c r="AC148" s="13">
        <v>2180.0500000000002</v>
      </c>
      <c r="AD148" s="13">
        <v>7545</v>
      </c>
      <c r="AE148" s="13" t="s">
        <v>63</v>
      </c>
      <c r="AF148" s="35">
        <v>46139</v>
      </c>
      <c r="AG148" s="3" t="str">
        <f t="shared" si="63"/>
        <v>CIF</v>
      </c>
      <c r="AH148" s="243" t="s">
        <v>127</v>
      </c>
      <c r="AI148" s="36" t="e">
        <f>#REF!</f>
        <v>#REF!</v>
      </c>
      <c r="AJ148" s="36">
        <v>0</v>
      </c>
      <c r="AK148" s="142">
        <f t="shared" si="69"/>
        <v>0</v>
      </c>
      <c r="AL148" s="47">
        <v>46148</v>
      </c>
      <c r="AM148" s="153">
        <v>46148</v>
      </c>
      <c r="AN148" s="63">
        <f t="shared" si="70"/>
        <v>9</v>
      </c>
      <c r="AO148" s="34" t="s">
        <v>65</v>
      </c>
      <c r="AP148" s="64">
        <f t="shared" si="77"/>
        <v>46148</v>
      </c>
      <c r="AQ148" s="64">
        <f t="shared" si="62"/>
        <v>46148</v>
      </c>
      <c r="AR148" s="65">
        <f t="shared" si="71"/>
        <v>54</v>
      </c>
      <c r="AS148" s="65">
        <f t="shared" si="72"/>
        <v>54</v>
      </c>
      <c r="AT148" s="157">
        <f t="shared" si="73"/>
        <v>0</v>
      </c>
      <c r="AU148" s="13" t="s">
        <v>454</v>
      </c>
      <c r="AV148" s="13" t="s">
        <v>116</v>
      </c>
      <c r="AW148" s="109">
        <f t="shared" si="61"/>
        <v>2180.0500000000002</v>
      </c>
      <c r="AX148" s="66">
        <f t="shared" si="74"/>
        <v>0</v>
      </c>
      <c r="AY148" s="66"/>
      <c r="AZ148" s="66">
        <f t="shared" si="75"/>
        <v>0</v>
      </c>
      <c r="BA148" s="67">
        <f t="shared" si="76"/>
        <v>0</v>
      </c>
    </row>
    <row r="149" spans="1:53" ht="21.6" customHeight="1" x14ac:dyDescent="0.3">
      <c r="A149" s="2" t="s">
        <v>455</v>
      </c>
      <c r="B149" s="3" t="s">
        <v>91</v>
      </c>
      <c r="C149" s="3" t="s">
        <v>78</v>
      </c>
      <c r="D149" s="3" t="s">
        <v>53</v>
      </c>
      <c r="E149" s="114">
        <v>4500749185</v>
      </c>
      <c r="F149" s="3" t="s">
        <v>456</v>
      </c>
      <c r="G149" s="170" t="s">
        <v>457</v>
      </c>
      <c r="H149" s="394">
        <v>46094</v>
      </c>
      <c r="I149" s="50">
        <v>46125</v>
      </c>
      <c r="J149" s="15">
        <f t="shared" si="64"/>
        <v>31</v>
      </c>
      <c r="K149" s="3" t="s">
        <v>55</v>
      </c>
      <c r="L149" s="3" t="s">
        <v>56</v>
      </c>
      <c r="M149" s="3" t="s">
        <v>92</v>
      </c>
      <c r="N149" s="3" t="s">
        <v>363</v>
      </c>
      <c r="O149" s="3" t="s">
        <v>59</v>
      </c>
      <c r="P149" s="8">
        <v>30238.66</v>
      </c>
      <c r="Q149" s="44" t="s">
        <v>100</v>
      </c>
      <c r="R149" s="57">
        <f t="shared" si="65"/>
        <v>46094</v>
      </c>
      <c r="S149" s="13" t="s">
        <v>61</v>
      </c>
      <c r="T149" s="35">
        <v>46119</v>
      </c>
      <c r="U149" s="37">
        <v>46119</v>
      </c>
      <c r="V149" s="37">
        <f t="shared" si="78"/>
        <v>46125</v>
      </c>
      <c r="W149" s="59">
        <f t="shared" si="66"/>
        <v>31</v>
      </c>
      <c r="X149" s="59">
        <f t="shared" si="67"/>
        <v>25</v>
      </c>
      <c r="Y149" s="59">
        <f t="shared" si="68"/>
        <v>6</v>
      </c>
      <c r="Z149" s="39"/>
      <c r="AA149" s="4" t="s">
        <v>458</v>
      </c>
      <c r="AB149" s="35">
        <v>46120</v>
      </c>
      <c r="AC149" s="13">
        <v>29782</v>
      </c>
      <c r="AD149" s="13">
        <v>6826</v>
      </c>
      <c r="AE149" s="13" t="s">
        <v>63</v>
      </c>
      <c r="AF149" s="35">
        <v>46120</v>
      </c>
      <c r="AG149" s="3" t="str">
        <f t="shared" si="63"/>
        <v>FOB</v>
      </c>
      <c r="AH149" s="32" t="s">
        <v>459</v>
      </c>
      <c r="AI149" s="36" t="e">
        <f>#REF!</f>
        <v>#REF!</v>
      </c>
      <c r="AJ149" s="36">
        <v>0</v>
      </c>
      <c r="AK149" s="142">
        <f t="shared" si="69"/>
        <v>0</v>
      </c>
      <c r="AL149" s="47">
        <v>46119</v>
      </c>
      <c r="AM149" s="153">
        <v>46119</v>
      </c>
      <c r="AN149" s="63">
        <f t="shared" si="70"/>
        <v>-1</v>
      </c>
      <c r="AO149" s="34" t="s">
        <v>65</v>
      </c>
      <c r="AP149" s="64">
        <f t="shared" si="77"/>
        <v>46125</v>
      </c>
      <c r="AQ149" s="64">
        <f t="shared" si="62"/>
        <v>46119</v>
      </c>
      <c r="AR149" s="65">
        <f t="shared" si="71"/>
        <v>31</v>
      </c>
      <c r="AS149" s="65">
        <f t="shared" si="72"/>
        <v>25</v>
      </c>
      <c r="AT149" s="157">
        <f t="shared" si="73"/>
        <v>6</v>
      </c>
      <c r="AU149" s="13"/>
      <c r="AV149" s="13" t="s">
        <v>59</v>
      </c>
      <c r="AW149" s="109">
        <f t="shared" ref="AW149:AW180" si="79">AC149</f>
        <v>29782</v>
      </c>
      <c r="AX149" s="66">
        <f t="shared" si="74"/>
        <v>0</v>
      </c>
      <c r="AY149" s="66"/>
      <c r="AZ149" s="66">
        <f t="shared" si="75"/>
        <v>0</v>
      </c>
      <c r="BA149" s="67">
        <f t="shared" si="76"/>
        <v>0</v>
      </c>
    </row>
    <row r="150" spans="1:53" ht="21.6" customHeight="1" x14ac:dyDescent="0.3">
      <c r="A150" s="2" t="s">
        <v>460</v>
      </c>
      <c r="B150" s="3" t="s">
        <v>91</v>
      </c>
      <c r="C150" s="3" t="s">
        <v>78</v>
      </c>
      <c r="D150" s="3" t="s">
        <v>53</v>
      </c>
      <c r="E150" s="3">
        <v>26641</v>
      </c>
      <c r="F150" s="5" t="s">
        <v>461</v>
      </c>
      <c r="G150" s="144">
        <v>417</v>
      </c>
      <c r="H150" s="394">
        <v>46097</v>
      </c>
      <c r="I150" s="50">
        <v>46142</v>
      </c>
      <c r="J150" s="15">
        <f t="shared" si="64"/>
        <v>45</v>
      </c>
      <c r="K150" s="3" t="s">
        <v>70</v>
      </c>
      <c r="L150" s="3" t="s">
        <v>56</v>
      </c>
      <c r="M150" s="3" t="s">
        <v>92</v>
      </c>
      <c r="N150" s="3" t="s">
        <v>121</v>
      </c>
      <c r="O150" s="3" t="s">
        <v>59</v>
      </c>
      <c r="P150" s="8">
        <v>12908.37</v>
      </c>
      <c r="Q150" s="44" t="s">
        <v>100</v>
      </c>
      <c r="R150" s="57">
        <f t="shared" si="65"/>
        <v>46097</v>
      </c>
      <c r="S150" s="13" t="s">
        <v>61</v>
      </c>
      <c r="T150" s="35">
        <v>46122</v>
      </c>
      <c r="U150" s="37">
        <v>46136</v>
      </c>
      <c r="V150" s="37">
        <f t="shared" si="78"/>
        <v>46142</v>
      </c>
      <c r="W150" s="59">
        <f t="shared" si="66"/>
        <v>45</v>
      </c>
      <c r="X150" s="59">
        <f t="shared" si="67"/>
        <v>39</v>
      </c>
      <c r="Y150" s="59">
        <f t="shared" si="68"/>
        <v>6</v>
      </c>
      <c r="Z150" s="39"/>
      <c r="AA150" s="4" t="s">
        <v>448</v>
      </c>
      <c r="AB150" s="35">
        <v>46136</v>
      </c>
      <c r="AC150" s="13">
        <v>12908.37</v>
      </c>
      <c r="AD150" s="13">
        <v>7554</v>
      </c>
      <c r="AE150" s="13" t="s">
        <v>63</v>
      </c>
      <c r="AF150" s="35">
        <v>46139</v>
      </c>
      <c r="AG150" s="3" t="str">
        <f t="shared" si="63"/>
        <v>CIF</v>
      </c>
      <c r="AH150" s="242" t="s">
        <v>102</v>
      </c>
      <c r="AI150" s="36" t="e">
        <f>#REF!</f>
        <v>#REF!</v>
      </c>
      <c r="AJ150" s="36">
        <v>0</v>
      </c>
      <c r="AK150" s="142">
        <f t="shared" si="69"/>
        <v>0</v>
      </c>
      <c r="AL150" s="47">
        <v>46142</v>
      </c>
      <c r="AM150" s="153">
        <v>46141</v>
      </c>
      <c r="AN150" s="63">
        <f t="shared" si="70"/>
        <v>2</v>
      </c>
      <c r="AO150" s="34" t="s">
        <v>65</v>
      </c>
      <c r="AP150" s="64">
        <f t="shared" si="77"/>
        <v>46142</v>
      </c>
      <c r="AQ150" s="64">
        <f t="shared" ref="AQ150:AQ181" si="80">AM150</f>
        <v>46141</v>
      </c>
      <c r="AR150" s="65">
        <f t="shared" si="71"/>
        <v>45</v>
      </c>
      <c r="AS150" s="65">
        <f t="shared" si="72"/>
        <v>44</v>
      </c>
      <c r="AT150" s="157">
        <f t="shared" si="73"/>
        <v>1</v>
      </c>
      <c r="AU150" s="13"/>
      <c r="AV150" s="13" t="s">
        <v>59</v>
      </c>
      <c r="AW150" s="109">
        <f t="shared" si="79"/>
        <v>12908.37</v>
      </c>
      <c r="AX150" s="66">
        <f t="shared" si="74"/>
        <v>0</v>
      </c>
      <c r="AY150" s="66"/>
      <c r="AZ150" s="66">
        <f t="shared" si="75"/>
        <v>0</v>
      </c>
      <c r="BA150" s="67">
        <f t="shared" si="76"/>
        <v>0</v>
      </c>
    </row>
    <row r="151" spans="1:53" ht="21.6" customHeight="1" x14ac:dyDescent="0.3">
      <c r="A151" s="2" t="s">
        <v>462</v>
      </c>
      <c r="B151" s="3" t="s">
        <v>171</v>
      </c>
      <c r="C151" s="3" t="s">
        <v>78</v>
      </c>
      <c r="D151" s="3" t="s">
        <v>53</v>
      </c>
      <c r="E151" s="5" t="s">
        <v>53</v>
      </c>
      <c r="F151" s="5" t="s">
        <v>53</v>
      </c>
      <c r="G151" s="144">
        <v>419</v>
      </c>
      <c r="H151" s="394">
        <v>46097</v>
      </c>
      <c r="I151" s="50">
        <v>46104</v>
      </c>
      <c r="J151" s="15">
        <f t="shared" si="64"/>
        <v>7</v>
      </c>
      <c r="K151" s="3" t="s">
        <v>70</v>
      </c>
      <c r="L151" s="3" t="s">
        <v>56</v>
      </c>
      <c r="M151" s="3" t="s">
        <v>186</v>
      </c>
      <c r="N151" s="3" t="s">
        <v>190</v>
      </c>
      <c r="O151" s="3" t="s">
        <v>59</v>
      </c>
      <c r="P151" s="8">
        <v>4374.8999999999996</v>
      </c>
      <c r="Q151" s="44" t="s">
        <v>60</v>
      </c>
      <c r="R151" s="57">
        <f t="shared" si="65"/>
        <v>46097</v>
      </c>
      <c r="S151" s="13" t="s">
        <v>61</v>
      </c>
      <c r="T151" s="35">
        <v>46108</v>
      </c>
      <c r="U151" s="37">
        <v>46100</v>
      </c>
      <c r="V151" s="37">
        <f t="shared" si="78"/>
        <v>46104</v>
      </c>
      <c r="W151" s="59">
        <f t="shared" si="66"/>
        <v>7</v>
      </c>
      <c r="X151" s="59">
        <f t="shared" si="67"/>
        <v>3</v>
      </c>
      <c r="Y151" s="59">
        <f t="shared" si="68"/>
        <v>4</v>
      </c>
      <c r="Z151" s="39"/>
      <c r="AA151" s="4" t="s">
        <v>388</v>
      </c>
      <c r="AB151" s="35">
        <v>46100</v>
      </c>
      <c r="AC151" s="13">
        <v>100</v>
      </c>
      <c r="AD151" s="13">
        <v>7429</v>
      </c>
      <c r="AE151" s="13" t="s">
        <v>63</v>
      </c>
      <c r="AF151" s="35">
        <v>46100</v>
      </c>
      <c r="AG151" s="3" t="str">
        <f t="shared" si="63"/>
        <v>CIF</v>
      </c>
      <c r="AH151" s="13" t="s">
        <v>245</v>
      </c>
      <c r="AI151" s="36" t="e">
        <f>#REF!</f>
        <v>#REF!</v>
      </c>
      <c r="AJ151" s="36">
        <v>335.54</v>
      </c>
      <c r="AK151" s="142">
        <f t="shared" si="69"/>
        <v>3.3554000000000004</v>
      </c>
      <c r="AL151" s="47">
        <v>46104</v>
      </c>
      <c r="AM151" s="153">
        <v>46104</v>
      </c>
      <c r="AN151" s="63">
        <f t="shared" si="70"/>
        <v>4</v>
      </c>
      <c r="AO151" s="34" t="s">
        <v>65</v>
      </c>
      <c r="AP151" s="64">
        <f t="shared" si="77"/>
        <v>46104</v>
      </c>
      <c r="AQ151" s="64">
        <f t="shared" si="80"/>
        <v>46104</v>
      </c>
      <c r="AR151" s="65">
        <f t="shared" si="71"/>
        <v>7</v>
      </c>
      <c r="AS151" s="65">
        <f t="shared" si="72"/>
        <v>7</v>
      </c>
      <c r="AT151" s="157">
        <f t="shared" si="73"/>
        <v>0</v>
      </c>
      <c r="AU151" s="13"/>
      <c r="AV151" s="13" t="s">
        <v>59</v>
      </c>
      <c r="AW151" s="109">
        <f t="shared" si="79"/>
        <v>100</v>
      </c>
      <c r="AX151" s="66">
        <f t="shared" si="74"/>
        <v>0</v>
      </c>
      <c r="AY151" s="66"/>
      <c r="AZ151" s="66">
        <f t="shared" si="75"/>
        <v>335.54</v>
      </c>
      <c r="BA151" s="67">
        <f t="shared" si="76"/>
        <v>335.54</v>
      </c>
    </row>
    <row r="152" spans="1:53" ht="21.6" customHeight="1" x14ac:dyDescent="0.3">
      <c r="A152" s="2" t="s">
        <v>162</v>
      </c>
      <c r="B152" s="3" t="s">
        <v>91</v>
      </c>
      <c r="C152" s="3" t="s">
        <v>78</v>
      </c>
      <c r="D152" s="3" t="s">
        <v>53</v>
      </c>
      <c r="E152" s="3">
        <v>5700024217</v>
      </c>
      <c r="F152" s="359">
        <v>4514484665</v>
      </c>
      <c r="G152" s="144">
        <v>422</v>
      </c>
      <c r="H152" s="394">
        <v>46098</v>
      </c>
      <c r="I152" s="50">
        <v>46142</v>
      </c>
      <c r="J152" s="15">
        <f t="shared" si="64"/>
        <v>44</v>
      </c>
      <c r="K152" s="3" t="s">
        <v>70</v>
      </c>
      <c r="L152" s="3" t="s">
        <v>56</v>
      </c>
      <c r="M152" s="3" t="s">
        <v>368</v>
      </c>
      <c r="N152" s="3" t="s">
        <v>369</v>
      </c>
      <c r="O152" s="3" t="s">
        <v>59</v>
      </c>
      <c r="P152" s="8">
        <v>10740</v>
      </c>
      <c r="Q152" s="44" t="s">
        <v>100</v>
      </c>
      <c r="R152" s="57">
        <f t="shared" si="65"/>
        <v>46098</v>
      </c>
      <c r="S152" s="13" t="s">
        <v>61</v>
      </c>
      <c r="T152" s="35">
        <v>46108</v>
      </c>
      <c r="U152" s="37">
        <v>46106</v>
      </c>
      <c r="V152" s="37">
        <f t="shared" si="78"/>
        <v>46142</v>
      </c>
      <c r="W152" s="59">
        <f t="shared" si="66"/>
        <v>44</v>
      </c>
      <c r="X152" s="59">
        <f t="shared" si="67"/>
        <v>8</v>
      </c>
      <c r="Y152" s="59">
        <f t="shared" si="68"/>
        <v>36</v>
      </c>
      <c r="Z152" s="39"/>
      <c r="AA152" s="4" t="s">
        <v>379</v>
      </c>
      <c r="AB152" s="35">
        <v>46112</v>
      </c>
      <c r="AC152" s="13">
        <v>10740</v>
      </c>
      <c r="AD152" s="13">
        <v>7477</v>
      </c>
      <c r="AE152" s="13" t="s">
        <v>63</v>
      </c>
      <c r="AF152" s="35">
        <v>46120</v>
      </c>
      <c r="AG152" s="3" t="str">
        <f t="shared" si="63"/>
        <v>CIF</v>
      </c>
      <c r="AH152" s="13" t="s">
        <v>180</v>
      </c>
      <c r="AI152" s="36" t="e">
        <f>#REF!</f>
        <v>#REF!</v>
      </c>
      <c r="AJ152" s="36">
        <v>0</v>
      </c>
      <c r="AK152" s="142">
        <f t="shared" si="69"/>
        <v>0</v>
      </c>
      <c r="AL152" s="47">
        <v>46140</v>
      </c>
      <c r="AM152" s="153">
        <v>46126</v>
      </c>
      <c r="AN152" s="63">
        <f t="shared" si="70"/>
        <v>6</v>
      </c>
      <c r="AO152" s="34"/>
      <c r="AP152" s="64">
        <f t="shared" si="77"/>
        <v>46142</v>
      </c>
      <c r="AQ152" s="64">
        <f t="shared" si="80"/>
        <v>46126</v>
      </c>
      <c r="AR152" s="65">
        <f t="shared" si="71"/>
        <v>44</v>
      </c>
      <c r="AS152" s="65">
        <f t="shared" si="72"/>
        <v>28</v>
      </c>
      <c r="AT152" s="157">
        <f t="shared" si="73"/>
        <v>16</v>
      </c>
      <c r="AU152" s="13"/>
      <c r="AV152" s="13"/>
      <c r="AW152" s="109">
        <f t="shared" si="79"/>
        <v>10740</v>
      </c>
      <c r="AX152" s="66">
        <f t="shared" si="74"/>
        <v>0</v>
      </c>
      <c r="AY152" s="66"/>
      <c r="AZ152" s="66">
        <f t="shared" si="75"/>
        <v>0</v>
      </c>
      <c r="BA152" s="67">
        <f t="shared" si="76"/>
        <v>0</v>
      </c>
    </row>
    <row r="153" spans="1:53" ht="21.6" customHeight="1" x14ac:dyDescent="0.3">
      <c r="A153" s="2" t="s">
        <v>217</v>
      </c>
      <c r="B153" s="3" t="s">
        <v>77</v>
      </c>
      <c r="C153" s="3" t="s">
        <v>78</v>
      </c>
      <c r="D153" s="3" t="s">
        <v>53</v>
      </c>
      <c r="E153" s="114">
        <v>79601</v>
      </c>
      <c r="F153" s="114" t="s">
        <v>463</v>
      </c>
      <c r="G153" s="144">
        <v>423</v>
      </c>
      <c r="H153" s="394">
        <v>46098</v>
      </c>
      <c r="I153" s="50">
        <v>46111</v>
      </c>
      <c r="J153" s="15">
        <f t="shared" si="64"/>
        <v>13</v>
      </c>
      <c r="K153" s="3" t="s">
        <v>55</v>
      </c>
      <c r="L153" s="3" t="s">
        <v>56</v>
      </c>
      <c r="M153" s="3" t="s">
        <v>208</v>
      </c>
      <c r="N153" s="3" t="s">
        <v>464</v>
      </c>
      <c r="O153" s="3" t="s">
        <v>59</v>
      </c>
      <c r="P153" s="8">
        <v>16880.400000000001</v>
      </c>
      <c r="Q153" s="44" t="s">
        <v>60</v>
      </c>
      <c r="R153" s="57">
        <v>46092</v>
      </c>
      <c r="S153" s="13" t="s">
        <v>61</v>
      </c>
      <c r="T153" s="35">
        <v>46108</v>
      </c>
      <c r="U153" s="37">
        <v>46113</v>
      </c>
      <c r="V153" s="37">
        <f t="shared" si="78"/>
        <v>46111</v>
      </c>
      <c r="W153" s="59">
        <f t="shared" si="66"/>
        <v>19</v>
      </c>
      <c r="X153" s="59">
        <f t="shared" si="67"/>
        <v>21</v>
      </c>
      <c r="Y153" s="59">
        <f t="shared" si="68"/>
        <v>-2</v>
      </c>
      <c r="Z153" s="39"/>
      <c r="AA153" s="4" t="s">
        <v>379</v>
      </c>
      <c r="AB153" s="35">
        <v>46112</v>
      </c>
      <c r="AC153" s="13">
        <v>16880.400000000001</v>
      </c>
      <c r="AD153" s="13">
        <v>7475</v>
      </c>
      <c r="AE153" s="13" t="s">
        <v>63</v>
      </c>
      <c r="AF153" s="35">
        <v>46113</v>
      </c>
      <c r="AG153" s="3" t="str">
        <f t="shared" si="63"/>
        <v>FOB</v>
      </c>
      <c r="AH153" s="13" t="s">
        <v>435</v>
      </c>
      <c r="AI153" s="36" t="e">
        <f>#REF!</f>
        <v>#REF!</v>
      </c>
      <c r="AJ153" s="36">
        <v>0</v>
      </c>
      <c r="AK153" s="142">
        <f t="shared" si="69"/>
        <v>0</v>
      </c>
      <c r="AL153" s="47">
        <v>46112</v>
      </c>
      <c r="AM153" s="153">
        <v>46112</v>
      </c>
      <c r="AN153" s="63">
        <f t="shared" si="70"/>
        <v>-1</v>
      </c>
      <c r="AO153" s="34" t="s">
        <v>65</v>
      </c>
      <c r="AP153" s="64">
        <f t="shared" si="77"/>
        <v>46111</v>
      </c>
      <c r="AQ153" s="64">
        <f t="shared" si="80"/>
        <v>46112</v>
      </c>
      <c r="AR153" s="65">
        <f t="shared" si="71"/>
        <v>13</v>
      </c>
      <c r="AS153" s="65">
        <f t="shared" si="72"/>
        <v>14</v>
      </c>
      <c r="AT153" s="157">
        <f t="shared" si="73"/>
        <v>-1</v>
      </c>
      <c r="AU153" s="13"/>
      <c r="AV153" s="13"/>
      <c r="AW153" s="109">
        <f t="shared" si="79"/>
        <v>16880.400000000001</v>
      </c>
      <c r="AX153" s="66">
        <f t="shared" si="74"/>
        <v>0</v>
      </c>
      <c r="AY153" s="66"/>
      <c r="AZ153" s="66">
        <f t="shared" si="75"/>
        <v>0</v>
      </c>
      <c r="BA153" s="67">
        <f t="shared" si="76"/>
        <v>0</v>
      </c>
    </row>
    <row r="154" spans="1:53" ht="21.6" customHeight="1" x14ac:dyDescent="0.3">
      <c r="A154" s="2" t="s">
        <v>253</v>
      </c>
      <c r="B154" s="15" t="s">
        <v>96</v>
      </c>
      <c r="C154" s="3" t="s">
        <v>78</v>
      </c>
      <c r="D154" s="3" t="s">
        <v>53</v>
      </c>
      <c r="E154" s="3">
        <v>112796995</v>
      </c>
      <c r="F154" s="3" t="s">
        <v>465</v>
      </c>
      <c r="G154" s="144">
        <v>426</v>
      </c>
      <c r="H154" s="394">
        <v>46099</v>
      </c>
      <c r="I154" s="50">
        <v>46129</v>
      </c>
      <c r="J154" s="15">
        <f t="shared" si="64"/>
        <v>30</v>
      </c>
      <c r="K154" s="3" t="s">
        <v>55</v>
      </c>
      <c r="L154" s="3" t="s">
        <v>56</v>
      </c>
      <c r="M154" s="15" t="s">
        <v>255</v>
      </c>
      <c r="N154" s="3" t="s">
        <v>466</v>
      </c>
      <c r="O154" s="3" t="s">
        <v>59</v>
      </c>
      <c r="P154" s="8">
        <v>5764</v>
      </c>
      <c r="Q154" s="44" t="s">
        <v>100</v>
      </c>
      <c r="R154" s="57">
        <f t="shared" ref="R154:R185" si="81">H154</f>
        <v>46099</v>
      </c>
      <c r="S154" s="13" t="s">
        <v>61</v>
      </c>
      <c r="T154" s="35">
        <v>46108</v>
      </c>
      <c r="U154" s="37">
        <v>46106</v>
      </c>
      <c r="V154" s="37">
        <f t="shared" si="78"/>
        <v>46129</v>
      </c>
      <c r="W154" s="59">
        <f t="shared" si="66"/>
        <v>30</v>
      </c>
      <c r="X154" s="59">
        <f t="shared" si="67"/>
        <v>7</v>
      </c>
      <c r="Y154" s="59">
        <f t="shared" si="68"/>
        <v>23</v>
      </c>
      <c r="Z154" s="39"/>
      <c r="AA154" s="4" t="s">
        <v>379</v>
      </c>
      <c r="AB154" s="35">
        <v>46108</v>
      </c>
      <c r="AC154" s="13">
        <v>5764</v>
      </c>
      <c r="AD154" s="13">
        <v>7460</v>
      </c>
      <c r="AE154" s="13" t="s">
        <v>63</v>
      </c>
      <c r="AF154" s="35">
        <v>46113</v>
      </c>
      <c r="AG154" s="3" t="str">
        <f t="shared" si="63"/>
        <v>FOB</v>
      </c>
      <c r="AH154" s="13" t="s">
        <v>257</v>
      </c>
      <c r="AI154" s="36" t="e">
        <f>#REF!</f>
        <v>#REF!</v>
      </c>
      <c r="AJ154" s="36">
        <v>0</v>
      </c>
      <c r="AK154" s="142">
        <f t="shared" si="69"/>
        <v>0</v>
      </c>
      <c r="AL154" s="47">
        <v>46108</v>
      </c>
      <c r="AM154" s="153">
        <v>46108</v>
      </c>
      <c r="AN154" s="63">
        <f t="shared" si="70"/>
        <v>-5</v>
      </c>
      <c r="AO154" s="34" t="s">
        <v>65</v>
      </c>
      <c r="AP154" s="64">
        <f t="shared" si="77"/>
        <v>46129</v>
      </c>
      <c r="AQ154" s="64">
        <f t="shared" si="80"/>
        <v>46108</v>
      </c>
      <c r="AR154" s="65">
        <f t="shared" si="71"/>
        <v>30</v>
      </c>
      <c r="AS154" s="65">
        <f t="shared" si="72"/>
        <v>9</v>
      </c>
      <c r="AT154" s="157">
        <f t="shared" si="73"/>
        <v>21</v>
      </c>
      <c r="AU154" s="13"/>
      <c r="AV154" s="13" t="s">
        <v>59</v>
      </c>
      <c r="AW154" s="109">
        <f t="shared" si="79"/>
        <v>5764</v>
      </c>
      <c r="AX154" s="66">
        <f t="shared" si="74"/>
        <v>0</v>
      </c>
      <c r="AY154" s="66"/>
      <c r="AZ154" s="66">
        <f t="shared" si="75"/>
        <v>0</v>
      </c>
      <c r="BA154" s="67">
        <f t="shared" si="76"/>
        <v>0</v>
      </c>
    </row>
    <row r="155" spans="1:53" ht="21.6" customHeight="1" x14ac:dyDescent="0.3">
      <c r="A155" s="2" t="s">
        <v>317</v>
      </c>
      <c r="B155" s="3" t="s">
        <v>51</v>
      </c>
      <c r="C155" s="3" t="s">
        <v>78</v>
      </c>
      <c r="D155" s="3" t="s">
        <v>53</v>
      </c>
      <c r="E155" s="3">
        <v>3565306</v>
      </c>
      <c r="F155" s="3" t="s">
        <v>467</v>
      </c>
      <c r="G155" s="144">
        <v>427</v>
      </c>
      <c r="H155" s="394">
        <v>46099</v>
      </c>
      <c r="I155" s="50">
        <v>46142</v>
      </c>
      <c r="J155" s="15">
        <f t="shared" si="64"/>
        <v>43</v>
      </c>
      <c r="K155" s="3" t="s">
        <v>70</v>
      </c>
      <c r="L155" s="3" t="s">
        <v>56</v>
      </c>
      <c r="M155" s="3" t="s">
        <v>57</v>
      </c>
      <c r="N155" s="3" t="s">
        <v>468</v>
      </c>
      <c r="O155" s="3" t="s">
        <v>59</v>
      </c>
      <c r="P155" s="8">
        <v>21587.200000000001</v>
      </c>
      <c r="Q155" s="44" t="s">
        <v>100</v>
      </c>
      <c r="R155" s="57">
        <f t="shared" si="81"/>
        <v>46099</v>
      </c>
      <c r="S155" s="13" t="s">
        <v>61</v>
      </c>
      <c r="T155" s="35">
        <v>46112</v>
      </c>
      <c r="U155" s="37">
        <v>46112</v>
      </c>
      <c r="V155" s="37">
        <f t="shared" si="78"/>
        <v>46142</v>
      </c>
      <c r="W155" s="59">
        <f t="shared" si="66"/>
        <v>43</v>
      </c>
      <c r="X155" s="59">
        <f t="shared" si="67"/>
        <v>13</v>
      </c>
      <c r="Y155" s="59">
        <f t="shared" si="68"/>
        <v>30</v>
      </c>
      <c r="Z155" s="39"/>
      <c r="AA155" s="4" t="s">
        <v>379</v>
      </c>
      <c r="AB155" s="35">
        <v>46112</v>
      </c>
      <c r="AC155" s="13">
        <v>21587.200000000001</v>
      </c>
      <c r="AD155" s="13">
        <v>7470</v>
      </c>
      <c r="AE155" s="13" t="s">
        <v>63</v>
      </c>
      <c r="AF155" s="35">
        <v>46119</v>
      </c>
      <c r="AG155" s="3" t="str">
        <f t="shared" si="63"/>
        <v>CIF</v>
      </c>
      <c r="AH155" s="13" t="s">
        <v>64</v>
      </c>
      <c r="AI155" s="36" t="e">
        <f>#REF!</f>
        <v>#REF!</v>
      </c>
      <c r="AJ155" s="36">
        <v>0</v>
      </c>
      <c r="AK155" s="142">
        <f t="shared" si="69"/>
        <v>0</v>
      </c>
      <c r="AL155" s="47">
        <v>46119</v>
      </c>
      <c r="AM155" s="153">
        <v>46119</v>
      </c>
      <c r="AN155" s="63">
        <f t="shared" si="70"/>
        <v>0</v>
      </c>
      <c r="AO155" s="34" t="s">
        <v>65</v>
      </c>
      <c r="AP155" s="64">
        <f t="shared" si="77"/>
        <v>46142</v>
      </c>
      <c r="AQ155" s="64">
        <f t="shared" si="80"/>
        <v>46119</v>
      </c>
      <c r="AR155" s="65">
        <f t="shared" si="71"/>
        <v>43</v>
      </c>
      <c r="AS155" s="65">
        <f t="shared" si="72"/>
        <v>20</v>
      </c>
      <c r="AT155" s="157">
        <f t="shared" si="73"/>
        <v>23</v>
      </c>
      <c r="AU155" s="13"/>
      <c r="AV155" s="13"/>
      <c r="AW155" s="109">
        <f t="shared" si="79"/>
        <v>21587.200000000001</v>
      </c>
      <c r="AX155" s="66">
        <f t="shared" si="74"/>
        <v>0</v>
      </c>
      <c r="AY155" s="66"/>
      <c r="AZ155" s="66">
        <f t="shared" si="75"/>
        <v>0</v>
      </c>
      <c r="BA155" s="67">
        <f t="shared" si="76"/>
        <v>0</v>
      </c>
    </row>
    <row r="156" spans="1:53" ht="21.6" customHeight="1" x14ac:dyDescent="0.3">
      <c r="A156" s="2" t="s">
        <v>469</v>
      </c>
      <c r="B156" s="3" t="s">
        <v>96</v>
      </c>
      <c r="C156" s="3" t="s">
        <v>78</v>
      </c>
      <c r="D156" s="3" t="s">
        <v>53</v>
      </c>
      <c r="E156" s="3">
        <v>46602</v>
      </c>
      <c r="F156" s="3" t="s">
        <v>470</v>
      </c>
      <c r="G156" s="144">
        <v>428</v>
      </c>
      <c r="H156" s="394">
        <v>46099</v>
      </c>
      <c r="I156" s="50">
        <v>46129</v>
      </c>
      <c r="J156" s="15">
        <f t="shared" si="64"/>
        <v>30</v>
      </c>
      <c r="K156" s="3" t="s">
        <v>55</v>
      </c>
      <c r="L156" s="3" t="s">
        <v>56</v>
      </c>
      <c r="M156" s="3" t="s">
        <v>255</v>
      </c>
      <c r="N156" s="3" t="s">
        <v>273</v>
      </c>
      <c r="O156" s="3" t="s">
        <v>59</v>
      </c>
      <c r="P156" s="8">
        <v>10582.71</v>
      </c>
      <c r="Q156" s="44" t="s">
        <v>100</v>
      </c>
      <c r="R156" s="57">
        <f t="shared" si="81"/>
        <v>46099</v>
      </c>
      <c r="S156" s="13" t="s">
        <v>61</v>
      </c>
      <c r="T156" s="35">
        <v>46122</v>
      </c>
      <c r="U156" s="37">
        <v>46119</v>
      </c>
      <c r="V156" s="37">
        <f t="shared" si="78"/>
        <v>46129</v>
      </c>
      <c r="W156" s="59">
        <f t="shared" si="66"/>
        <v>30</v>
      </c>
      <c r="X156" s="59">
        <f t="shared" si="67"/>
        <v>20</v>
      </c>
      <c r="Y156" s="59">
        <f t="shared" si="68"/>
        <v>10</v>
      </c>
      <c r="Z156" s="39"/>
      <c r="AA156" s="4" t="s">
        <v>458</v>
      </c>
      <c r="AB156" s="35">
        <v>46119</v>
      </c>
      <c r="AC156" s="13">
        <v>10582.71</v>
      </c>
      <c r="AD156" s="13">
        <v>7493</v>
      </c>
      <c r="AE156" s="13" t="s">
        <v>63</v>
      </c>
      <c r="AF156" s="35">
        <v>46122</v>
      </c>
      <c r="AG156" s="3" t="str">
        <f t="shared" si="63"/>
        <v>FOB</v>
      </c>
      <c r="AH156" s="13" t="s">
        <v>274</v>
      </c>
      <c r="AI156" s="36" t="e">
        <f>#REF!</f>
        <v>#REF!</v>
      </c>
      <c r="AJ156" s="36">
        <v>0</v>
      </c>
      <c r="AK156" s="142">
        <f t="shared" si="69"/>
        <v>0</v>
      </c>
      <c r="AL156" s="47">
        <v>46121</v>
      </c>
      <c r="AM156" s="153">
        <v>46121</v>
      </c>
      <c r="AN156" s="63">
        <f t="shared" si="70"/>
        <v>-1</v>
      </c>
      <c r="AO156" s="34" t="s">
        <v>65</v>
      </c>
      <c r="AP156" s="64">
        <f t="shared" si="77"/>
        <v>46129</v>
      </c>
      <c r="AQ156" s="64">
        <f t="shared" si="80"/>
        <v>46121</v>
      </c>
      <c r="AR156" s="65">
        <f t="shared" si="71"/>
        <v>30</v>
      </c>
      <c r="AS156" s="65">
        <f t="shared" si="72"/>
        <v>22</v>
      </c>
      <c r="AT156" s="157">
        <f t="shared" si="73"/>
        <v>8</v>
      </c>
      <c r="AU156" s="13"/>
      <c r="AV156" s="13" t="s">
        <v>59</v>
      </c>
      <c r="AW156" s="109">
        <f t="shared" si="79"/>
        <v>10582.71</v>
      </c>
      <c r="AX156" s="66">
        <f t="shared" si="74"/>
        <v>0</v>
      </c>
      <c r="AY156" s="66"/>
      <c r="AZ156" s="66">
        <f t="shared" si="75"/>
        <v>0</v>
      </c>
      <c r="BA156" s="67">
        <f t="shared" si="76"/>
        <v>0</v>
      </c>
    </row>
    <row r="157" spans="1:53" ht="21.6" customHeight="1" x14ac:dyDescent="0.3">
      <c r="A157" s="2" t="s">
        <v>471</v>
      </c>
      <c r="B157" s="15" t="s">
        <v>77</v>
      </c>
      <c r="C157" s="3" t="s">
        <v>78</v>
      </c>
      <c r="D157" s="3" t="s">
        <v>53</v>
      </c>
      <c r="E157" s="3">
        <v>7000030732</v>
      </c>
      <c r="F157" s="3" t="s">
        <v>472</v>
      </c>
      <c r="G157" s="144">
        <v>429</v>
      </c>
      <c r="H157" s="394">
        <v>46099</v>
      </c>
      <c r="I157" s="50">
        <v>46142</v>
      </c>
      <c r="J157" s="15">
        <f t="shared" si="64"/>
        <v>43</v>
      </c>
      <c r="K157" s="3" t="s">
        <v>70</v>
      </c>
      <c r="L157" s="3" t="s">
        <v>56</v>
      </c>
      <c r="M157" s="15" t="s">
        <v>81</v>
      </c>
      <c r="N157" s="3" t="s">
        <v>473</v>
      </c>
      <c r="O157" s="3" t="s">
        <v>59</v>
      </c>
      <c r="P157" s="8">
        <v>19792.169999999998</v>
      </c>
      <c r="Q157" s="44" t="s">
        <v>100</v>
      </c>
      <c r="R157" s="57">
        <f t="shared" si="81"/>
        <v>46099</v>
      </c>
      <c r="S157" s="13" t="s">
        <v>61</v>
      </c>
      <c r="T157" s="35">
        <v>46122</v>
      </c>
      <c r="U157" s="37">
        <v>46120</v>
      </c>
      <c r="V157" s="37">
        <f t="shared" si="78"/>
        <v>46142</v>
      </c>
      <c r="W157" s="59">
        <f t="shared" si="66"/>
        <v>43</v>
      </c>
      <c r="X157" s="59">
        <f t="shared" si="67"/>
        <v>21</v>
      </c>
      <c r="Y157" s="59">
        <f t="shared" si="68"/>
        <v>22</v>
      </c>
      <c r="Z157" s="39"/>
      <c r="AA157" s="4" t="s">
        <v>458</v>
      </c>
      <c r="AB157" s="35">
        <v>46119</v>
      </c>
      <c r="AC157" s="118">
        <v>19792.169999999998</v>
      </c>
      <c r="AD157" s="118">
        <v>7494</v>
      </c>
      <c r="AE157" s="118" t="s">
        <v>63</v>
      </c>
      <c r="AF157" s="119">
        <v>46121</v>
      </c>
      <c r="AG157" s="115" t="str">
        <f t="shared" ref="AG157:AG183" si="82">K157</f>
        <v>CIF</v>
      </c>
      <c r="AH157" s="13" t="s">
        <v>180</v>
      </c>
      <c r="AI157" s="36" t="e">
        <f>#REF!</f>
        <v>#REF!</v>
      </c>
      <c r="AJ157" s="36">
        <v>0</v>
      </c>
      <c r="AK157" s="142">
        <f t="shared" si="69"/>
        <v>0</v>
      </c>
      <c r="AL157" s="47">
        <v>46129</v>
      </c>
      <c r="AM157" s="153">
        <v>46126</v>
      </c>
      <c r="AN157" s="63">
        <f t="shared" si="70"/>
        <v>5</v>
      </c>
      <c r="AO157" s="34" t="s">
        <v>65</v>
      </c>
      <c r="AP157" s="64">
        <f t="shared" si="77"/>
        <v>46142</v>
      </c>
      <c r="AQ157" s="64">
        <f t="shared" si="80"/>
        <v>46126</v>
      </c>
      <c r="AR157" s="65">
        <f t="shared" si="71"/>
        <v>43</v>
      </c>
      <c r="AS157" s="65">
        <f t="shared" si="72"/>
        <v>27</v>
      </c>
      <c r="AT157" s="157">
        <f t="shared" si="73"/>
        <v>16</v>
      </c>
      <c r="AU157" s="13"/>
      <c r="AV157" s="13" t="s">
        <v>59</v>
      </c>
      <c r="AW157" s="109">
        <f t="shared" si="79"/>
        <v>19792.169999999998</v>
      </c>
      <c r="AX157" s="66">
        <f t="shared" si="74"/>
        <v>0</v>
      </c>
      <c r="AY157" s="66"/>
      <c r="AZ157" s="66">
        <f t="shared" si="75"/>
        <v>0</v>
      </c>
      <c r="BA157" s="67">
        <f t="shared" si="76"/>
        <v>0</v>
      </c>
    </row>
    <row r="158" spans="1:53" ht="21.6" customHeight="1" x14ac:dyDescent="0.3">
      <c r="A158" s="2" t="s">
        <v>202</v>
      </c>
      <c r="B158" s="15" t="s">
        <v>51</v>
      </c>
      <c r="C158" s="3" t="s">
        <v>52</v>
      </c>
      <c r="D158" s="3" t="s">
        <v>53</v>
      </c>
      <c r="E158" s="3">
        <v>1914</v>
      </c>
      <c r="F158" s="3" t="s">
        <v>474</v>
      </c>
      <c r="G158" s="144">
        <v>430</v>
      </c>
      <c r="H158" s="394">
        <v>46100</v>
      </c>
      <c r="I158" s="50">
        <v>46112</v>
      </c>
      <c r="J158" s="15">
        <f t="shared" si="64"/>
        <v>12</v>
      </c>
      <c r="K158" s="3" t="s">
        <v>55</v>
      </c>
      <c r="L158" s="3" t="s">
        <v>56</v>
      </c>
      <c r="M158" s="15" t="s">
        <v>57</v>
      </c>
      <c r="N158" s="3" t="s">
        <v>315</v>
      </c>
      <c r="O158" s="3" t="s">
        <v>59</v>
      </c>
      <c r="P158" s="8">
        <v>7754.92</v>
      </c>
      <c r="Q158" s="44" t="s">
        <v>60</v>
      </c>
      <c r="R158" s="57">
        <f t="shared" si="81"/>
        <v>46100</v>
      </c>
      <c r="S158" s="13" t="s">
        <v>61</v>
      </c>
      <c r="T158" s="35">
        <v>46112</v>
      </c>
      <c r="U158" s="37">
        <v>46108</v>
      </c>
      <c r="V158" s="37">
        <f t="shared" si="78"/>
        <v>46112</v>
      </c>
      <c r="W158" s="59">
        <f t="shared" si="66"/>
        <v>12</v>
      </c>
      <c r="X158" s="59">
        <f t="shared" si="67"/>
        <v>8</v>
      </c>
      <c r="Y158" s="59">
        <f t="shared" si="68"/>
        <v>4</v>
      </c>
      <c r="Z158" s="39"/>
      <c r="AA158" s="4" t="s">
        <v>379</v>
      </c>
      <c r="AB158" s="35">
        <v>46120</v>
      </c>
      <c r="AC158" s="13">
        <v>4589.6400000000003</v>
      </c>
      <c r="AD158" s="13">
        <v>7496</v>
      </c>
      <c r="AE158" s="13" t="s">
        <v>63</v>
      </c>
      <c r="AF158" s="35">
        <v>46113</v>
      </c>
      <c r="AG158" s="3" t="str">
        <f t="shared" si="82"/>
        <v>FOB</v>
      </c>
      <c r="AH158" s="4" t="s">
        <v>127</v>
      </c>
      <c r="AI158" s="36" t="e">
        <f>#REF!</f>
        <v>#REF!</v>
      </c>
      <c r="AJ158" s="36">
        <v>0</v>
      </c>
      <c r="AK158" s="142">
        <f t="shared" si="69"/>
        <v>0</v>
      </c>
      <c r="AL158" s="47">
        <v>46111</v>
      </c>
      <c r="AM158" s="153">
        <v>46111</v>
      </c>
      <c r="AN158" s="63">
        <f t="shared" si="70"/>
        <v>-2</v>
      </c>
      <c r="AO158" s="34" t="s">
        <v>65</v>
      </c>
      <c r="AP158" s="64">
        <f t="shared" si="77"/>
        <v>46112</v>
      </c>
      <c r="AQ158" s="64">
        <f t="shared" si="80"/>
        <v>46111</v>
      </c>
      <c r="AR158" s="65">
        <f t="shared" si="71"/>
        <v>12</v>
      </c>
      <c r="AS158" s="65">
        <f t="shared" si="72"/>
        <v>11</v>
      </c>
      <c r="AT158" s="157">
        <f t="shared" si="73"/>
        <v>1</v>
      </c>
      <c r="AU158" s="13"/>
      <c r="AV158" s="13"/>
      <c r="AW158" s="109">
        <f t="shared" si="79"/>
        <v>4589.6400000000003</v>
      </c>
      <c r="AX158" s="66">
        <f t="shared" si="74"/>
        <v>0</v>
      </c>
      <c r="AY158" s="66"/>
      <c r="AZ158" s="66">
        <f t="shared" si="75"/>
        <v>0</v>
      </c>
      <c r="BA158" s="67">
        <f t="shared" si="76"/>
        <v>0</v>
      </c>
    </row>
    <row r="159" spans="1:53" ht="21.6" customHeight="1" x14ac:dyDescent="0.3">
      <c r="A159" s="2" t="s">
        <v>202</v>
      </c>
      <c r="B159" s="15" t="s">
        <v>51</v>
      </c>
      <c r="C159" s="3" t="s">
        <v>78</v>
      </c>
      <c r="D159" s="3" t="s">
        <v>53</v>
      </c>
      <c r="E159" s="3">
        <v>1914</v>
      </c>
      <c r="F159" s="3" t="s">
        <v>474</v>
      </c>
      <c r="G159" s="144">
        <v>431</v>
      </c>
      <c r="H159" s="394">
        <v>46100</v>
      </c>
      <c r="I159" s="50">
        <v>46118</v>
      </c>
      <c r="J159" s="15">
        <f t="shared" si="64"/>
        <v>18</v>
      </c>
      <c r="K159" s="3" t="s">
        <v>55</v>
      </c>
      <c r="L159" s="3" t="s">
        <v>56</v>
      </c>
      <c r="M159" s="15" t="s">
        <v>57</v>
      </c>
      <c r="N159" s="3" t="s">
        <v>315</v>
      </c>
      <c r="O159" s="3" t="s">
        <v>59</v>
      </c>
      <c r="P159" s="8">
        <v>4589.6400000000003</v>
      </c>
      <c r="Q159" s="44" t="s">
        <v>100</v>
      </c>
      <c r="R159" s="57">
        <f t="shared" si="81"/>
        <v>46100</v>
      </c>
      <c r="S159" s="13" t="s">
        <v>61</v>
      </c>
      <c r="T159" s="35">
        <v>46114</v>
      </c>
      <c r="U159" s="37">
        <v>46120</v>
      </c>
      <c r="V159" s="37">
        <f t="shared" si="78"/>
        <v>46118</v>
      </c>
      <c r="W159" s="59">
        <f t="shared" si="66"/>
        <v>18</v>
      </c>
      <c r="X159" s="59">
        <f t="shared" si="67"/>
        <v>20</v>
      </c>
      <c r="Y159" s="59">
        <f t="shared" si="68"/>
        <v>-2</v>
      </c>
      <c r="Z159" s="39"/>
      <c r="AA159" s="4" t="s">
        <v>458</v>
      </c>
      <c r="AB159" s="35">
        <v>46120</v>
      </c>
      <c r="AC159" s="13">
        <v>4589.6400000000003</v>
      </c>
      <c r="AD159" s="13">
        <v>7496</v>
      </c>
      <c r="AE159" s="13" t="s">
        <v>63</v>
      </c>
      <c r="AF159" s="35">
        <v>46122</v>
      </c>
      <c r="AG159" s="3" t="str">
        <f t="shared" si="82"/>
        <v>FOB</v>
      </c>
      <c r="AH159" s="363" t="s">
        <v>127</v>
      </c>
      <c r="AI159" s="36" t="e">
        <f>#REF!</f>
        <v>#REF!</v>
      </c>
      <c r="AJ159" s="36">
        <v>0</v>
      </c>
      <c r="AK159" s="142">
        <f t="shared" si="69"/>
        <v>0</v>
      </c>
      <c r="AL159" s="47">
        <v>46120</v>
      </c>
      <c r="AM159" s="153">
        <v>46120</v>
      </c>
      <c r="AN159" s="63">
        <f t="shared" si="70"/>
        <v>-2</v>
      </c>
      <c r="AO159" s="34" t="s">
        <v>103</v>
      </c>
      <c r="AP159" s="64">
        <f t="shared" si="77"/>
        <v>46118</v>
      </c>
      <c r="AQ159" s="64">
        <f t="shared" si="80"/>
        <v>46120</v>
      </c>
      <c r="AR159" s="65">
        <f t="shared" si="71"/>
        <v>18</v>
      </c>
      <c r="AS159" s="65">
        <f t="shared" si="72"/>
        <v>20</v>
      </c>
      <c r="AT159" s="157">
        <f t="shared" si="73"/>
        <v>-2</v>
      </c>
      <c r="AU159" s="13" t="s">
        <v>475</v>
      </c>
      <c r="AV159" s="13" t="s">
        <v>116</v>
      </c>
      <c r="AW159" s="109">
        <f t="shared" si="79"/>
        <v>4589.6400000000003</v>
      </c>
      <c r="AX159" s="66">
        <f t="shared" si="74"/>
        <v>0</v>
      </c>
      <c r="AY159" s="66"/>
      <c r="AZ159" s="66">
        <f t="shared" si="75"/>
        <v>0</v>
      </c>
      <c r="BA159" s="67">
        <f t="shared" si="76"/>
        <v>0</v>
      </c>
    </row>
    <row r="160" spans="1:53" ht="21.6" customHeight="1" x14ac:dyDescent="0.3">
      <c r="A160" s="2" t="s">
        <v>307</v>
      </c>
      <c r="B160" s="15" t="s">
        <v>51</v>
      </c>
      <c r="C160" s="3" t="s">
        <v>78</v>
      </c>
      <c r="D160" s="3">
        <v>4600016155</v>
      </c>
      <c r="E160" s="3">
        <v>4501929985</v>
      </c>
      <c r="F160" s="3" t="s">
        <v>53</v>
      </c>
      <c r="G160" s="144">
        <v>432</v>
      </c>
      <c r="H160" s="394">
        <v>46100</v>
      </c>
      <c r="I160" s="50">
        <v>46157</v>
      </c>
      <c r="J160" s="15">
        <f t="shared" si="64"/>
        <v>57</v>
      </c>
      <c r="K160" s="3" t="s">
        <v>70</v>
      </c>
      <c r="L160" s="3" t="s">
        <v>56</v>
      </c>
      <c r="M160" s="15" t="s">
        <v>57</v>
      </c>
      <c r="N160" s="3" t="s">
        <v>315</v>
      </c>
      <c r="O160" s="3" t="s">
        <v>59</v>
      </c>
      <c r="P160" s="8">
        <v>34329.54</v>
      </c>
      <c r="Q160" s="44" t="s">
        <v>100</v>
      </c>
      <c r="R160" s="57">
        <f t="shared" si="81"/>
        <v>46100</v>
      </c>
      <c r="S160" s="13" t="s">
        <v>61</v>
      </c>
      <c r="T160" s="35">
        <v>46129</v>
      </c>
      <c r="U160" s="37">
        <v>46126</v>
      </c>
      <c r="V160" s="37">
        <f t="shared" si="78"/>
        <v>46157</v>
      </c>
      <c r="W160" s="59">
        <f t="shared" si="66"/>
        <v>57</v>
      </c>
      <c r="X160" s="59">
        <f t="shared" si="67"/>
        <v>26</v>
      </c>
      <c r="Y160" s="59">
        <f t="shared" si="68"/>
        <v>31</v>
      </c>
      <c r="Z160" s="39"/>
      <c r="AA160" s="4" t="s">
        <v>433</v>
      </c>
      <c r="AB160" s="35">
        <v>46128</v>
      </c>
      <c r="AC160" s="13">
        <v>34831.300000000003</v>
      </c>
      <c r="AD160" s="13">
        <v>7517</v>
      </c>
      <c r="AE160" s="13" t="s">
        <v>63</v>
      </c>
      <c r="AF160" s="35">
        <v>46129</v>
      </c>
      <c r="AG160" s="3" t="str">
        <f t="shared" si="82"/>
        <v>CIF</v>
      </c>
      <c r="AH160" s="243" t="s">
        <v>64</v>
      </c>
      <c r="AI160" s="36" t="e">
        <f>#REF!</f>
        <v>#REF!</v>
      </c>
      <c r="AJ160" s="36">
        <v>0</v>
      </c>
      <c r="AK160" s="142">
        <f t="shared" si="69"/>
        <v>0</v>
      </c>
      <c r="AL160" s="47">
        <v>46129</v>
      </c>
      <c r="AM160" s="153">
        <v>46129</v>
      </c>
      <c r="AN160" s="63">
        <f t="shared" si="70"/>
        <v>0</v>
      </c>
      <c r="AO160" s="34" t="s">
        <v>65</v>
      </c>
      <c r="AP160" s="64">
        <f t="shared" si="77"/>
        <v>46157</v>
      </c>
      <c r="AQ160" s="64">
        <f t="shared" si="80"/>
        <v>46129</v>
      </c>
      <c r="AR160" s="65">
        <f t="shared" si="71"/>
        <v>57</v>
      </c>
      <c r="AS160" s="65">
        <f t="shared" si="72"/>
        <v>29</v>
      </c>
      <c r="AT160" s="157">
        <f t="shared" si="73"/>
        <v>28</v>
      </c>
      <c r="AU160" s="13"/>
      <c r="AV160" s="13" t="s">
        <v>59</v>
      </c>
      <c r="AW160" s="109">
        <f t="shared" si="79"/>
        <v>34831.300000000003</v>
      </c>
      <c r="AX160" s="66">
        <f t="shared" si="74"/>
        <v>0</v>
      </c>
      <c r="AY160" s="66"/>
      <c r="AZ160" s="66">
        <f t="shared" si="75"/>
        <v>0</v>
      </c>
      <c r="BA160" s="67">
        <f t="shared" si="76"/>
        <v>0</v>
      </c>
    </row>
    <row r="161" spans="1:53" ht="21.6" customHeight="1" x14ac:dyDescent="0.3">
      <c r="A161" s="2" t="s">
        <v>476</v>
      </c>
      <c r="B161" s="15" t="s">
        <v>51</v>
      </c>
      <c r="C161" s="3" t="s">
        <v>78</v>
      </c>
      <c r="D161" s="3" t="s">
        <v>53</v>
      </c>
      <c r="E161" s="3">
        <v>1349</v>
      </c>
      <c r="F161" s="3" t="s">
        <v>53</v>
      </c>
      <c r="G161" s="144">
        <v>438</v>
      </c>
      <c r="H161" s="394">
        <v>46104</v>
      </c>
      <c r="I161" s="50">
        <v>46114</v>
      </c>
      <c r="J161" s="15">
        <f t="shared" si="64"/>
        <v>10</v>
      </c>
      <c r="K161" s="3" t="s">
        <v>55</v>
      </c>
      <c r="L161" s="3" t="s">
        <v>56</v>
      </c>
      <c r="M161" s="15" t="s">
        <v>57</v>
      </c>
      <c r="N161" s="3" t="s">
        <v>315</v>
      </c>
      <c r="O161" s="3" t="s">
        <v>59</v>
      </c>
      <c r="P161" s="8">
        <v>6563.2</v>
      </c>
      <c r="Q161" s="44" t="s">
        <v>60</v>
      </c>
      <c r="R161" s="57">
        <f t="shared" si="81"/>
        <v>46104</v>
      </c>
      <c r="S161" s="13" t="s">
        <v>61</v>
      </c>
      <c r="T161" s="35">
        <v>46114</v>
      </c>
      <c r="U161" s="37">
        <v>46119</v>
      </c>
      <c r="V161" s="37">
        <f t="shared" si="78"/>
        <v>46114</v>
      </c>
      <c r="W161" s="59">
        <f t="shared" si="66"/>
        <v>10</v>
      </c>
      <c r="X161" s="59">
        <f t="shared" si="67"/>
        <v>15</v>
      </c>
      <c r="Y161" s="59">
        <f t="shared" si="68"/>
        <v>-5</v>
      </c>
      <c r="Z161" s="39"/>
      <c r="AA161" s="4" t="s">
        <v>458</v>
      </c>
      <c r="AB161" s="35">
        <v>46125</v>
      </c>
      <c r="AC161" s="13">
        <v>6563.2</v>
      </c>
      <c r="AD161" s="13">
        <v>7507</v>
      </c>
      <c r="AE161" s="13" t="s">
        <v>63</v>
      </c>
      <c r="AF161" s="35">
        <v>46126</v>
      </c>
      <c r="AG161" s="3" t="str">
        <f t="shared" si="82"/>
        <v>FOB</v>
      </c>
      <c r="AH161" s="240" t="s">
        <v>477</v>
      </c>
      <c r="AI161" s="36" t="e">
        <f>#REF!</f>
        <v>#REF!</v>
      </c>
      <c r="AJ161" s="36">
        <v>0</v>
      </c>
      <c r="AK161" s="142">
        <f t="shared" si="69"/>
        <v>0</v>
      </c>
      <c r="AL161" s="47">
        <v>46119</v>
      </c>
      <c r="AM161" s="153">
        <v>46119</v>
      </c>
      <c r="AN161" s="63">
        <f t="shared" si="70"/>
        <v>-7</v>
      </c>
      <c r="AO161" s="34" t="s">
        <v>103</v>
      </c>
      <c r="AP161" s="64">
        <f t="shared" si="77"/>
        <v>46114</v>
      </c>
      <c r="AQ161" s="64">
        <f t="shared" si="80"/>
        <v>46119</v>
      </c>
      <c r="AR161" s="65">
        <f t="shared" si="71"/>
        <v>10</v>
      </c>
      <c r="AS161" s="65">
        <f t="shared" si="72"/>
        <v>15</v>
      </c>
      <c r="AT161" s="157">
        <f t="shared" si="73"/>
        <v>-5</v>
      </c>
      <c r="AU161" s="13" t="s">
        <v>475</v>
      </c>
      <c r="AV161" s="13" t="s">
        <v>116</v>
      </c>
      <c r="AW161" s="109">
        <f t="shared" si="79"/>
        <v>6563.2</v>
      </c>
      <c r="AX161" s="66">
        <f t="shared" si="74"/>
        <v>0</v>
      </c>
      <c r="AY161" s="66"/>
      <c r="AZ161" s="66">
        <f t="shared" si="75"/>
        <v>0</v>
      </c>
      <c r="BA161" s="67">
        <f t="shared" si="76"/>
        <v>0</v>
      </c>
    </row>
    <row r="162" spans="1:53" ht="21.6" customHeight="1" x14ac:dyDescent="0.3">
      <c r="A162" s="2" t="s">
        <v>307</v>
      </c>
      <c r="B162" s="15" t="s">
        <v>51</v>
      </c>
      <c r="C162" s="3" t="s">
        <v>78</v>
      </c>
      <c r="D162" s="3">
        <v>4600016155</v>
      </c>
      <c r="E162" s="3">
        <v>4501928300</v>
      </c>
      <c r="F162" s="3" t="s">
        <v>53</v>
      </c>
      <c r="G162" s="144">
        <v>439</v>
      </c>
      <c r="H162" s="394">
        <v>46105</v>
      </c>
      <c r="I162" s="50">
        <v>46152</v>
      </c>
      <c r="J162" s="15">
        <f t="shared" si="64"/>
        <v>47</v>
      </c>
      <c r="K162" s="3" t="s">
        <v>70</v>
      </c>
      <c r="L162" s="3" t="s">
        <v>56</v>
      </c>
      <c r="M162" s="15" t="s">
        <v>57</v>
      </c>
      <c r="N162" s="3" t="s">
        <v>478</v>
      </c>
      <c r="O162" s="3" t="s">
        <v>59</v>
      </c>
      <c r="P162" s="8">
        <v>481.08</v>
      </c>
      <c r="Q162" s="44" t="s">
        <v>60</v>
      </c>
      <c r="R162" s="57">
        <f t="shared" si="81"/>
        <v>46105</v>
      </c>
      <c r="S162" s="13" t="s">
        <v>61</v>
      </c>
      <c r="T162" s="35">
        <v>46132</v>
      </c>
      <c r="U162" s="37">
        <v>46126</v>
      </c>
      <c r="V162" s="37">
        <f t="shared" si="78"/>
        <v>46152</v>
      </c>
      <c r="W162" s="59">
        <f t="shared" si="66"/>
        <v>47</v>
      </c>
      <c r="X162" s="59">
        <f t="shared" si="67"/>
        <v>21</v>
      </c>
      <c r="Y162" s="59">
        <f t="shared" si="68"/>
        <v>26</v>
      </c>
      <c r="Z162" s="39"/>
      <c r="AA162" s="4" t="s">
        <v>458</v>
      </c>
      <c r="AB162" s="35">
        <v>46128</v>
      </c>
      <c r="AC162" s="13">
        <v>488.14</v>
      </c>
      <c r="AD162" s="13">
        <v>7514</v>
      </c>
      <c r="AE162" s="13" t="s">
        <v>63</v>
      </c>
      <c r="AF162" s="35">
        <v>46129</v>
      </c>
      <c r="AG162" s="3" t="str">
        <f t="shared" si="82"/>
        <v>CIF</v>
      </c>
      <c r="AH162" s="13" t="s">
        <v>64</v>
      </c>
      <c r="AI162" s="36" t="e">
        <f>#REF!</f>
        <v>#REF!</v>
      </c>
      <c r="AJ162" s="36">
        <v>0</v>
      </c>
      <c r="AK162" s="142">
        <f t="shared" ref="AK162:AK186" si="83">AJ162/AC162</f>
        <v>0</v>
      </c>
      <c r="AL162" s="47">
        <v>46129</v>
      </c>
      <c r="AM162" s="153">
        <v>46129</v>
      </c>
      <c r="AN162" s="63">
        <f t="shared" ref="AN162:AN193" si="84">AM162-AF162</f>
        <v>0</v>
      </c>
      <c r="AO162" s="34" t="s">
        <v>65</v>
      </c>
      <c r="AP162" s="64">
        <f t="shared" si="77"/>
        <v>46152</v>
      </c>
      <c r="AQ162" s="64">
        <f t="shared" si="80"/>
        <v>46129</v>
      </c>
      <c r="AR162" s="65">
        <f t="shared" si="71"/>
        <v>47</v>
      </c>
      <c r="AS162" s="65">
        <f t="shared" si="72"/>
        <v>24</v>
      </c>
      <c r="AT162" s="157">
        <f t="shared" si="73"/>
        <v>23</v>
      </c>
      <c r="AU162" s="13"/>
      <c r="AV162" s="13" t="s">
        <v>59</v>
      </c>
      <c r="AW162" s="109">
        <f t="shared" si="79"/>
        <v>488.14</v>
      </c>
      <c r="AX162" s="66">
        <f t="shared" ref="AX162:AX186" si="85">Z162</f>
        <v>0</v>
      </c>
      <c r="AY162" s="66"/>
      <c r="AZ162" s="66">
        <f t="shared" ref="AZ162:AZ186" si="86">AJ162</f>
        <v>0</v>
      </c>
      <c r="BA162" s="67">
        <f t="shared" ref="BA162:BA186" si="87">AX162+AZ162</f>
        <v>0</v>
      </c>
    </row>
    <row r="163" spans="1:53" ht="21.6" customHeight="1" x14ac:dyDescent="0.3">
      <c r="A163" s="2" t="s">
        <v>307</v>
      </c>
      <c r="B163" s="15" t="s">
        <v>51</v>
      </c>
      <c r="C163" s="3" t="s">
        <v>78</v>
      </c>
      <c r="D163" s="3">
        <v>4600016155</v>
      </c>
      <c r="E163" s="3">
        <v>4501928286</v>
      </c>
      <c r="F163" s="369">
        <v>4501930120</v>
      </c>
      <c r="G163" s="144">
        <v>440</v>
      </c>
      <c r="H163" s="394">
        <v>46105</v>
      </c>
      <c r="I163" s="50">
        <v>46152</v>
      </c>
      <c r="J163" s="15">
        <f t="shared" si="64"/>
        <v>47</v>
      </c>
      <c r="K163" s="3" t="s">
        <v>70</v>
      </c>
      <c r="L163" s="3" t="s">
        <v>56</v>
      </c>
      <c r="M163" s="15" t="s">
        <v>57</v>
      </c>
      <c r="N163" s="3" t="s">
        <v>478</v>
      </c>
      <c r="O163" s="3" t="s">
        <v>59</v>
      </c>
      <c r="P163" s="8">
        <v>1101.04</v>
      </c>
      <c r="Q163" s="44" t="s">
        <v>100</v>
      </c>
      <c r="R163" s="57">
        <f t="shared" si="81"/>
        <v>46105</v>
      </c>
      <c r="S163" s="13" t="s">
        <v>61</v>
      </c>
      <c r="T163" s="35">
        <v>46132</v>
      </c>
      <c r="U163" s="37">
        <v>46126</v>
      </c>
      <c r="V163" s="37">
        <f t="shared" si="78"/>
        <v>46152</v>
      </c>
      <c r="W163" s="59">
        <f t="shared" si="66"/>
        <v>47</v>
      </c>
      <c r="X163" s="59">
        <f t="shared" si="67"/>
        <v>21</v>
      </c>
      <c r="Y163" s="59">
        <f t="shared" si="68"/>
        <v>26</v>
      </c>
      <c r="Z163" s="39"/>
      <c r="AA163" s="4" t="s">
        <v>458</v>
      </c>
      <c r="AB163" s="35">
        <v>46128</v>
      </c>
      <c r="AC163" s="13">
        <v>1117.18</v>
      </c>
      <c r="AD163" s="13">
        <v>7516</v>
      </c>
      <c r="AE163" s="13" t="s">
        <v>63</v>
      </c>
      <c r="AF163" s="35">
        <v>46129</v>
      </c>
      <c r="AG163" s="3" t="str">
        <f t="shared" si="82"/>
        <v>CIF</v>
      </c>
      <c r="AH163" s="13" t="s">
        <v>64</v>
      </c>
      <c r="AI163" s="36" t="e">
        <f>#REF!</f>
        <v>#REF!</v>
      </c>
      <c r="AJ163" s="36">
        <v>0</v>
      </c>
      <c r="AK163" s="142">
        <f t="shared" si="83"/>
        <v>0</v>
      </c>
      <c r="AL163" s="47">
        <v>46129</v>
      </c>
      <c r="AM163" s="153">
        <v>46129</v>
      </c>
      <c r="AN163" s="63">
        <f t="shared" si="84"/>
        <v>0</v>
      </c>
      <c r="AO163" s="34" t="s">
        <v>65</v>
      </c>
      <c r="AP163" s="64">
        <f t="shared" si="77"/>
        <v>46152</v>
      </c>
      <c r="AQ163" s="64">
        <f t="shared" si="80"/>
        <v>46129</v>
      </c>
      <c r="AR163" s="65">
        <f t="shared" si="71"/>
        <v>47</v>
      </c>
      <c r="AS163" s="65">
        <f t="shared" si="72"/>
        <v>24</v>
      </c>
      <c r="AT163" s="157">
        <f t="shared" si="73"/>
        <v>23</v>
      </c>
      <c r="AU163" s="13"/>
      <c r="AV163" s="13" t="s">
        <v>59</v>
      </c>
      <c r="AW163" s="109">
        <f t="shared" si="79"/>
        <v>1117.18</v>
      </c>
      <c r="AX163" s="66">
        <f t="shared" si="85"/>
        <v>0</v>
      </c>
      <c r="AY163" s="66"/>
      <c r="AZ163" s="66">
        <f t="shared" si="86"/>
        <v>0</v>
      </c>
      <c r="BA163" s="67">
        <f t="shared" si="87"/>
        <v>0</v>
      </c>
    </row>
    <row r="164" spans="1:53" ht="21.6" customHeight="1" x14ac:dyDescent="0.3">
      <c r="A164" s="2" t="s">
        <v>307</v>
      </c>
      <c r="B164" s="15" t="s">
        <v>51</v>
      </c>
      <c r="C164" s="3" t="s">
        <v>78</v>
      </c>
      <c r="D164" s="3">
        <v>4600016155</v>
      </c>
      <c r="E164" s="3">
        <v>4501928291</v>
      </c>
      <c r="F164" s="3" t="s">
        <v>53</v>
      </c>
      <c r="G164" s="144">
        <v>441</v>
      </c>
      <c r="H164" s="394">
        <v>46105</v>
      </c>
      <c r="I164" s="50">
        <v>46152</v>
      </c>
      <c r="J164" s="15">
        <f t="shared" si="64"/>
        <v>47</v>
      </c>
      <c r="K164" s="3" t="s">
        <v>70</v>
      </c>
      <c r="L164" s="3" t="s">
        <v>56</v>
      </c>
      <c r="M164" s="15" t="s">
        <v>57</v>
      </c>
      <c r="N164" s="3" t="s">
        <v>478</v>
      </c>
      <c r="O164" s="3" t="s">
        <v>59</v>
      </c>
      <c r="P164" s="8">
        <v>267.76</v>
      </c>
      <c r="Q164" s="44" t="s">
        <v>100</v>
      </c>
      <c r="R164" s="57">
        <f t="shared" si="81"/>
        <v>46105</v>
      </c>
      <c r="S164" s="13" t="s">
        <v>61</v>
      </c>
      <c r="T164" s="35">
        <v>46132</v>
      </c>
      <c r="U164" s="37">
        <v>46126</v>
      </c>
      <c r="V164" s="37">
        <f t="shared" si="78"/>
        <v>46152</v>
      </c>
      <c r="W164" s="59">
        <f t="shared" si="66"/>
        <v>47</v>
      </c>
      <c r="X164" s="59">
        <f t="shared" si="67"/>
        <v>21</v>
      </c>
      <c r="Y164" s="59">
        <f t="shared" si="68"/>
        <v>26</v>
      </c>
      <c r="Z164" s="39"/>
      <c r="AA164" s="4" t="s">
        <v>458</v>
      </c>
      <c r="AB164" s="35">
        <v>46128</v>
      </c>
      <c r="AC164" s="32">
        <v>271.73</v>
      </c>
      <c r="AD164" s="32">
        <v>7520</v>
      </c>
      <c r="AE164" s="32" t="s">
        <v>63</v>
      </c>
      <c r="AF164" s="57">
        <v>46129</v>
      </c>
      <c r="AG164" s="15" t="str">
        <f t="shared" si="82"/>
        <v>CIF</v>
      </c>
      <c r="AH164" s="13" t="s">
        <v>64</v>
      </c>
      <c r="AI164" s="36" t="e">
        <f>#REF!</f>
        <v>#REF!</v>
      </c>
      <c r="AJ164" s="36">
        <v>0</v>
      </c>
      <c r="AK164" s="142">
        <f t="shared" si="83"/>
        <v>0</v>
      </c>
      <c r="AL164" s="47">
        <v>46129</v>
      </c>
      <c r="AM164" s="153">
        <v>46129</v>
      </c>
      <c r="AN164" s="63">
        <f t="shared" si="84"/>
        <v>0</v>
      </c>
      <c r="AO164" s="34" t="s">
        <v>65</v>
      </c>
      <c r="AP164" s="64">
        <f t="shared" si="77"/>
        <v>46152</v>
      </c>
      <c r="AQ164" s="64">
        <f t="shared" si="80"/>
        <v>46129</v>
      </c>
      <c r="AR164" s="65">
        <f t="shared" si="71"/>
        <v>47</v>
      </c>
      <c r="AS164" s="65">
        <f t="shared" si="72"/>
        <v>24</v>
      </c>
      <c r="AT164" s="157">
        <f t="shared" si="73"/>
        <v>23</v>
      </c>
      <c r="AU164" s="13"/>
      <c r="AV164" s="13" t="s">
        <v>59</v>
      </c>
      <c r="AW164" s="109">
        <f t="shared" si="79"/>
        <v>271.73</v>
      </c>
      <c r="AX164" s="66">
        <f t="shared" si="85"/>
        <v>0</v>
      </c>
      <c r="AY164" s="66"/>
      <c r="AZ164" s="66">
        <f t="shared" si="86"/>
        <v>0</v>
      </c>
      <c r="BA164" s="67">
        <f t="shared" si="87"/>
        <v>0</v>
      </c>
    </row>
    <row r="165" spans="1:53" ht="21.6" customHeight="1" x14ac:dyDescent="0.3">
      <c r="A165" s="2" t="s">
        <v>307</v>
      </c>
      <c r="B165" s="15" t="s">
        <v>51</v>
      </c>
      <c r="C165" s="3" t="s">
        <v>52</v>
      </c>
      <c r="D165" s="3">
        <v>4600016155</v>
      </c>
      <c r="E165" s="3">
        <v>4501930372</v>
      </c>
      <c r="F165" s="3" t="s">
        <v>53</v>
      </c>
      <c r="G165" s="144">
        <v>442</v>
      </c>
      <c r="H165" s="394">
        <v>46105</v>
      </c>
      <c r="I165" s="50">
        <v>46161</v>
      </c>
      <c r="J165" s="15">
        <f t="shared" si="64"/>
        <v>56</v>
      </c>
      <c r="K165" s="3" t="s">
        <v>70</v>
      </c>
      <c r="L165" s="3" t="s">
        <v>56</v>
      </c>
      <c r="M165" s="15" t="s">
        <v>57</v>
      </c>
      <c r="N165" s="3" t="s">
        <v>478</v>
      </c>
      <c r="O165" s="3" t="s">
        <v>59</v>
      </c>
      <c r="P165" s="8">
        <v>1101.04</v>
      </c>
      <c r="Q165" s="44" t="s">
        <v>100</v>
      </c>
      <c r="R165" s="57">
        <f t="shared" si="81"/>
        <v>46105</v>
      </c>
      <c r="S165" s="13" t="s">
        <v>61</v>
      </c>
      <c r="T165" s="35">
        <v>46132</v>
      </c>
      <c r="U165" s="37">
        <v>46113</v>
      </c>
      <c r="V165" s="37">
        <f t="shared" si="78"/>
        <v>46161</v>
      </c>
      <c r="W165" s="59">
        <f t="shared" si="66"/>
        <v>56</v>
      </c>
      <c r="X165" s="59">
        <f t="shared" si="67"/>
        <v>8</v>
      </c>
      <c r="Y165" s="59">
        <f t="shared" si="68"/>
        <v>48</v>
      </c>
      <c r="Z165" s="39"/>
      <c r="AA165" s="4" t="s">
        <v>458</v>
      </c>
      <c r="AB165" s="35">
        <v>46113</v>
      </c>
      <c r="AC165" s="28">
        <v>1117.18</v>
      </c>
      <c r="AD165" s="28">
        <v>7484</v>
      </c>
      <c r="AE165" s="28" t="s">
        <v>63</v>
      </c>
      <c r="AF165" s="162">
        <v>46119</v>
      </c>
      <c r="AG165" s="5" t="str">
        <f t="shared" si="82"/>
        <v>CIF</v>
      </c>
      <c r="AH165" s="13" t="s">
        <v>64</v>
      </c>
      <c r="AI165" s="36" t="e">
        <f>#REF!</f>
        <v>#REF!</v>
      </c>
      <c r="AJ165" s="36">
        <v>0</v>
      </c>
      <c r="AK165" s="142">
        <f t="shared" si="83"/>
        <v>0</v>
      </c>
      <c r="AL165" s="47">
        <v>46119</v>
      </c>
      <c r="AM165" s="153">
        <v>46119</v>
      </c>
      <c r="AN165" s="63">
        <f t="shared" si="84"/>
        <v>0</v>
      </c>
      <c r="AO165" s="34" t="s">
        <v>65</v>
      </c>
      <c r="AP165" s="64">
        <f t="shared" si="77"/>
        <v>46161</v>
      </c>
      <c r="AQ165" s="64">
        <f t="shared" si="80"/>
        <v>46119</v>
      </c>
      <c r="AR165" s="65">
        <f t="shared" si="71"/>
        <v>56</v>
      </c>
      <c r="AS165" s="65">
        <f t="shared" si="72"/>
        <v>14</v>
      </c>
      <c r="AT165" s="157">
        <f t="shared" si="73"/>
        <v>42</v>
      </c>
      <c r="AU165" s="13"/>
      <c r="AV165" s="13" t="s">
        <v>59</v>
      </c>
      <c r="AW165" s="109">
        <f t="shared" si="79"/>
        <v>1117.18</v>
      </c>
      <c r="AX165" s="66">
        <f t="shared" si="85"/>
        <v>0</v>
      </c>
      <c r="AY165" s="66"/>
      <c r="AZ165" s="66">
        <f t="shared" si="86"/>
        <v>0</v>
      </c>
      <c r="BA165" s="67">
        <f t="shared" si="87"/>
        <v>0</v>
      </c>
    </row>
    <row r="166" spans="1:53" ht="21.6" customHeight="1" x14ac:dyDescent="0.3">
      <c r="A166" s="2" t="s">
        <v>307</v>
      </c>
      <c r="B166" s="15" t="s">
        <v>51</v>
      </c>
      <c r="C166" s="3" t="s">
        <v>78</v>
      </c>
      <c r="D166" s="3">
        <v>4600016155</v>
      </c>
      <c r="E166" s="3">
        <v>4501930369</v>
      </c>
      <c r="F166" s="3" t="s">
        <v>53</v>
      </c>
      <c r="G166" s="144">
        <v>443</v>
      </c>
      <c r="H166" s="394">
        <v>46105</v>
      </c>
      <c r="I166" s="50">
        <v>46161</v>
      </c>
      <c r="J166" s="15">
        <f t="shared" si="64"/>
        <v>56</v>
      </c>
      <c r="K166" s="3" t="s">
        <v>70</v>
      </c>
      <c r="L166" s="3" t="s">
        <v>56</v>
      </c>
      <c r="M166" s="15" t="s">
        <v>57</v>
      </c>
      <c r="N166" s="3" t="s">
        <v>478</v>
      </c>
      <c r="O166" s="3" t="s">
        <v>59</v>
      </c>
      <c r="P166" s="8">
        <v>481.08</v>
      </c>
      <c r="Q166" s="44" t="s">
        <v>100</v>
      </c>
      <c r="R166" s="57">
        <f t="shared" si="81"/>
        <v>46105</v>
      </c>
      <c r="S166" s="13" t="s">
        <v>61</v>
      </c>
      <c r="T166" s="35">
        <v>46132</v>
      </c>
      <c r="U166" s="37">
        <v>46126</v>
      </c>
      <c r="V166" s="37">
        <f t="shared" si="78"/>
        <v>46161</v>
      </c>
      <c r="W166" s="59">
        <f t="shared" si="66"/>
        <v>56</v>
      </c>
      <c r="X166" s="59">
        <f t="shared" si="67"/>
        <v>21</v>
      </c>
      <c r="Y166" s="59">
        <f t="shared" si="68"/>
        <v>35</v>
      </c>
      <c r="Z166" s="39"/>
      <c r="AA166" s="4" t="s">
        <v>458</v>
      </c>
      <c r="AB166" s="35">
        <v>46128</v>
      </c>
      <c r="AC166" s="13">
        <v>488.14</v>
      </c>
      <c r="AD166" s="13">
        <v>7515</v>
      </c>
      <c r="AE166" s="13" t="s">
        <v>63</v>
      </c>
      <c r="AF166" s="35">
        <v>46129</v>
      </c>
      <c r="AG166" s="3" t="str">
        <f t="shared" si="82"/>
        <v>CIF</v>
      </c>
      <c r="AH166" s="13" t="s">
        <v>64</v>
      </c>
      <c r="AI166" s="36" t="e">
        <f>#REF!</f>
        <v>#REF!</v>
      </c>
      <c r="AJ166" s="36">
        <v>0</v>
      </c>
      <c r="AK166" s="142">
        <f t="shared" si="83"/>
        <v>0</v>
      </c>
      <c r="AL166" s="47">
        <v>46129</v>
      </c>
      <c r="AM166" s="153">
        <v>46129</v>
      </c>
      <c r="AN166" s="63">
        <f t="shared" si="84"/>
        <v>0</v>
      </c>
      <c r="AO166" s="34" t="s">
        <v>65</v>
      </c>
      <c r="AP166" s="64">
        <f t="shared" si="77"/>
        <v>46161</v>
      </c>
      <c r="AQ166" s="64">
        <f t="shared" si="80"/>
        <v>46129</v>
      </c>
      <c r="AR166" s="65">
        <f t="shared" si="71"/>
        <v>56</v>
      </c>
      <c r="AS166" s="65">
        <f t="shared" si="72"/>
        <v>24</v>
      </c>
      <c r="AT166" s="157">
        <f t="shared" si="73"/>
        <v>32</v>
      </c>
      <c r="AU166" s="13"/>
      <c r="AV166" s="13" t="s">
        <v>59</v>
      </c>
      <c r="AW166" s="109">
        <f t="shared" si="79"/>
        <v>488.14</v>
      </c>
      <c r="AX166" s="66">
        <f t="shared" si="85"/>
        <v>0</v>
      </c>
      <c r="AY166" s="66"/>
      <c r="AZ166" s="66">
        <f t="shared" si="86"/>
        <v>0</v>
      </c>
      <c r="BA166" s="67">
        <f t="shared" si="87"/>
        <v>0</v>
      </c>
    </row>
    <row r="167" spans="1:53" ht="21.6" customHeight="1" x14ac:dyDescent="0.3">
      <c r="A167" s="2" t="s">
        <v>307</v>
      </c>
      <c r="B167" s="15" t="s">
        <v>51</v>
      </c>
      <c r="C167" s="3" t="s">
        <v>78</v>
      </c>
      <c r="D167" s="3">
        <v>4600016155</v>
      </c>
      <c r="E167" s="3">
        <v>4501930375</v>
      </c>
      <c r="F167" s="3" t="s">
        <v>53</v>
      </c>
      <c r="G167" s="144">
        <v>444</v>
      </c>
      <c r="H167" s="394">
        <v>46105</v>
      </c>
      <c r="I167" s="50">
        <v>46161</v>
      </c>
      <c r="J167" s="15">
        <f t="shared" si="64"/>
        <v>56</v>
      </c>
      <c r="K167" s="3" t="s">
        <v>70</v>
      </c>
      <c r="L167" s="3" t="s">
        <v>56</v>
      </c>
      <c r="M167" s="15" t="s">
        <v>57</v>
      </c>
      <c r="N167" s="3" t="s">
        <v>478</v>
      </c>
      <c r="O167" s="3" t="s">
        <v>59</v>
      </c>
      <c r="P167" s="8">
        <v>267.76</v>
      </c>
      <c r="Q167" s="44" t="s">
        <v>100</v>
      </c>
      <c r="R167" s="57">
        <f t="shared" si="81"/>
        <v>46105</v>
      </c>
      <c r="S167" s="13" t="s">
        <v>61</v>
      </c>
      <c r="T167" s="35">
        <v>46132</v>
      </c>
      <c r="U167" s="37">
        <v>46126</v>
      </c>
      <c r="V167" s="37">
        <f t="shared" si="78"/>
        <v>46161</v>
      </c>
      <c r="W167" s="59">
        <f t="shared" si="66"/>
        <v>56</v>
      </c>
      <c r="X167" s="59">
        <f t="shared" si="67"/>
        <v>21</v>
      </c>
      <c r="Y167" s="59">
        <f t="shared" si="68"/>
        <v>35</v>
      </c>
      <c r="Z167" s="39"/>
      <c r="AA167" s="4" t="s">
        <v>458</v>
      </c>
      <c r="AB167" s="35">
        <v>46128</v>
      </c>
      <c r="AC167" s="13">
        <v>271.73</v>
      </c>
      <c r="AD167" s="13">
        <v>7519</v>
      </c>
      <c r="AE167" s="13" t="s">
        <v>63</v>
      </c>
      <c r="AF167" s="35">
        <v>46129</v>
      </c>
      <c r="AG167" s="3" t="str">
        <f t="shared" si="82"/>
        <v>CIF</v>
      </c>
      <c r="AH167" s="13" t="s">
        <v>64</v>
      </c>
      <c r="AI167" s="36" t="e">
        <f>#REF!</f>
        <v>#REF!</v>
      </c>
      <c r="AJ167" s="36">
        <v>0</v>
      </c>
      <c r="AK167" s="142">
        <f t="shared" si="83"/>
        <v>0</v>
      </c>
      <c r="AL167" s="47">
        <v>46129</v>
      </c>
      <c r="AM167" s="153">
        <v>46129</v>
      </c>
      <c r="AN167" s="63">
        <f t="shared" si="84"/>
        <v>0</v>
      </c>
      <c r="AO167" s="34" t="s">
        <v>65</v>
      </c>
      <c r="AP167" s="64">
        <f t="shared" si="77"/>
        <v>46161</v>
      </c>
      <c r="AQ167" s="64">
        <f t="shared" si="80"/>
        <v>46129</v>
      </c>
      <c r="AR167" s="65">
        <f t="shared" si="71"/>
        <v>56</v>
      </c>
      <c r="AS167" s="65">
        <f t="shared" si="72"/>
        <v>24</v>
      </c>
      <c r="AT167" s="157">
        <f t="shared" si="73"/>
        <v>32</v>
      </c>
      <c r="AU167" s="13"/>
      <c r="AV167" s="13" t="s">
        <v>59</v>
      </c>
      <c r="AW167" s="109">
        <f t="shared" si="79"/>
        <v>271.73</v>
      </c>
      <c r="AX167" s="66">
        <f t="shared" si="85"/>
        <v>0</v>
      </c>
      <c r="AY167" s="66"/>
      <c r="AZ167" s="66">
        <f t="shared" si="86"/>
        <v>0</v>
      </c>
      <c r="BA167" s="67">
        <f t="shared" si="87"/>
        <v>0</v>
      </c>
    </row>
    <row r="168" spans="1:53" ht="21.6" customHeight="1" x14ac:dyDescent="0.3">
      <c r="A168" s="2" t="s">
        <v>307</v>
      </c>
      <c r="B168" s="3" t="s">
        <v>77</v>
      </c>
      <c r="C168" s="3" t="s">
        <v>78</v>
      </c>
      <c r="D168" s="3">
        <v>4600016155</v>
      </c>
      <c r="E168" s="3">
        <v>4501928890</v>
      </c>
      <c r="F168" s="3" t="s">
        <v>53</v>
      </c>
      <c r="G168" s="144">
        <v>445</v>
      </c>
      <c r="H168" s="394">
        <v>46105</v>
      </c>
      <c r="I168" s="50">
        <v>46153</v>
      </c>
      <c r="J168" s="15">
        <f t="shared" si="64"/>
        <v>48</v>
      </c>
      <c r="K168" s="3" t="s">
        <v>70</v>
      </c>
      <c r="L168" s="3" t="s">
        <v>56</v>
      </c>
      <c r="M168" s="3" t="s">
        <v>81</v>
      </c>
      <c r="N168" s="3" t="s">
        <v>479</v>
      </c>
      <c r="O168" s="3" t="s">
        <v>59</v>
      </c>
      <c r="P168" s="8">
        <v>3856.2</v>
      </c>
      <c r="Q168" s="44" t="s">
        <v>100</v>
      </c>
      <c r="R168" s="57">
        <f t="shared" si="81"/>
        <v>46105</v>
      </c>
      <c r="S168" s="13" t="s">
        <v>61</v>
      </c>
      <c r="T168" s="35">
        <v>46132</v>
      </c>
      <c r="U168" s="37">
        <v>46122</v>
      </c>
      <c r="V168" s="37">
        <f t="shared" si="78"/>
        <v>46153</v>
      </c>
      <c r="W168" s="59">
        <f t="shared" si="66"/>
        <v>48</v>
      </c>
      <c r="X168" s="59">
        <f t="shared" si="67"/>
        <v>17</v>
      </c>
      <c r="Y168" s="59">
        <f t="shared" si="68"/>
        <v>31</v>
      </c>
      <c r="Z168" s="39"/>
      <c r="AA168" s="4" t="s">
        <v>458</v>
      </c>
      <c r="AB168" s="35">
        <v>46125</v>
      </c>
      <c r="AC168" s="32">
        <v>3875.19</v>
      </c>
      <c r="AD168" s="32">
        <v>7508</v>
      </c>
      <c r="AE168" s="32" t="s">
        <v>63</v>
      </c>
      <c r="AF168" s="57">
        <v>46125</v>
      </c>
      <c r="AG168" s="15" t="str">
        <f t="shared" si="82"/>
        <v>CIF</v>
      </c>
      <c r="AH168" s="238" t="s">
        <v>201</v>
      </c>
      <c r="AI168" s="36" t="e">
        <f>#REF!</f>
        <v>#REF!</v>
      </c>
      <c r="AJ168" s="36">
        <v>0</v>
      </c>
      <c r="AK168" s="142">
        <f t="shared" si="83"/>
        <v>0</v>
      </c>
      <c r="AL168" s="47">
        <v>46129</v>
      </c>
      <c r="AM168" s="153">
        <v>46134</v>
      </c>
      <c r="AN168" s="63">
        <f t="shared" si="84"/>
        <v>9</v>
      </c>
      <c r="AO168" s="34" t="s">
        <v>65</v>
      </c>
      <c r="AP168" s="64">
        <f t="shared" ref="AP168:AP199" si="88">I168</f>
        <v>46153</v>
      </c>
      <c r="AQ168" s="64">
        <f t="shared" si="80"/>
        <v>46134</v>
      </c>
      <c r="AR168" s="65">
        <f t="shared" si="71"/>
        <v>48</v>
      </c>
      <c r="AS168" s="65">
        <f t="shared" si="72"/>
        <v>29</v>
      </c>
      <c r="AT168" s="157">
        <f t="shared" si="73"/>
        <v>19</v>
      </c>
      <c r="AU168" s="13"/>
      <c r="AV168" s="13" t="s">
        <v>59</v>
      </c>
      <c r="AW168" s="109">
        <f t="shared" si="79"/>
        <v>3875.19</v>
      </c>
      <c r="AX168" s="66">
        <f t="shared" si="85"/>
        <v>0</v>
      </c>
      <c r="AY168" s="66"/>
      <c r="AZ168" s="66">
        <f t="shared" si="86"/>
        <v>0</v>
      </c>
      <c r="BA168" s="67">
        <f t="shared" si="87"/>
        <v>0</v>
      </c>
    </row>
    <row r="169" spans="1:53" ht="21.6" customHeight="1" x14ac:dyDescent="0.3">
      <c r="A169" s="2" t="s">
        <v>307</v>
      </c>
      <c r="B169" s="3" t="s">
        <v>96</v>
      </c>
      <c r="C169" s="3" t="s">
        <v>52</v>
      </c>
      <c r="D169" s="3">
        <v>4600016155</v>
      </c>
      <c r="E169" s="3">
        <v>4501927111</v>
      </c>
      <c r="F169" s="3" t="s">
        <v>53</v>
      </c>
      <c r="G169" s="144">
        <v>446</v>
      </c>
      <c r="H169" s="394">
        <v>46105</v>
      </c>
      <c r="I169" s="50">
        <v>46144</v>
      </c>
      <c r="J169" s="15">
        <f t="shared" si="64"/>
        <v>39</v>
      </c>
      <c r="K169" s="3" t="s">
        <v>70</v>
      </c>
      <c r="L169" s="3" t="s">
        <v>56</v>
      </c>
      <c r="M169" s="3" t="s">
        <v>255</v>
      </c>
      <c r="N169" s="3" t="s">
        <v>311</v>
      </c>
      <c r="O169" s="3" t="s">
        <v>59</v>
      </c>
      <c r="P169" s="8">
        <v>6738.34</v>
      </c>
      <c r="Q169" s="44" t="s">
        <v>60</v>
      </c>
      <c r="R169" s="57">
        <f t="shared" si="81"/>
        <v>46105</v>
      </c>
      <c r="S169" s="13" t="s">
        <v>61</v>
      </c>
      <c r="T169" s="35">
        <v>46129</v>
      </c>
      <c r="U169" s="37">
        <v>46127</v>
      </c>
      <c r="V169" s="37">
        <f t="shared" si="78"/>
        <v>46144</v>
      </c>
      <c r="W169" s="59">
        <f t="shared" si="66"/>
        <v>39</v>
      </c>
      <c r="X169" s="59">
        <f t="shared" si="67"/>
        <v>22</v>
      </c>
      <c r="Y169" s="59">
        <f t="shared" si="68"/>
        <v>17</v>
      </c>
      <c r="Z169" s="39"/>
      <c r="AA169" s="4" t="s">
        <v>433</v>
      </c>
      <c r="AB169" s="35">
        <v>46128</v>
      </c>
      <c r="AC169" s="32">
        <v>6836.89</v>
      </c>
      <c r="AD169" s="32">
        <v>7524</v>
      </c>
      <c r="AE169" s="32" t="s">
        <v>63</v>
      </c>
      <c r="AF169" s="57">
        <v>46146</v>
      </c>
      <c r="AG169" s="15" t="str">
        <f t="shared" si="82"/>
        <v>CIF</v>
      </c>
      <c r="AH169" s="243" t="s">
        <v>188</v>
      </c>
      <c r="AI169" s="36" t="e">
        <f>#REF!</f>
        <v>#REF!</v>
      </c>
      <c r="AJ169" s="36">
        <v>0</v>
      </c>
      <c r="AK169" s="142">
        <f t="shared" si="83"/>
        <v>0</v>
      </c>
      <c r="AL169" s="47">
        <v>46155</v>
      </c>
      <c r="AM169" s="153">
        <v>46149</v>
      </c>
      <c r="AN169" s="63">
        <f t="shared" si="84"/>
        <v>3</v>
      </c>
      <c r="AO169" s="34" t="s">
        <v>103</v>
      </c>
      <c r="AP169" s="64">
        <f t="shared" si="88"/>
        <v>46144</v>
      </c>
      <c r="AQ169" s="64">
        <f t="shared" si="80"/>
        <v>46149</v>
      </c>
      <c r="AR169" s="65">
        <f t="shared" si="71"/>
        <v>39</v>
      </c>
      <c r="AS169" s="65">
        <f t="shared" si="72"/>
        <v>44</v>
      </c>
      <c r="AT169" s="157">
        <f t="shared" si="73"/>
        <v>-5</v>
      </c>
      <c r="AU169" s="13" t="s">
        <v>480</v>
      </c>
      <c r="AV169" s="13" t="s">
        <v>116</v>
      </c>
      <c r="AW169" s="109">
        <f t="shared" si="79"/>
        <v>6836.89</v>
      </c>
      <c r="AX169" s="66">
        <f t="shared" si="85"/>
        <v>0</v>
      </c>
      <c r="AY169" s="66"/>
      <c r="AZ169" s="66">
        <f t="shared" si="86"/>
        <v>0</v>
      </c>
      <c r="BA169" s="67">
        <f t="shared" si="87"/>
        <v>0</v>
      </c>
    </row>
    <row r="170" spans="1:53" ht="21.6" customHeight="1" x14ac:dyDescent="0.3">
      <c r="A170" s="2" t="s">
        <v>481</v>
      </c>
      <c r="B170" s="15" t="s">
        <v>51</v>
      </c>
      <c r="C170" s="3" t="s">
        <v>52</v>
      </c>
      <c r="D170" s="3" t="s">
        <v>53</v>
      </c>
      <c r="E170" s="3">
        <v>4200325749</v>
      </c>
      <c r="F170" s="3" t="s">
        <v>482</v>
      </c>
      <c r="G170" s="144">
        <v>448</v>
      </c>
      <c r="H170" s="394">
        <v>46106</v>
      </c>
      <c r="I170" s="50">
        <v>46132</v>
      </c>
      <c r="J170" s="15">
        <f t="shared" si="64"/>
        <v>26</v>
      </c>
      <c r="K170" s="3" t="s">
        <v>70</v>
      </c>
      <c r="L170" s="3" t="s">
        <v>56</v>
      </c>
      <c r="M170" s="15" t="s">
        <v>57</v>
      </c>
      <c r="N170" s="3" t="s">
        <v>315</v>
      </c>
      <c r="O170" s="3" t="s">
        <v>59</v>
      </c>
      <c r="P170" s="8">
        <v>7804.2</v>
      </c>
      <c r="Q170" s="44" t="s">
        <v>100</v>
      </c>
      <c r="R170" s="57">
        <f t="shared" si="81"/>
        <v>46106</v>
      </c>
      <c r="S170" s="13" t="s">
        <v>61</v>
      </c>
      <c r="T170" s="35">
        <v>46120</v>
      </c>
      <c r="U170" s="37">
        <v>46126</v>
      </c>
      <c r="V170" s="37">
        <f t="shared" si="78"/>
        <v>46132</v>
      </c>
      <c r="W170" s="59">
        <f t="shared" si="66"/>
        <v>26</v>
      </c>
      <c r="X170" s="59">
        <f t="shared" si="67"/>
        <v>20</v>
      </c>
      <c r="Y170" s="59">
        <f t="shared" si="68"/>
        <v>6</v>
      </c>
      <c r="Z170" s="39"/>
      <c r="AA170" s="4" t="s">
        <v>458</v>
      </c>
      <c r="AB170" s="35">
        <v>46128</v>
      </c>
      <c r="AC170" s="13">
        <v>7804.2</v>
      </c>
      <c r="AD170" s="13">
        <v>7526</v>
      </c>
      <c r="AE170" s="13" t="s">
        <v>63</v>
      </c>
      <c r="AF170" s="35">
        <v>46129</v>
      </c>
      <c r="AG170" s="3" t="str">
        <f t="shared" si="82"/>
        <v>CIF</v>
      </c>
      <c r="AH170" s="13" t="s">
        <v>64</v>
      </c>
      <c r="AI170" s="36" t="e">
        <f>#REF!</f>
        <v>#REF!</v>
      </c>
      <c r="AJ170" s="36">
        <v>0</v>
      </c>
      <c r="AK170" s="142">
        <f t="shared" si="83"/>
        <v>0</v>
      </c>
      <c r="AL170" s="47">
        <v>46129</v>
      </c>
      <c r="AM170" s="153">
        <v>46129</v>
      </c>
      <c r="AN170" s="63">
        <f t="shared" si="84"/>
        <v>0</v>
      </c>
      <c r="AO170" s="34" t="s">
        <v>65</v>
      </c>
      <c r="AP170" s="64">
        <f t="shared" si="88"/>
        <v>46132</v>
      </c>
      <c r="AQ170" s="64">
        <f t="shared" si="80"/>
        <v>46129</v>
      </c>
      <c r="AR170" s="65">
        <f t="shared" si="71"/>
        <v>26</v>
      </c>
      <c r="AS170" s="65">
        <f t="shared" si="72"/>
        <v>23</v>
      </c>
      <c r="AT170" s="157">
        <f t="shared" si="73"/>
        <v>3</v>
      </c>
      <c r="AU170" s="13"/>
      <c r="AV170" s="13" t="s">
        <v>59</v>
      </c>
      <c r="AW170" s="109">
        <f t="shared" si="79"/>
        <v>7804.2</v>
      </c>
      <c r="AX170" s="66">
        <f t="shared" si="85"/>
        <v>0</v>
      </c>
      <c r="AY170" s="66"/>
      <c r="AZ170" s="66">
        <f t="shared" si="86"/>
        <v>0</v>
      </c>
      <c r="BA170" s="67">
        <f t="shared" si="87"/>
        <v>0</v>
      </c>
    </row>
    <row r="171" spans="1:53" ht="21.6" customHeight="1" x14ac:dyDescent="0.3">
      <c r="A171" s="2" t="s">
        <v>481</v>
      </c>
      <c r="B171" s="15" t="s">
        <v>51</v>
      </c>
      <c r="C171" s="3" t="s">
        <v>52</v>
      </c>
      <c r="D171" s="3" t="s">
        <v>53</v>
      </c>
      <c r="E171" s="3">
        <v>4200325582</v>
      </c>
      <c r="F171" s="3" t="s">
        <v>483</v>
      </c>
      <c r="G171" s="144">
        <v>449</v>
      </c>
      <c r="H171" s="394">
        <v>46106</v>
      </c>
      <c r="I171" s="50">
        <v>46132</v>
      </c>
      <c r="J171" s="15">
        <f t="shared" si="64"/>
        <v>26</v>
      </c>
      <c r="K171" s="3" t="s">
        <v>70</v>
      </c>
      <c r="L171" s="3" t="s">
        <v>56</v>
      </c>
      <c r="M171" s="15" t="s">
        <v>57</v>
      </c>
      <c r="N171" s="3" t="s">
        <v>315</v>
      </c>
      <c r="O171" s="3" t="s">
        <v>59</v>
      </c>
      <c r="P171" s="8">
        <v>9844.2000000000007</v>
      </c>
      <c r="Q171" s="44" t="s">
        <v>100</v>
      </c>
      <c r="R171" s="57">
        <f t="shared" si="81"/>
        <v>46106</v>
      </c>
      <c r="S171" s="13" t="s">
        <v>61</v>
      </c>
      <c r="T171" s="35">
        <v>46120</v>
      </c>
      <c r="U171" s="37">
        <v>46126</v>
      </c>
      <c r="V171" s="37">
        <f t="shared" si="78"/>
        <v>46132</v>
      </c>
      <c r="W171" s="59">
        <f t="shared" si="66"/>
        <v>26</v>
      </c>
      <c r="X171" s="59">
        <f t="shared" si="67"/>
        <v>20</v>
      </c>
      <c r="Y171" s="59">
        <f t="shared" si="68"/>
        <v>6</v>
      </c>
      <c r="Z171" s="39"/>
      <c r="AA171" s="4" t="s">
        <v>458</v>
      </c>
      <c r="AB171" s="119">
        <v>46128</v>
      </c>
      <c r="AC171" s="118">
        <v>9844.2000000000007</v>
      </c>
      <c r="AD171" s="118">
        <v>7525</v>
      </c>
      <c r="AE171" s="118" t="s">
        <v>63</v>
      </c>
      <c r="AF171" s="119">
        <v>46129</v>
      </c>
      <c r="AG171" s="115" t="str">
        <f t="shared" si="82"/>
        <v>CIF</v>
      </c>
      <c r="AH171" s="13" t="s">
        <v>64</v>
      </c>
      <c r="AI171" s="36" t="e">
        <f>#REF!</f>
        <v>#REF!</v>
      </c>
      <c r="AJ171" s="36">
        <v>0</v>
      </c>
      <c r="AK171" s="142">
        <f t="shared" si="83"/>
        <v>0</v>
      </c>
      <c r="AL171" s="47">
        <v>46129</v>
      </c>
      <c r="AM171" s="153">
        <v>46129</v>
      </c>
      <c r="AN171" s="63">
        <f t="shared" si="84"/>
        <v>0</v>
      </c>
      <c r="AO171" s="34" t="s">
        <v>65</v>
      </c>
      <c r="AP171" s="64">
        <f t="shared" si="88"/>
        <v>46132</v>
      </c>
      <c r="AQ171" s="64">
        <f t="shared" si="80"/>
        <v>46129</v>
      </c>
      <c r="AR171" s="65">
        <f t="shared" si="71"/>
        <v>26</v>
      </c>
      <c r="AS171" s="65">
        <f t="shared" si="72"/>
        <v>23</v>
      </c>
      <c r="AT171" s="157">
        <f t="shared" si="73"/>
        <v>3</v>
      </c>
      <c r="AU171" s="13"/>
      <c r="AV171" s="13" t="s">
        <v>59</v>
      </c>
      <c r="AW171" s="109">
        <f t="shared" si="79"/>
        <v>9844.2000000000007</v>
      </c>
      <c r="AX171" s="66">
        <f t="shared" si="85"/>
        <v>0</v>
      </c>
      <c r="AY171" s="66"/>
      <c r="AZ171" s="66">
        <f t="shared" si="86"/>
        <v>0</v>
      </c>
      <c r="BA171" s="67">
        <f t="shared" si="87"/>
        <v>0</v>
      </c>
    </row>
    <row r="172" spans="1:53" ht="21.6" customHeight="1" x14ac:dyDescent="0.3">
      <c r="A172" s="2" t="s">
        <v>484</v>
      </c>
      <c r="B172" s="3" t="s">
        <v>91</v>
      </c>
      <c r="C172" s="3" t="s">
        <v>78</v>
      </c>
      <c r="D172" s="3" t="s">
        <v>53</v>
      </c>
      <c r="E172" s="3">
        <v>124</v>
      </c>
      <c r="F172" s="3" t="s">
        <v>485</v>
      </c>
      <c r="G172" s="144">
        <v>452</v>
      </c>
      <c r="H172" s="394">
        <v>46107</v>
      </c>
      <c r="I172" s="50">
        <v>46136</v>
      </c>
      <c r="J172" s="15">
        <f t="shared" si="64"/>
        <v>29</v>
      </c>
      <c r="K172" s="3" t="s">
        <v>55</v>
      </c>
      <c r="L172" s="3" t="s">
        <v>56</v>
      </c>
      <c r="M172" s="3" t="s">
        <v>486</v>
      </c>
      <c r="N172" s="3" t="s">
        <v>487</v>
      </c>
      <c r="O172" s="3" t="s">
        <v>59</v>
      </c>
      <c r="P172" s="8">
        <v>9117.9</v>
      </c>
      <c r="Q172" s="44" t="s">
        <v>100</v>
      </c>
      <c r="R172" s="57">
        <f t="shared" si="81"/>
        <v>46107</v>
      </c>
      <c r="S172" s="13" t="s">
        <v>61</v>
      </c>
      <c r="T172" s="35">
        <v>46129</v>
      </c>
      <c r="U172" s="37">
        <v>46119</v>
      </c>
      <c r="V172" s="37">
        <f t="shared" si="78"/>
        <v>46136</v>
      </c>
      <c r="W172" s="59">
        <f t="shared" si="66"/>
        <v>29</v>
      </c>
      <c r="X172" s="59">
        <f t="shared" si="67"/>
        <v>12</v>
      </c>
      <c r="Y172" s="59">
        <f t="shared" si="68"/>
        <v>17</v>
      </c>
      <c r="Z172" s="39"/>
      <c r="AA172" s="4" t="s">
        <v>458</v>
      </c>
      <c r="AB172" s="35">
        <v>46125</v>
      </c>
      <c r="AC172" s="13">
        <v>9117.9</v>
      </c>
      <c r="AD172" s="13">
        <v>7510</v>
      </c>
      <c r="AE172" s="13" t="s">
        <v>63</v>
      </c>
      <c r="AF172" s="35">
        <v>46126</v>
      </c>
      <c r="AG172" s="3" t="str">
        <f t="shared" si="82"/>
        <v>FOB</v>
      </c>
      <c r="AH172" s="239" t="s">
        <v>488</v>
      </c>
      <c r="AI172" s="36" t="e">
        <f>#REF!</f>
        <v>#REF!</v>
      </c>
      <c r="AJ172" s="36">
        <v>0</v>
      </c>
      <c r="AK172" s="142">
        <f t="shared" si="83"/>
        <v>0</v>
      </c>
      <c r="AL172" s="47">
        <v>46120</v>
      </c>
      <c r="AM172" s="153">
        <v>46120</v>
      </c>
      <c r="AN172" s="63">
        <f t="shared" si="84"/>
        <v>-6</v>
      </c>
      <c r="AO172" s="34" t="s">
        <v>65</v>
      </c>
      <c r="AP172" s="64">
        <f t="shared" si="88"/>
        <v>46136</v>
      </c>
      <c r="AQ172" s="64">
        <f t="shared" si="80"/>
        <v>46120</v>
      </c>
      <c r="AR172" s="65">
        <f t="shared" si="71"/>
        <v>29</v>
      </c>
      <c r="AS172" s="65">
        <f t="shared" si="72"/>
        <v>13</v>
      </c>
      <c r="AT172" s="157">
        <f t="shared" si="73"/>
        <v>16</v>
      </c>
      <c r="AU172" s="13"/>
      <c r="AV172" s="13" t="s">
        <v>59</v>
      </c>
      <c r="AW172" s="109">
        <f t="shared" si="79"/>
        <v>9117.9</v>
      </c>
      <c r="AX172" s="66">
        <f t="shared" si="85"/>
        <v>0</v>
      </c>
      <c r="AY172" s="66"/>
      <c r="AZ172" s="66">
        <f t="shared" si="86"/>
        <v>0</v>
      </c>
      <c r="BA172" s="67">
        <f t="shared" si="87"/>
        <v>0</v>
      </c>
    </row>
    <row r="173" spans="1:53" ht="21.6" customHeight="1" x14ac:dyDescent="0.3">
      <c r="A173" s="2" t="s">
        <v>489</v>
      </c>
      <c r="B173" s="3" t="s">
        <v>77</v>
      </c>
      <c r="C173" s="3" t="s">
        <v>78</v>
      </c>
      <c r="D173" s="3" t="s">
        <v>53</v>
      </c>
      <c r="E173" s="3">
        <v>4523572029</v>
      </c>
      <c r="F173" s="3" t="s">
        <v>53</v>
      </c>
      <c r="G173" s="144">
        <v>455</v>
      </c>
      <c r="H173" s="394">
        <v>46108</v>
      </c>
      <c r="I173" s="50">
        <v>46146</v>
      </c>
      <c r="J173" s="15">
        <f t="shared" si="64"/>
        <v>38</v>
      </c>
      <c r="K173" s="3" t="s">
        <v>55</v>
      </c>
      <c r="L173" s="3" t="s">
        <v>56</v>
      </c>
      <c r="M173" s="3" t="s">
        <v>208</v>
      </c>
      <c r="N173" s="3" t="s">
        <v>490</v>
      </c>
      <c r="O173" s="3" t="s">
        <v>59</v>
      </c>
      <c r="P173" s="8">
        <v>8487.39</v>
      </c>
      <c r="Q173" s="44" t="s">
        <v>100</v>
      </c>
      <c r="R173" s="57">
        <f t="shared" si="81"/>
        <v>46108</v>
      </c>
      <c r="S173" s="13" t="s">
        <v>61</v>
      </c>
      <c r="T173" s="35">
        <v>46129</v>
      </c>
      <c r="U173" s="37">
        <v>46135</v>
      </c>
      <c r="V173" s="37">
        <f t="shared" si="78"/>
        <v>46146</v>
      </c>
      <c r="W173" s="59">
        <f t="shared" si="66"/>
        <v>38</v>
      </c>
      <c r="X173" s="59">
        <f t="shared" si="67"/>
        <v>27</v>
      </c>
      <c r="Y173" s="59">
        <f t="shared" si="68"/>
        <v>11</v>
      </c>
      <c r="Z173" s="39"/>
      <c r="AA173" s="4" t="s">
        <v>433</v>
      </c>
      <c r="AB173" s="162">
        <v>46139</v>
      </c>
      <c r="AC173" s="28">
        <v>9644.76</v>
      </c>
      <c r="AD173" s="28">
        <v>6829</v>
      </c>
      <c r="AE173" s="28" t="s">
        <v>63</v>
      </c>
      <c r="AF173" s="162">
        <v>46146</v>
      </c>
      <c r="AG173" s="5" t="str">
        <f t="shared" si="82"/>
        <v>FOB</v>
      </c>
      <c r="AH173" s="244" t="s">
        <v>491</v>
      </c>
      <c r="AI173" s="36" t="e">
        <f>#REF!</f>
        <v>#REF!</v>
      </c>
      <c r="AJ173" s="36">
        <v>0</v>
      </c>
      <c r="AK173" s="142">
        <f t="shared" si="83"/>
        <v>0</v>
      </c>
      <c r="AL173" s="47">
        <v>46135</v>
      </c>
      <c r="AM173" s="153">
        <v>46135</v>
      </c>
      <c r="AN173" s="63">
        <f t="shared" si="84"/>
        <v>-11</v>
      </c>
      <c r="AO173" s="34" t="s">
        <v>65</v>
      </c>
      <c r="AP173" s="64">
        <f t="shared" si="88"/>
        <v>46146</v>
      </c>
      <c r="AQ173" s="64">
        <f t="shared" si="80"/>
        <v>46135</v>
      </c>
      <c r="AR173" s="65">
        <f t="shared" si="71"/>
        <v>38</v>
      </c>
      <c r="AS173" s="65">
        <f t="shared" si="72"/>
        <v>27</v>
      </c>
      <c r="AT173" s="157">
        <f t="shared" si="73"/>
        <v>11</v>
      </c>
      <c r="AU173" s="13"/>
      <c r="AV173" s="13" t="s">
        <v>59</v>
      </c>
      <c r="AW173" s="109">
        <f t="shared" si="79"/>
        <v>9644.76</v>
      </c>
      <c r="AX173" s="66">
        <f t="shared" si="85"/>
        <v>0</v>
      </c>
      <c r="AY173" s="66"/>
      <c r="AZ173" s="66">
        <f t="shared" si="86"/>
        <v>0</v>
      </c>
      <c r="BA173" s="67">
        <f t="shared" si="87"/>
        <v>0</v>
      </c>
    </row>
    <row r="174" spans="1:53" ht="21.6" customHeight="1" x14ac:dyDescent="0.3">
      <c r="A174" s="2" t="s">
        <v>307</v>
      </c>
      <c r="B174" s="3" t="s">
        <v>91</v>
      </c>
      <c r="C174" s="3" t="s">
        <v>78</v>
      </c>
      <c r="D174" s="3">
        <v>4600016155</v>
      </c>
      <c r="E174" s="3">
        <v>4501930120</v>
      </c>
      <c r="F174" s="3" t="s">
        <v>53</v>
      </c>
      <c r="G174" s="144">
        <v>457</v>
      </c>
      <c r="H174" s="394">
        <v>46109</v>
      </c>
      <c r="I174" s="50">
        <v>46160</v>
      </c>
      <c r="J174" s="15">
        <f t="shared" si="64"/>
        <v>51</v>
      </c>
      <c r="K174" s="3" t="s">
        <v>70</v>
      </c>
      <c r="L174" s="3" t="s">
        <v>56</v>
      </c>
      <c r="M174" s="3" t="s">
        <v>92</v>
      </c>
      <c r="N174" s="3" t="s">
        <v>492</v>
      </c>
      <c r="O174" s="3" t="s">
        <v>59</v>
      </c>
      <c r="P174" s="8">
        <v>8795.16</v>
      </c>
      <c r="Q174" s="44" t="s">
        <v>100</v>
      </c>
      <c r="R174" s="57">
        <f t="shared" si="81"/>
        <v>46109</v>
      </c>
      <c r="S174" s="13" t="s">
        <v>61</v>
      </c>
      <c r="T174" s="35">
        <v>46134</v>
      </c>
      <c r="U174" s="37">
        <v>46134</v>
      </c>
      <c r="V174" s="37">
        <f t="shared" si="78"/>
        <v>46160</v>
      </c>
      <c r="W174" s="59">
        <f t="shared" si="66"/>
        <v>51</v>
      </c>
      <c r="X174" s="59">
        <f t="shared" si="67"/>
        <v>25</v>
      </c>
      <c r="Y174" s="59">
        <f t="shared" si="68"/>
        <v>26</v>
      </c>
      <c r="Z174" s="39"/>
      <c r="AA174" s="4" t="s">
        <v>433</v>
      </c>
      <c r="AB174" s="35">
        <v>46135</v>
      </c>
      <c r="AC174" s="13">
        <v>9089.7099999999991</v>
      </c>
      <c r="AD174" s="13">
        <v>7546</v>
      </c>
      <c r="AE174" s="13" t="s">
        <v>63</v>
      </c>
      <c r="AF174" s="35">
        <v>46139</v>
      </c>
      <c r="AG174" s="3" t="str">
        <f t="shared" si="82"/>
        <v>CIF</v>
      </c>
      <c r="AH174" s="32" t="s">
        <v>102</v>
      </c>
      <c r="AI174" s="36" t="e">
        <f>#REF!</f>
        <v>#REF!</v>
      </c>
      <c r="AJ174" s="36">
        <v>0</v>
      </c>
      <c r="AK174" s="142">
        <f t="shared" si="83"/>
        <v>0</v>
      </c>
      <c r="AL174" s="47">
        <v>46143</v>
      </c>
      <c r="AM174" s="153">
        <v>46140</v>
      </c>
      <c r="AN174" s="63">
        <f t="shared" si="84"/>
        <v>1</v>
      </c>
      <c r="AO174" s="34" t="s">
        <v>65</v>
      </c>
      <c r="AP174" s="64">
        <f t="shared" si="88"/>
        <v>46160</v>
      </c>
      <c r="AQ174" s="64">
        <f t="shared" si="80"/>
        <v>46140</v>
      </c>
      <c r="AR174" s="65">
        <f t="shared" si="71"/>
        <v>51</v>
      </c>
      <c r="AS174" s="65">
        <f t="shared" si="72"/>
        <v>31</v>
      </c>
      <c r="AT174" s="157">
        <f t="shared" si="73"/>
        <v>20</v>
      </c>
      <c r="AU174" s="13"/>
      <c r="AV174" s="13" t="s">
        <v>59</v>
      </c>
      <c r="AW174" s="109">
        <f t="shared" si="79"/>
        <v>9089.7099999999991</v>
      </c>
      <c r="AX174" s="66">
        <f t="shared" si="85"/>
        <v>0</v>
      </c>
      <c r="AY174" s="66"/>
      <c r="AZ174" s="66">
        <f t="shared" si="86"/>
        <v>0</v>
      </c>
      <c r="BA174" s="67">
        <f t="shared" si="87"/>
        <v>0</v>
      </c>
    </row>
    <row r="175" spans="1:53" ht="21.6" customHeight="1" x14ac:dyDescent="0.3">
      <c r="A175" s="2" t="s">
        <v>157</v>
      </c>
      <c r="B175" s="3" t="s">
        <v>96</v>
      </c>
      <c r="C175" s="3" t="s">
        <v>78</v>
      </c>
      <c r="D175" s="3" t="s">
        <v>53</v>
      </c>
      <c r="E175" s="3">
        <v>4541119</v>
      </c>
      <c r="F175" s="3" t="s">
        <v>493</v>
      </c>
      <c r="G175" s="144">
        <v>458</v>
      </c>
      <c r="H175" s="394">
        <v>46109</v>
      </c>
      <c r="I175" s="50">
        <v>46167</v>
      </c>
      <c r="J175" s="15">
        <f t="shared" si="64"/>
        <v>58</v>
      </c>
      <c r="K175" s="3" t="s">
        <v>70</v>
      </c>
      <c r="L175" s="3" t="s">
        <v>56</v>
      </c>
      <c r="M175" s="3" t="s">
        <v>159</v>
      </c>
      <c r="N175" s="3" t="s">
        <v>160</v>
      </c>
      <c r="O175" s="3" t="s">
        <v>59</v>
      </c>
      <c r="P175" s="8">
        <v>8353.2000000000007</v>
      </c>
      <c r="Q175" s="44" t="s">
        <v>100</v>
      </c>
      <c r="R175" s="57">
        <f t="shared" si="81"/>
        <v>46109</v>
      </c>
      <c r="S175" s="13" t="s">
        <v>61</v>
      </c>
      <c r="T175" s="35">
        <v>46129</v>
      </c>
      <c r="U175" s="37">
        <v>46127</v>
      </c>
      <c r="V175" s="37">
        <f t="shared" ref="V175:V181" si="89">I175</f>
        <v>46167</v>
      </c>
      <c r="W175" s="59">
        <f t="shared" si="66"/>
        <v>58</v>
      </c>
      <c r="X175" s="59">
        <f t="shared" si="67"/>
        <v>18</v>
      </c>
      <c r="Y175" s="59">
        <f t="shared" si="68"/>
        <v>40</v>
      </c>
      <c r="Z175" s="39"/>
      <c r="AA175" s="4" t="s">
        <v>433</v>
      </c>
      <c r="AB175" s="57">
        <v>46128</v>
      </c>
      <c r="AC175" s="13">
        <v>8353.2000000000007</v>
      </c>
      <c r="AD175" s="32">
        <v>7522</v>
      </c>
      <c r="AE175" s="13" t="s">
        <v>63</v>
      </c>
      <c r="AF175" s="57">
        <v>46128</v>
      </c>
      <c r="AG175" s="15" t="str">
        <f t="shared" si="82"/>
        <v>CIF</v>
      </c>
      <c r="AH175" s="28" t="s">
        <v>102</v>
      </c>
      <c r="AI175" s="36" t="e">
        <f>#REF!</f>
        <v>#REF!</v>
      </c>
      <c r="AJ175" s="36">
        <v>0</v>
      </c>
      <c r="AK175" s="142">
        <f t="shared" si="83"/>
        <v>0</v>
      </c>
      <c r="AL175" s="47">
        <v>46147</v>
      </c>
      <c r="AM175" s="153">
        <v>46140</v>
      </c>
      <c r="AN175" s="63">
        <f t="shared" si="84"/>
        <v>12</v>
      </c>
      <c r="AO175" s="34" t="s">
        <v>65</v>
      </c>
      <c r="AP175" s="64">
        <f t="shared" si="88"/>
        <v>46167</v>
      </c>
      <c r="AQ175" s="64">
        <f t="shared" si="80"/>
        <v>46140</v>
      </c>
      <c r="AR175" s="65">
        <f t="shared" si="71"/>
        <v>58</v>
      </c>
      <c r="AS175" s="65">
        <f t="shared" si="72"/>
        <v>31</v>
      </c>
      <c r="AT175" s="157">
        <f t="shared" si="73"/>
        <v>27</v>
      </c>
      <c r="AU175" s="13"/>
      <c r="AV175" s="13" t="s">
        <v>59</v>
      </c>
      <c r="AW175" s="109">
        <f t="shared" si="79"/>
        <v>8353.2000000000007</v>
      </c>
      <c r="AX175" s="66">
        <f t="shared" si="85"/>
        <v>0</v>
      </c>
      <c r="AY175" s="66"/>
      <c r="AZ175" s="66">
        <f t="shared" si="86"/>
        <v>0</v>
      </c>
      <c r="BA175" s="67">
        <f t="shared" si="87"/>
        <v>0</v>
      </c>
    </row>
    <row r="176" spans="1:53" ht="21.6" customHeight="1" x14ac:dyDescent="0.3">
      <c r="A176" s="2" t="s">
        <v>291</v>
      </c>
      <c r="B176" s="3" t="s">
        <v>292</v>
      </c>
      <c r="C176" s="3" t="s">
        <v>78</v>
      </c>
      <c r="D176" s="3" t="s">
        <v>53</v>
      </c>
      <c r="E176" s="3">
        <v>4500247106</v>
      </c>
      <c r="G176" s="144">
        <v>459</v>
      </c>
      <c r="H176" s="394">
        <v>46111</v>
      </c>
      <c r="I176" s="50">
        <v>46141</v>
      </c>
      <c r="J176" s="15">
        <f t="shared" si="64"/>
        <v>30</v>
      </c>
      <c r="K176" s="3" t="s">
        <v>55</v>
      </c>
      <c r="L176" s="3" t="s">
        <v>56</v>
      </c>
      <c r="M176" s="3" t="s">
        <v>294</v>
      </c>
      <c r="N176" s="3" t="s">
        <v>323</v>
      </c>
      <c r="O176" s="3" t="s">
        <v>59</v>
      </c>
      <c r="P176" s="8">
        <v>1349.85</v>
      </c>
      <c r="Q176" s="44" t="s">
        <v>100</v>
      </c>
      <c r="R176" s="57">
        <f t="shared" si="81"/>
        <v>46111</v>
      </c>
      <c r="S176" s="13" t="s">
        <v>61</v>
      </c>
      <c r="T176" s="35">
        <v>46129</v>
      </c>
      <c r="U176" s="37">
        <v>46136</v>
      </c>
      <c r="V176" s="37">
        <f t="shared" si="89"/>
        <v>46141</v>
      </c>
      <c r="W176" s="59">
        <f t="shared" si="66"/>
        <v>30</v>
      </c>
      <c r="X176" s="59">
        <f t="shared" si="67"/>
        <v>25</v>
      </c>
      <c r="Y176" s="59">
        <f t="shared" si="68"/>
        <v>5</v>
      </c>
      <c r="Z176" s="39"/>
      <c r="AA176" s="4" t="s">
        <v>448</v>
      </c>
      <c r="AB176" s="35">
        <v>46136</v>
      </c>
      <c r="AC176" s="13">
        <v>1349.85</v>
      </c>
      <c r="AD176" s="13">
        <v>7552</v>
      </c>
      <c r="AE176" s="13" t="s">
        <v>63</v>
      </c>
      <c r="AF176" s="35">
        <v>46140</v>
      </c>
      <c r="AG176" s="3" t="str">
        <f t="shared" si="82"/>
        <v>FOB</v>
      </c>
      <c r="AH176" s="241" t="s">
        <v>296</v>
      </c>
      <c r="AI176" s="36" t="e">
        <f>#REF!</f>
        <v>#REF!</v>
      </c>
      <c r="AJ176" s="36">
        <v>0</v>
      </c>
      <c r="AK176" s="142">
        <f t="shared" si="83"/>
        <v>0</v>
      </c>
      <c r="AL176" s="47">
        <v>46136</v>
      </c>
      <c r="AM176" s="153">
        <v>46136</v>
      </c>
      <c r="AN176" s="63">
        <f t="shared" si="84"/>
        <v>-4</v>
      </c>
      <c r="AO176" s="34" t="s">
        <v>65</v>
      </c>
      <c r="AP176" s="64">
        <f t="shared" si="88"/>
        <v>46141</v>
      </c>
      <c r="AQ176" s="64">
        <f t="shared" si="80"/>
        <v>46136</v>
      </c>
      <c r="AR176" s="65">
        <f t="shared" si="71"/>
        <v>30</v>
      </c>
      <c r="AS176" s="65">
        <f t="shared" si="72"/>
        <v>25</v>
      </c>
      <c r="AT176" s="157">
        <f t="shared" si="73"/>
        <v>5</v>
      </c>
      <c r="AU176" s="13"/>
      <c r="AV176" s="13" t="s">
        <v>59</v>
      </c>
      <c r="AW176" s="109">
        <f t="shared" si="79"/>
        <v>1349.85</v>
      </c>
      <c r="AX176" s="66">
        <f t="shared" si="85"/>
        <v>0</v>
      </c>
      <c r="AY176" s="66"/>
      <c r="AZ176" s="66">
        <f t="shared" si="86"/>
        <v>0</v>
      </c>
      <c r="BA176" s="67">
        <f t="shared" si="87"/>
        <v>0</v>
      </c>
    </row>
    <row r="177" spans="1:54" ht="21.6" customHeight="1" x14ac:dyDescent="0.3">
      <c r="A177" s="2" t="s">
        <v>291</v>
      </c>
      <c r="B177" s="3" t="s">
        <v>292</v>
      </c>
      <c r="C177" s="3" t="s">
        <v>78</v>
      </c>
      <c r="D177" s="3" t="s">
        <v>53</v>
      </c>
      <c r="E177" s="3">
        <v>4500247360</v>
      </c>
      <c r="F177" s="3" t="s">
        <v>494</v>
      </c>
      <c r="G177" s="144">
        <v>460</v>
      </c>
      <c r="H177" s="394">
        <v>46111</v>
      </c>
      <c r="I177" s="50">
        <v>46141</v>
      </c>
      <c r="J177" s="15">
        <f t="shared" si="64"/>
        <v>30</v>
      </c>
      <c r="K177" s="3" t="s">
        <v>55</v>
      </c>
      <c r="L177" s="3" t="s">
        <v>56</v>
      </c>
      <c r="M177" s="3" t="s">
        <v>294</v>
      </c>
      <c r="N177" s="3" t="s">
        <v>323</v>
      </c>
      <c r="O177" s="3" t="s">
        <v>59</v>
      </c>
      <c r="P177" s="8">
        <v>2669.7</v>
      </c>
      <c r="Q177" s="44" t="s">
        <v>100</v>
      </c>
      <c r="R177" s="57">
        <f t="shared" si="81"/>
        <v>46111</v>
      </c>
      <c r="S177" s="13" t="s">
        <v>61</v>
      </c>
      <c r="T177" s="35">
        <v>46129</v>
      </c>
      <c r="U177" s="37">
        <v>46136</v>
      </c>
      <c r="V177" s="37">
        <f t="shared" si="89"/>
        <v>46141</v>
      </c>
      <c r="W177" s="59">
        <f t="shared" si="66"/>
        <v>30</v>
      </c>
      <c r="X177" s="59">
        <f t="shared" si="67"/>
        <v>25</v>
      </c>
      <c r="Y177" s="59">
        <f t="shared" si="68"/>
        <v>5</v>
      </c>
      <c r="Z177" s="39"/>
      <c r="AA177" s="4" t="s">
        <v>448</v>
      </c>
      <c r="AB177" s="35">
        <v>46136</v>
      </c>
      <c r="AC177" s="13">
        <v>2699.68</v>
      </c>
      <c r="AD177" s="13">
        <v>7551</v>
      </c>
      <c r="AE177" s="13" t="s">
        <v>63</v>
      </c>
      <c r="AF177" s="35">
        <v>46155</v>
      </c>
      <c r="AG177" s="3" t="str">
        <f t="shared" si="82"/>
        <v>FOB</v>
      </c>
      <c r="AH177" s="241" t="s">
        <v>296</v>
      </c>
      <c r="AI177" s="36" t="e">
        <f>#REF!</f>
        <v>#REF!</v>
      </c>
      <c r="AJ177" s="36">
        <v>0</v>
      </c>
      <c r="AK177" s="142">
        <f t="shared" si="83"/>
        <v>0</v>
      </c>
      <c r="AL177" s="47">
        <v>46136</v>
      </c>
      <c r="AM177" s="153">
        <v>46136</v>
      </c>
      <c r="AN177" s="63">
        <f t="shared" si="84"/>
        <v>-19</v>
      </c>
      <c r="AO177" s="34" t="s">
        <v>65</v>
      </c>
      <c r="AP177" s="64">
        <f t="shared" si="88"/>
        <v>46141</v>
      </c>
      <c r="AQ177" s="64">
        <f t="shared" si="80"/>
        <v>46136</v>
      </c>
      <c r="AR177" s="65">
        <f t="shared" si="71"/>
        <v>30</v>
      </c>
      <c r="AS177" s="65">
        <f t="shared" si="72"/>
        <v>25</v>
      </c>
      <c r="AT177" s="157">
        <f t="shared" si="73"/>
        <v>5</v>
      </c>
      <c r="AU177" s="13"/>
      <c r="AV177" s="13" t="s">
        <v>59</v>
      </c>
      <c r="AW177" s="109">
        <f t="shared" si="79"/>
        <v>2699.68</v>
      </c>
      <c r="AX177" s="66">
        <f t="shared" si="85"/>
        <v>0</v>
      </c>
      <c r="AY177" s="66"/>
      <c r="AZ177" s="66">
        <f t="shared" si="86"/>
        <v>0</v>
      </c>
      <c r="BA177" s="67">
        <f t="shared" si="87"/>
        <v>0</v>
      </c>
    </row>
    <row r="178" spans="1:54" ht="21.6" customHeight="1" x14ac:dyDescent="0.3">
      <c r="A178" s="2" t="s">
        <v>439</v>
      </c>
      <c r="B178" s="3" t="s">
        <v>77</v>
      </c>
      <c r="C178" s="3" t="s">
        <v>52</v>
      </c>
      <c r="D178" s="3" t="s">
        <v>53</v>
      </c>
      <c r="E178" s="3" t="s">
        <v>495</v>
      </c>
      <c r="F178" s="3" t="s">
        <v>496</v>
      </c>
      <c r="G178" s="144">
        <v>462</v>
      </c>
      <c r="H178" s="394">
        <v>46111</v>
      </c>
      <c r="I178" s="50">
        <v>46122</v>
      </c>
      <c r="J178" s="15">
        <f t="shared" si="64"/>
        <v>11</v>
      </c>
      <c r="K178" s="3" t="s">
        <v>70</v>
      </c>
      <c r="L178" s="3" t="s">
        <v>56</v>
      </c>
      <c r="M178" s="3" t="s">
        <v>81</v>
      </c>
      <c r="N178" s="3" t="s">
        <v>497</v>
      </c>
      <c r="O178" s="3" t="s">
        <v>59</v>
      </c>
      <c r="P178" s="8">
        <v>4233.16</v>
      </c>
      <c r="Q178" s="44" t="s">
        <v>60</v>
      </c>
      <c r="R178" s="57">
        <f t="shared" si="81"/>
        <v>46111</v>
      </c>
      <c r="S178" s="13" t="s">
        <v>61</v>
      </c>
      <c r="T178" s="35">
        <v>46114</v>
      </c>
      <c r="U178" s="37">
        <v>46114</v>
      </c>
      <c r="V178" s="37">
        <f t="shared" si="89"/>
        <v>46122</v>
      </c>
      <c r="W178" s="59">
        <f t="shared" si="66"/>
        <v>11</v>
      </c>
      <c r="X178" s="59">
        <f t="shared" si="67"/>
        <v>3</v>
      </c>
      <c r="Y178" s="59">
        <f t="shared" si="68"/>
        <v>8</v>
      </c>
      <c r="Z178" s="39"/>
      <c r="AA178" s="4" t="s">
        <v>458</v>
      </c>
      <c r="AB178" s="35">
        <v>46114</v>
      </c>
      <c r="AC178" s="13">
        <v>4233.16</v>
      </c>
      <c r="AD178" s="13">
        <v>7486</v>
      </c>
      <c r="AE178" s="13" t="s">
        <v>63</v>
      </c>
      <c r="AF178" s="35">
        <v>46114</v>
      </c>
      <c r="AG178" s="3" t="str">
        <f t="shared" si="82"/>
        <v>CIF</v>
      </c>
      <c r="AH178" s="247" t="s">
        <v>498</v>
      </c>
      <c r="AI178" s="36" t="e">
        <f>#REF!</f>
        <v>#REF!</v>
      </c>
      <c r="AJ178" s="36">
        <v>0</v>
      </c>
      <c r="AK178" s="142">
        <f t="shared" si="83"/>
        <v>0</v>
      </c>
      <c r="AL178" s="47">
        <v>46119</v>
      </c>
      <c r="AM178" s="153">
        <v>46119</v>
      </c>
      <c r="AN178" s="63">
        <f t="shared" si="84"/>
        <v>5</v>
      </c>
      <c r="AO178" s="34" t="s">
        <v>65</v>
      </c>
      <c r="AP178" s="64">
        <f t="shared" si="88"/>
        <v>46122</v>
      </c>
      <c r="AQ178" s="64">
        <f t="shared" si="80"/>
        <v>46119</v>
      </c>
      <c r="AR178" s="65">
        <f t="shared" si="71"/>
        <v>11</v>
      </c>
      <c r="AS178" s="65">
        <f t="shared" si="72"/>
        <v>8</v>
      </c>
      <c r="AT178" s="157">
        <f t="shared" si="73"/>
        <v>3</v>
      </c>
      <c r="AU178" s="13"/>
      <c r="AV178" s="13" t="s">
        <v>59</v>
      </c>
      <c r="AW178" s="109">
        <f t="shared" si="79"/>
        <v>4233.16</v>
      </c>
      <c r="AX178" s="66">
        <f t="shared" si="85"/>
        <v>0</v>
      </c>
      <c r="AY178" s="66"/>
      <c r="AZ178" s="66">
        <f t="shared" si="86"/>
        <v>0</v>
      </c>
      <c r="BA178" s="67">
        <f t="shared" si="87"/>
        <v>0</v>
      </c>
    </row>
    <row r="179" spans="1:54" ht="21.6" customHeight="1" x14ac:dyDescent="0.3">
      <c r="A179" s="2" t="s">
        <v>122</v>
      </c>
      <c r="B179" s="15" t="s">
        <v>51</v>
      </c>
      <c r="C179" s="3" t="s">
        <v>78</v>
      </c>
      <c r="D179" s="3" t="s">
        <v>53</v>
      </c>
      <c r="E179" s="3">
        <v>555733317</v>
      </c>
      <c r="F179" s="3" t="s">
        <v>499</v>
      </c>
      <c r="G179" s="144">
        <v>466</v>
      </c>
      <c r="H179" s="394">
        <v>46112</v>
      </c>
      <c r="I179" s="50">
        <v>46143</v>
      </c>
      <c r="J179" s="15">
        <f t="shared" si="64"/>
        <v>31</v>
      </c>
      <c r="K179" s="3" t="s">
        <v>55</v>
      </c>
      <c r="L179" s="3" t="s">
        <v>56</v>
      </c>
      <c r="M179" s="15" t="s">
        <v>57</v>
      </c>
      <c r="N179" s="3" t="s">
        <v>432</v>
      </c>
      <c r="O179" s="3" t="s">
        <v>59</v>
      </c>
      <c r="P179" s="8">
        <v>62791.199999999997</v>
      </c>
      <c r="Q179" s="44" t="s">
        <v>100</v>
      </c>
      <c r="R179" s="57">
        <f t="shared" si="81"/>
        <v>46112</v>
      </c>
      <c r="S179" s="13" t="s">
        <v>61</v>
      </c>
      <c r="T179" s="35">
        <v>46136</v>
      </c>
      <c r="U179" s="37">
        <v>46136</v>
      </c>
      <c r="V179" s="37">
        <f t="shared" si="89"/>
        <v>46143</v>
      </c>
      <c r="W179" s="59">
        <f t="shared" si="66"/>
        <v>31</v>
      </c>
      <c r="X179" s="59">
        <f t="shared" si="67"/>
        <v>24</v>
      </c>
      <c r="Y179" s="59">
        <f t="shared" si="68"/>
        <v>7</v>
      </c>
      <c r="Z179" s="39"/>
      <c r="AA179" s="4" t="s">
        <v>448</v>
      </c>
      <c r="AB179" s="35">
        <v>46142</v>
      </c>
      <c r="AC179" s="118">
        <v>62791.199999999997</v>
      </c>
      <c r="AD179" s="118">
        <v>7565</v>
      </c>
      <c r="AE179" s="118" t="s">
        <v>63</v>
      </c>
      <c r="AF179" s="119">
        <v>46148</v>
      </c>
      <c r="AG179" s="115" t="str">
        <f t="shared" si="82"/>
        <v>FOB</v>
      </c>
      <c r="AH179" s="243" t="s">
        <v>396</v>
      </c>
      <c r="AI179" s="36" t="e">
        <f>#REF!</f>
        <v>#REF!</v>
      </c>
      <c r="AJ179" s="36">
        <v>0</v>
      </c>
      <c r="AK179" s="142">
        <f t="shared" si="83"/>
        <v>0</v>
      </c>
      <c r="AL179" s="47">
        <v>46136</v>
      </c>
      <c r="AM179" s="153">
        <v>46136</v>
      </c>
      <c r="AN179" s="63">
        <f t="shared" si="84"/>
        <v>-12</v>
      </c>
      <c r="AO179" s="34" t="s">
        <v>65</v>
      </c>
      <c r="AP179" s="64">
        <f t="shared" si="88"/>
        <v>46143</v>
      </c>
      <c r="AQ179" s="64">
        <f t="shared" si="80"/>
        <v>46136</v>
      </c>
      <c r="AR179" s="65">
        <f t="shared" si="71"/>
        <v>31</v>
      </c>
      <c r="AS179" s="65">
        <f t="shared" si="72"/>
        <v>24</v>
      </c>
      <c r="AT179" s="157">
        <f t="shared" si="73"/>
        <v>7</v>
      </c>
      <c r="AU179" s="13"/>
      <c r="AV179" s="13" t="s">
        <v>59</v>
      </c>
      <c r="AW179" s="109">
        <f t="shared" si="79"/>
        <v>62791.199999999997</v>
      </c>
      <c r="AX179" s="66">
        <f t="shared" si="85"/>
        <v>0</v>
      </c>
      <c r="AY179" s="66"/>
      <c r="AZ179" s="66">
        <f t="shared" si="86"/>
        <v>0</v>
      </c>
      <c r="BA179" s="67">
        <f t="shared" si="87"/>
        <v>0</v>
      </c>
    </row>
    <row r="180" spans="1:54" ht="21.6" customHeight="1" x14ac:dyDescent="0.3">
      <c r="A180" s="2" t="s">
        <v>307</v>
      </c>
      <c r="B180" s="3" t="s">
        <v>91</v>
      </c>
      <c r="C180" s="3" t="s">
        <v>78</v>
      </c>
      <c r="D180" s="3">
        <v>4600016155</v>
      </c>
      <c r="E180" s="3">
        <v>4501931298</v>
      </c>
      <c r="F180" s="3" t="s">
        <v>53</v>
      </c>
      <c r="G180" s="144">
        <v>467</v>
      </c>
      <c r="H180" s="394">
        <v>46112</v>
      </c>
      <c r="I180" s="50">
        <v>46160</v>
      </c>
      <c r="J180" s="15">
        <f t="shared" si="64"/>
        <v>48</v>
      </c>
      <c r="K180" s="3" t="s">
        <v>70</v>
      </c>
      <c r="L180" s="3" t="s">
        <v>56</v>
      </c>
      <c r="M180" s="3" t="s">
        <v>92</v>
      </c>
      <c r="N180" s="3" t="s">
        <v>500</v>
      </c>
      <c r="O180" s="3" t="s">
        <v>59</v>
      </c>
      <c r="P180" s="8">
        <v>3811.51</v>
      </c>
      <c r="Q180" s="44" t="s">
        <v>100</v>
      </c>
      <c r="R180" s="57">
        <f t="shared" si="81"/>
        <v>46112</v>
      </c>
      <c r="S180" s="13" t="s">
        <v>61</v>
      </c>
      <c r="T180" s="35">
        <v>46129</v>
      </c>
      <c r="U180" s="37">
        <v>46134</v>
      </c>
      <c r="V180" s="37">
        <f t="shared" si="89"/>
        <v>46160</v>
      </c>
      <c r="W180" s="59">
        <f t="shared" si="66"/>
        <v>48</v>
      </c>
      <c r="X180" s="59">
        <f t="shared" si="67"/>
        <v>22</v>
      </c>
      <c r="Y180" s="59">
        <f t="shared" si="68"/>
        <v>26</v>
      </c>
      <c r="Z180" s="39"/>
      <c r="AA180" s="13" t="s">
        <v>448</v>
      </c>
      <c r="AB180" s="35">
        <v>46135</v>
      </c>
      <c r="AC180" s="13">
        <v>3851.54</v>
      </c>
      <c r="AD180" s="13">
        <v>7540</v>
      </c>
      <c r="AE180" s="13" t="s">
        <v>63</v>
      </c>
      <c r="AF180" s="35">
        <v>46135</v>
      </c>
      <c r="AG180" s="3" t="str">
        <f t="shared" si="82"/>
        <v>CIF</v>
      </c>
      <c r="AH180" s="33" t="s">
        <v>249</v>
      </c>
      <c r="AI180" s="36" t="e">
        <f>#REF!</f>
        <v>#REF!</v>
      </c>
      <c r="AJ180" s="36">
        <v>0</v>
      </c>
      <c r="AK180" s="142">
        <f t="shared" si="83"/>
        <v>0</v>
      </c>
      <c r="AL180" s="47">
        <v>46135</v>
      </c>
      <c r="AM180" s="153">
        <v>46135</v>
      </c>
      <c r="AN180" s="63">
        <f t="shared" si="84"/>
        <v>0</v>
      </c>
      <c r="AO180" s="34" t="s">
        <v>65</v>
      </c>
      <c r="AP180" s="64">
        <f t="shared" si="88"/>
        <v>46160</v>
      </c>
      <c r="AQ180" s="64">
        <f t="shared" si="80"/>
        <v>46135</v>
      </c>
      <c r="AR180" s="65">
        <f t="shared" si="71"/>
        <v>48</v>
      </c>
      <c r="AS180" s="65">
        <f t="shared" si="72"/>
        <v>23</v>
      </c>
      <c r="AT180" s="157">
        <f t="shared" si="73"/>
        <v>25</v>
      </c>
      <c r="AU180" s="13"/>
      <c r="AV180" s="13" t="s">
        <v>59</v>
      </c>
      <c r="AW180" s="109">
        <f t="shared" si="79"/>
        <v>3851.54</v>
      </c>
      <c r="AX180" s="66">
        <f t="shared" si="85"/>
        <v>0</v>
      </c>
      <c r="AY180" s="66"/>
      <c r="AZ180" s="66">
        <f t="shared" si="86"/>
        <v>0</v>
      </c>
      <c r="BA180" s="67">
        <f t="shared" si="87"/>
        <v>0</v>
      </c>
    </row>
    <row r="181" spans="1:54" ht="21.6" customHeight="1" x14ac:dyDescent="0.3">
      <c r="A181" s="2" t="s">
        <v>307</v>
      </c>
      <c r="B181" s="3" t="s">
        <v>91</v>
      </c>
      <c r="C181" s="3" t="s">
        <v>78</v>
      </c>
      <c r="D181" s="3">
        <v>4600016155</v>
      </c>
      <c r="E181" s="3">
        <v>4501930954</v>
      </c>
      <c r="F181" s="3" t="s">
        <v>53</v>
      </c>
      <c r="G181" s="144">
        <v>468</v>
      </c>
      <c r="H181" s="394">
        <v>46112</v>
      </c>
      <c r="I181" s="50">
        <v>46160</v>
      </c>
      <c r="J181" s="15">
        <f t="shared" si="64"/>
        <v>48</v>
      </c>
      <c r="K181" s="3" t="s">
        <v>70</v>
      </c>
      <c r="L181" s="3" t="s">
        <v>56</v>
      </c>
      <c r="M181" s="3" t="s">
        <v>92</v>
      </c>
      <c r="N181" s="3" t="s">
        <v>500</v>
      </c>
      <c r="O181" s="3" t="s">
        <v>59</v>
      </c>
      <c r="P181" s="8">
        <v>7216.93</v>
      </c>
      <c r="Q181" s="44" t="s">
        <v>100</v>
      </c>
      <c r="R181" s="57">
        <f t="shared" si="81"/>
        <v>46112</v>
      </c>
      <c r="S181" s="13" t="s">
        <v>61</v>
      </c>
      <c r="T181" s="35">
        <v>46134</v>
      </c>
      <c r="U181" s="37">
        <v>46134</v>
      </c>
      <c r="V181" s="37">
        <f t="shared" si="89"/>
        <v>46160</v>
      </c>
      <c r="W181" s="59">
        <f t="shared" si="66"/>
        <v>48</v>
      </c>
      <c r="X181" s="59">
        <f t="shared" si="67"/>
        <v>22</v>
      </c>
      <c r="Y181" s="59">
        <f t="shared" si="68"/>
        <v>26</v>
      </c>
      <c r="Z181" s="39"/>
      <c r="AA181" s="4" t="s">
        <v>448</v>
      </c>
      <c r="AB181" s="57">
        <v>46135</v>
      </c>
      <c r="AC181" s="32">
        <v>7304.7</v>
      </c>
      <c r="AD181" s="32">
        <v>7539</v>
      </c>
      <c r="AE181" s="32" t="s">
        <v>63</v>
      </c>
      <c r="AF181" s="57">
        <v>46135</v>
      </c>
      <c r="AG181" s="15" t="str">
        <f t="shared" si="82"/>
        <v>CIF</v>
      </c>
      <c r="AH181" s="4" t="s">
        <v>249</v>
      </c>
      <c r="AI181" s="36" t="e">
        <f>#REF!</f>
        <v>#REF!</v>
      </c>
      <c r="AJ181" s="36">
        <v>0</v>
      </c>
      <c r="AK181" s="142">
        <f t="shared" si="83"/>
        <v>0</v>
      </c>
      <c r="AL181" s="47">
        <v>46135</v>
      </c>
      <c r="AM181" s="153">
        <v>46135</v>
      </c>
      <c r="AN181" s="63">
        <f t="shared" si="84"/>
        <v>0</v>
      </c>
      <c r="AO181" s="34" t="s">
        <v>65</v>
      </c>
      <c r="AP181" s="64">
        <f t="shared" si="88"/>
        <v>46160</v>
      </c>
      <c r="AQ181" s="64">
        <f t="shared" si="80"/>
        <v>46135</v>
      </c>
      <c r="AR181" s="65">
        <f t="shared" si="71"/>
        <v>48</v>
      </c>
      <c r="AS181" s="65">
        <f t="shared" si="72"/>
        <v>23</v>
      </c>
      <c r="AT181" s="157">
        <f t="shared" si="73"/>
        <v>25</v>
      </c>
      <c r="AU181" s="13"/>
      <c r="AV181" s="13" t="s">
        <v>59</v>
      </c>
      <c r="AW181" s="109">
        <f t="shared" ref="AW181:AW186" si="90">AC181</f>
        <v>7304.7</v>
      </c>
      <c r="AX181" s="66">
        <f t="shared" si="85"/>
        <v>0</v>
      </c>
      <c r="AY181" s="66"/>
      <c r="AZ181" s="66">
        <f t="shared" si="86"/>
        <v>0</v>
      </c>
      <c r="BA181" s="67">
        <f t="shared" si="87"/>
        <v>0</v>
      </c>
    </row>
    <row r="182" spans="1:54" ht="21.6" customHeight="1" x14ac:dyDescent="0.3">
      <c r="A182" s="2" t="s">
        <v>90</v>
      </c>
      <c r="B182" s="3" t="s">
        <v>91</v>
      </c>
      <c r="C182" s="3" t="s">
        <v>78</v>
      </c>
      <c r="D182" s="3" t="s">
        <v>53</v>
      </c>
      <c r="E182" s="3">
        <v>4412896464</v>
      </c>
      <c r="F182" s="3" t="s">
        <v>53</v>
      </c>
      <c r="G182" s="144">
        <v>469</v>
      </c>
      <c r="H182" s="394">
        <v>46113</v>
      </c>
      <c r="I182" s="50">
        <v>46134</v>
      </c>
      <c r="J182" s="15">
        <f t="shared" si="64"/>
        <v>21</v>
      </c>
      <c r="K182" s="3" t="s">
        <v>70</v>
      </c>
      <c r="L182" s="3" t="s">
        <v>56</v>
      </c>
      <c r="M182" s="3" t="s">
        <v>92</v>
      </c>
      <c r="N182" s="3" t="s">
        <v>93</v>
      </c>
      <c r="O182" s="3" t="s">
        <v>59</v>
      </c>
      <c r="P182" s="8">
        <v>2226</v>
      </c>
      <c r="Q182" s="44" t="s">
        <v>100</v>
      </c>
      <c r="R182" s="57">
        <f t="shared" si="81"/>
        <v>46113</v>
      </c>
      <c r="S182" s="13" t="s">
        <v>61</v>
      </c>
      <c r="T182" s="35">
        <v>46134</v>
      </c>
      <c r="U182" s="37">
        <v>46122</v>
      </c>
      <c r="V182" s="37">
        <v>46134</v>
      </c>
      <c r="W182" s="59">
        <f t="shared" si="66"/>
        <v>21</v>
      </c>
      <c r="X182" s="59">
        <f t="shared" si="67"/>
        <v>9</v>
      </c>
      <c r="Y182" s="59">
        <f t="shared" si="68"/>
        <v>12</v>
      </c>
      <c r="Z182" s="39"/>
      <c r="AA182" s="4" t="s">
        <v>458</v>
      </c>
      <c r="AB182" s="35">
        <v>46121</v>
      </c>
      <c r="AC182" s="13">
        <v>2298.35</v>
      </c>
      <c r="AD182" s="13">
        <v>7500</v>
      </c>
      <c r="AE182" s="13" t="s">
        <v>63</v>
      </c>
      <c r="AF182" s="35">
        <v>46121</v>
      </c>
      <c r="AG182" s="3" t="str">
        <f t="shared" si="82"/>
        <v>CIF</v>
      </c>
      <c r="AH182" s="13" t="s">
        <v>64</v>
      </c>
      <c r="AI182" s="36" t="e">
        <f>#REF!</f>
        <v>#REF!</v>
      </c>
      <c r="AJ182" s="36">
        <v>0</v>
      </c>
      <c r="AK182" s="142">
        <f t="shared" si="83"/>
        <v>0</v>
      </c>
      <c r="AL182" s="47">
        <v>46121</v>
      </c>
      <c r="AM182" s="153">
        <v>46121</v>
      </c>
      <c r="AN182" s="63">
        <f t="shared" si="84"/>
        <v>0</v>
      </c>
      <c r="AO182" s="34" t="s">
        <v>65</v>
      </c>
      <c r="AP182" s="64">
        <f t="shared" si="88"/>
        <v>46134</v>
      </c>
      <c r="AQ182" s="64">
        <f t="shared" ref="AQ182:AQ189" si="91">AM182</f>
        <v>46121</v>
      </c>
      <c r="AR182" s="65">
        <f t="shared" si="71"/>
        <v>21</v>
      </c>
      <c r="AS182" s="65">
        <f t="shared" si="72"/>
        <v>8</v>
      </c>
      <c r="AT182" s="157">
        <f t="shared" si="73"/>
        <v>13</v>
      </c>
      <c r="AU182" s="13"/>
      <c r="AV182" s="13" t="s">
        <v>59</v>
      </c>
      <c r="AW182" s="109">
        <f t="shared" si="90"/>
        <v>2298.35</v>
      </c>
      <c r="AX182" s="66">
        <f t="shared" si="85"/>
        <v>0</v>
      </c>
      <c r="AY182" s="66"/>
      <c r="AZ182" s="66">
        <f t="shared" si="86"/>
        <v>0</v>
      </c>
      <c r="BA182" s="67">
        <f t="shared" si="87"/>
        <v>0</v>
      </c>
    </row>
    <row r="183" spans="1:54" ht="21.6" customHeight="1" x14ac:dyDescent="0.3">
      <c r="A183" s="2" t="s">
        <v>90</v>
      </c>
      <c r="B183" s="15" t="s">
        <v>91</v>
      </c>
      <c r="C183" s="3" t="s">
        <v>78</v>
      </c>
      <c r="D183" s="3" t="s">
        <v>53</v>
      </c>
      <c r="E183" s="3">
        <v>4412896464</v>
      </c>
      <c r="F183" s="3" t="s">
        <v>53</v>
      </c>
      <c r="G183" s="144">
        <v>469</v>
      </c>
      <c r="H183" s="394">
        <v>46113</v>
      </c>
      <c r="I183" s="50">
        <v>46135</v>
      </c>
      <c r="J183" s="15">
        <f t="shared" si="64"/>
        <v>22</v>
      </c>
      <c r="K183" s="3" t="s">
        <v>70</v>
      </c>
      <c r="L183" s="3" t="s">
        <v>56</v>
      </c>
      <c r="M183" s="15" t="s">
        <v>92</v>
      </c>
      <c r="N183" s="3" t="s">
        <v>93</v>
      </c>
      <c r="O183" s="3" t="s">
        <v>59</v>
      </c>
      <c r="P183" s="8">
        <v>2226</v>
      </c>
      <c r="Q183" s="44" t="s">
        <v>100</v>
      </c>
      <c r="R183" s="57">
        <f t="shared" si="81"/>
        <v>46113</v>
      </c>
      <c r="S183" s="13" t="s">
        <v>61</v>
      </c>
      <c r="T183" s="35">
        <v>46134</v>
      </c>
      <c r="U183" s="37">
        <v>46135</v>
      </c>
      <c r="V183" s="37">
        <v>46134</v>
      </c>
      <c r="W183" s="59">
        <f t="shared" si="66"/>
        <v>21</v>
      </c>
      <c r="X183" s="59">
        <f t="shared" si="67"/>
        <v>22</v>
      </c>
      <c r="Y183" s="59">
        <f t="shared" si="68"/>
        <v>-1</v>
      </c>
      <c r="Z183" s="39"/>
      <c r="AA183" s="4" t="s">
        <v>458</v>
      </c>
      <c r="AB183" s="57">
        <v>46134</v>
      </c>
      <c r="AC183" s="13">
        <v>2226</v>
      </c>
      <c r="AD183" s="13">
        <v>7534</v>
      </c>
      <c r="AE183" s="13" t="s">
        <v>63</v>
      </c>
      <c r="AF183" s="35">
        <v>46121</v>
      </c>
      <c r="AG183" s="3" t="str">
        <f t="shared" si="82"/>
        <v>CIF</v>
      </c>
      <c r="AH183" s="13" t="s">
        <v>64</v>
      </c>
      <c r="AI183" s="36" t="e">
        <f>#REF!</f>
        <v>#REF!</v>
      </c>
      <c r="AJ183" s="36">
        <v>0</v>
      </c>
      <c r="AK183" s="142">
        <f t="shared" si="83"/>
        <v>0</v>
      </c>
      <c r="AL183" s="47">
        <v>46135</v>
      </c>
      <c r="AM183" s="153">
        <v>46135</v>
      </c>
      <c r="AN183" s="63">
        <f t="shared" si="84"/>
        <v>14</v>
      </c>
      <c r="AO183" s="34" t="s">
        <v>65</v>
      </c>
      <c r="AP183" s="64">
        <f t="shared" si="88"/>
        <v>46135</v>
      </c>
      <c r="AQ183" s="64">
        <f t="shared" si="91"/>
        <v>46135</v>
      </c>
      <c r="AR183" s="65">
        <f t="shared" si="71"/>
        <v>22</v>
      </c>
      <c r="AS183" s="65">
        <f t="shared" si="72"/>
        <v>22</v>
      </c>
      <c r="AT183" s="157">
        <f t="shared" si="73"/>
        <v>0</v>
      </c>
      <c r="AU183" s="13"/>
      <c r="AV183" s="13" t="s">
        <v>59</v>
      </c>
      <c r="AW183" s="109">
        <f t="shared" si="90"/>
        <v>2226</v>
      </c>
      <c r="AX183" s="66">
        <f t="shared" si="85"/>
        <v>0</v>
      </c>
      <c r="AY183" s="66"/>
      <c r="AZ183" s="66">
        <f t="shared" si="86"/>
        <v>0</v>
      </c>
      <c r="BA183" s="67">
        <f t="shared" si="87"/>
        <v>0</v>
      </c>
      <c r="BB183" s="1"/>
    </row>
    <row r="184" spans="1:54" ht="21.6" customHeight="1" x14ac:dyDescent="0.3">
      <c r="A184" s="2" t="s">
        <v>181</v>
      </c>
      <c r="B184" s="15" t="s">
        <v>51</v>
      </c>
      <c r="C184" s="3" t="s">
        <v>78</v>
      </c>
      <c r="D184" s="3" t="s">
        <v>53</v>
      </c>
      <c r="E184" s="3">
        <v>123029235</v>
      </c>
      <c r="F184" s="3" t="s">
        <v>501</v>
      </c>
      <c r="G184" s="144">
        <v>471</v>
      </c>
      <c r="H184" s="394">
        <v>46113</v>
      </c>
      <c r="I184" s="50">
        <v>46207</v>
      </c>
      <c r="J184" s="15">
        <f t="shared" si="64"/>
        <v>94</v>
      </c>
      <c r="K184" s="3" t="s">
        <v>55</v>
      </c>
      <c r="L184" s="3" t="s">
        <v>56</v>
      </c>
      <c r="M184" s="15" t="s">
        <v>57</v>
      </c>
      <c r="N184" s="3" t="s">
        <v>502</v>
      </c>
      <c r="O184" s="3" t="s">
        <v>59</v>
      </c>
      <c r="P184" s="8">
        <v>13012.88</v>
      </c>
      <c r="Q184" s="44" t="s">
        <v>100</v>
      </c>
      <c r="R184" s="57">
        <f t="shared" si="81"/>
        <v>46113</v>
      </c>
      <c r="S184" s="13" t="s">
        <v>61</v>
      </c>
      <c r="T184" s="35">
        <v>46136</v>
      </c>
      <c r="U184" s="37">
        <v>46136</v>
      </c>
      <c r="V184" s="37">
        <v>46142</v>
      </c>
      <c r="W184" s="59">
        <f t="shared" si="66"/>
        <v>29</v>
      </c>
      <c r="X184" s="59">
        <f t="shared" si="67"/>
        <v>23</v>
      </c>
      <c r="Y184" s="59">
        <f t="shared" si="68"/>
        <v>6</v>
      </c>
      <c r="Z184" s="39"/>
      <c r="AA184" s="4" t="s">
        <v>433</v>
      </c>
      <c r="AB184" s="35">
        <v>46141</v>
      </c>
      <c r="AC184" s="13">
        <v>13012.88</v>
      </c>
      <c r="AD184" s="13">
        <v>7559</v>
      </c>
      <c r="AE184" s="13" t="s">
        <v>63</v>
      </c>
      <c r="AF184" s="35">
        <v>46150</v>
      </c>
      <c r="AG184" s="3" t="s">
        <v>55</v>
      </c>
      <c r="AH184" s="13" t="s">
        <v>503</v>
      </c>
      <c r="AI184" s="36" t="e">
        <f>#REF!</f>
        <v>#REF!</v>
      </c>
      <c r="AJ184" s="36">
        <v>0</v>
      </c>
      <c r="AK184" s="142">
        <f t="shared" si="83"/>
        <v>0</v>
      </c>
      <c r="AL184" s="47">
        <v>46136</v>
      </c>
      <c r="AM184" s="153">
        <v>46136</v>
      </c>
      <c r="AN184" s="63">
        <f t="shared" si="84"/>
        <v>-14</v>
      </c>
      <c r="AO184" s="34" t="s">
        <v>65</v>
      </c>
      <c r="AP184" s="64">
        <f t="shared" si="88"/>
        <v>46207</v>
      </c>
      <c r="AQ184" s="64">
        <f t="shared" si="91"/>
        <v>46136</v>
      </c>
      <c r="AR184" s="65">
        <f t="shared" si="71"/>
        <v>94</v>
      </c>
      <c r="AS184" s="65">
        <f t="shared" si="72"/>
        <v>23</v>
      </c>
      <c r="AT184" s="157">
        <f t="shared" si="73"/>
        <v>71</v>
      </c>
      <c r="AU184" s="13"/>
      <c r="AV184" s="13" t="s">
        <v>59</v>
      </c>
      <c r="AW184" s="109">
        <f t="shared" si="90"/>
        <v>13012.88</v>
      </c>
      <c r="AX184" s="66">
        <f t="shared" si="85"/>
        <v>0</v>
      </c>
      <c r="AY184" s="66"/>
      <c r="AZ184" s="66">
        <f t="shared" si="86"/>
        <v>0</v>
      </c>
      <c r="BA184" s="67">
        <f t="shared" si="87"/>
        <v>0</v>
      </c>
    </row>
    <row r="185" spans="1:54" ht="21.6" customHeight="1" x14ac:dyDescent="0.3">
      <c r="A185" s="172" t="s">
        <v>504</v>
      </c>
      <c r="B185" s="3" t="s">
        <v>51</v>
      </c>
      <c r="C185" s="3" t="s">
        <v>78</v>
      </c>
      <c r="D185" s="3" t="s">
        <v>53</v>
      </c>
      <c r="E185" s="3" t="s">
        <v>53</v>
      </c>
      <c r="F185" s="3" t="s">
        <v>505</v>
      </c>
      <c r="G185" s="144">
        <v>475</v>
      </c>
      <c r="H185" s="394">
        <v>46114</v>
      </c>
      <c r="I185" s="50">
        <v>46134</v>
      </c>
      <c r="J185" s="15">
        <f t="shared" si="64"/>
        <v>20</v>
      </c>
      <c r="K185" s="3" t="s">
        <v>55</v>
      </c>
      <c r="L185" s="3" t="s">
        <v>56</v>
      </c>
      <c r="M185" s="3" t="s">
        <v>57</v>
      </c>
      <c r="N185" s="3" t="s">
        <v>315</v>
      </c>
      <c r="O185" s="3" t="s">
        <v>59</v>
      </c>
      <c r="P185" s="8">
        <v>3302.17</v>
      </c>
      <c r="Q185" s="44" t="s">
        <v>60</v>
      </c>
      <c r="R185" s="57">
        <f t="shared" si="81"/>
        <v>46114</v>
      </c>
      <c r="S185" s="13" t="s">
        <v>61</v>
      </c>
      <c r="T185" s="35">
        <v>46129</v>
      </c>
      <c r="U185" s="37">
        <v>46129</v>
      </c>
      <c r="V185" s="37">
        <v>46135</v>
      </c>
      <c r="W185" s="59">
        <f t="shared" si="66"/>
        <v>21</v>
      </c>
      <c r="X185" s="59">
        <f t="shared" si="67"/>
        <v>15</v>
      </c>
      <c r="Y185" s="59">
        <f t="shared" si="68"/>
        <v>6</v>
      </c>
      <c r="Z185" s="39"/>
      <c r="AA185" s="4" t="s">
        <v>433</v>
      </c>
      <c r="AB185" s="35">
        <v>46129</v>
      </c>
      <c r="AC185" s="13">
        <v>3302.17</v>
      </c>
      <c r="AD185" s="13">
        <v>7528</v>
      </c>
      <c r="AE185" s="13" t="s">
        <v>63</v>
      </c>
      <c r="AF185" s="35">
        <v>46129</v>
      </c>
      <c r="AG185" s="3" t="str">
        <f t="shared" ref="AG185:AG205" si="92">K185</f>
        <v>FOB</v>
      </c>
      <c r="AH185" s="13" t="s">
        <v>506</v>
      </c>
      <c r="AI185" s="36" t="e">
        <f>#REF!</f>
        <v>#REF!</v>
      </c>
      <c r="AJ185" s="36">
        <v>0</v>
      </c>
      <c r="AK185" s="142">
        <f t="shared" si="83"/>
        <v>0</v>
      </c>
      <c r="AL185" s="47">
        <v>46129</v>
      </c>
      <c r="AM185" s="153">
        <v>46129</v>
      </c>
      <c r="AN185" s="63">
        <f t="shared" si="84"/>
        <v>0</v>
      </c>
      <c r="AO185" s="34" t="s">
        <v>65</v>
      </c>
      <c r="AP185" s="64">
        <f t="shared" si="88"/>
        <v>46134</v>
      </c>
      <c r="AQ185" s="64">
        <f t="shared" si="91"/>
        <v>46129</v>
      </c>
      <c r="AR185" s="65">
        <f t="shared" si="71"/>
        <v>20</v>
      </c>
      <c r="AS185" s="65">
        <f t="shared" si="72"/>
        <v>15</v>
      </c>
      <c r="AT185" s="157">
        <f t="shared" si="73"/>
        <v>5</v>
      </c>
      <c r="AU185" s="13"/>
      <c r="AV185" s="13" t="s">
        <v>59</v>
      </c>
      <c r="AW185" s="109">
        <f t="shared" si="90"/>
        <v>3302.17</v>
      </c>
      <c r="AX185" s="66">
        <f t="shared" si="85"/>
        <v>0</v>
      </c>
      <c r="AY185" s="66"/>
      <c r="AZ185" s="66">
        <f t="shared" si="86"/>
        <v>0</v>
      </c>
      <c r="BA185" s="67">
        <f t="shared" si="87"/>
        <v>0</v>
      </c>
    </row>
    <row r="186" spans="1:54" ht="21.6" customHeight="1" x14ac:dyDescent="0.3">
      <c r="A186" s="2" t="s">
        <v>90</v>
      </c>
      <c r="B186" s="3" t="s">
        <v>91</v>
      </c>
      <c r="C186" s="3" t="s">
        <v>78</v>
      </c>
      <c r="D186" s="3" t="s">
        <v>507</v>
      </c>
      <c r="E186" s="3">
        <v>4412911667</v>
      </c>
      <c r="F186" s="3" t="s">
        <v>53</v>
      </c>
      <c r="G186" s="144">
        <v>476</v>
      </c>
      <c r="H186" s="394">
        <v>46114</v>
      </c>
      <c r="I186" s="50">
        <v>46135</v>
      </c>
      <c r="J186" s="15">
        <f t="shared" si="64"/>
        <v>21</v>
      </c>
      <c r="K186" s="3" t="s">
        <v>70</v>
      </c>
      <c r="L186" s="3" t="s">
        <v>56</v>
      </c>
      <c r="M186" s="3" t="s">
        <v>92</v>
      </c>
      <c r="N186" s="3" t="s">
        <v>93</v>
      </c>
      <c r="O186" s="3" t="s">
        <v>59</v>
      </c>
      <c r="P186" s="8">
        <v>16672</v>
      </c>
      <c r="Q186" s="44" t="s">
        <v>100</v>
      </c>
      <c r="R186" s="57">
        <f t="shared" ref="R186:R217" si="93">H186</f>
        <v>46114</v>
      </c>
      <c r="S186" s="13" t="s">
        <v>61</v>
      </c>
      <c r="T186" s="35">
        <v>46134</v>
      </c>
      <c r="U186" s="37">
        <v>46135</v>
      </c>
      <c r="V186" s="37">
        <f>I186</f>
        <v>46135</v>
      </c>
      <c r="W186" s="59">
        <f t="shared" si="66"/>
        <v>21</v>
      </c>
      <c r="X186" s="59">
        <f t="shared" si="67"/>
        <v>21</v>
      </c>
      <c r="Y186" s="59">
        <f t="shared" si="68"/>
        <v>0</v>
      </c>
      <c r="Z186" s="39"/>
      <c r="AA186" s="4" t="s">
        <v>448</v>
      </c>
      <c r="AB186" s="35">
        <v>46135</v>
      </c>
      <c r="AC186" s="13">
        <v>16672</v>
      </c>
      <c r="AD186" s="13">
        <v>7536</v>
      </c>
      <c r="AE186" s="13" t="s">
        <v>63</v>
      </c>
      <c r="AF186" s="35">
        <v>46135</v>
      </c>
      <c r="AG186" s="3" t="str">
        <f t="shared" si="92"/>
        <v>CIF</v>
      </c>
      <c r="AH186" s="28" t="s">
        <v>64</v>
      </c>
      <c r="AI186" s="36" t="e">
        <f>#REF!</f>
        <v>#REF!</v>
      </c>
      <c r="AJ186" s="36">
        <v>0</v>
      </c>
      <c r="AK186" s="142">
        <f t="shared" si="83"/>
        <v>0</v>
      </c>
      <c r="AL186" s="47">
        <v>46135</v>
      </c>
      <c r="AM186" s="153">
        <v>46135</v>
      </c>
      <c r="AN186" s="63">
        <f t="shared" si="84"/>
        <v>0</v>
      </c>
      <c r="AO186" s="34" t="s">
        <v>65</v>
      </c>
      <c r="AP186" s="64">
        <f t="shared" si="88"/>
        <v>46135</v>
      </c>
      <c r="AQ186" s="64">
        <f t="shared" si="91"/>
        <v>46135</v>
      </c>
      <c r="AR186" s="65">
        <f t="shared" si="71"/>
        <v>21</v>
      </c>
      <c r="AS186" s="65">
        <f t="shared" si="72"/>
        <v>21</v>
      </c>
      <c r="AT186" s="157">
        <f t="shared" si="73"/>
        <v>0</v>
      </c>
      <c r="AU186" s="13"/>
      <c r="AV186" s="13" t="s">
        <v>59</v>
      </c>
      <c r="AW186" s="109">
        <f t="shared" si="90"/>
        <v>16672</v>
      </c>
      <c r="AX186" s="66">
        <f t="shared" si="85"/>
        <v>0</v>
      </c>
      <c r="AY186" s="66"/>
      <c r="AZ186" s="66">
        <f t="shared" si="86"/>
        <v>0</v>
      </c>
      <c r="BA186" s="67">
        <f t="shared" si="87"/>
        <v>0</v>
      </c>
    </row>
    <row r="187" spans="1:54" ht="21.6" customHeight="1" x14ac:dyDescent="0.3">
      <c r="A187" s="2" t="s">
        <v>508</v>
      </c>
      <c r="B187" s="3"/>
      <c r="C187" s="3"/>
      <c r="D187" s="3"/>
      <c r="E187" s="3"/>
      <c r="F187" s="3"/>
      <c r="G187" s="144">
        <v>478</v>
      </c>
      <c r="H187" s="394">
        <v>46114</v>
      </c>
      <c r="I187" s="50">
        <v>46142</v>
      </c>
      <c r="J187" s="15">
        <f t="shared" si="64"/>
        <v>28</v>
      </c>
      <c r="K187" s="3" t="s">
        <v>55</v>
      </c>
      <c r="L187" s="3" t="s">
        <v>56</v>
      </c>
      <c r="M187" s="3" t="s">
        <v>486</v>
      </c>
      <c r="N187" s="3" t="s">
        <v>509</v>
      </c>
      <c r="O187" s="3" t="s">
        <v>59</v>
      </c>
      <c r="P187" s="8">
        <v>7279.85</v>
      </c>
      <c r="Q187" s="44" t="s">
        <v>100</v>
      </c>
      <c r="R187" s="57">
        <f t="shared" si="93"/>
        <v>46114</v>
      </c>
      <c r="S187" s="13" t="s">
        <v>61</v>
      </c>
      <c r="T187" s="35">
        <v>46135</v>
      </c>
      <c r="U187" s="37">
        <v>46134</v>
      </c>
      <c r="V187" s="37">
        <f>I187</f>
        <v>46142</v>
      </c>
      <c r="W187" s="59">
        <f t="shared" si="66"/>
        <v>28</v>
      </c>
      <c r="X187" s="59">
        <f t="shared" si="67"/>
        <v>20</v>
      </c>
      <c r="Y187" s="59">
        <f t="shared" si="68"/>
        <v>8</v>
      </c>
      <c r="Z187" s="39"/>
      <c r="AA187" s="4" t="s">
        <v>448</v>
      </c>
      <c r="AB187" s="119">
        <v>46136</v>
      </c>
      <c r="AC187" s="118">
        <v>7279.85</v>
      </c>
      <c r="AD187" s="28">
        <v>7553</v>
      </c>
      <c r="AE187" s="118" t="s">
        <v>63</v>
      </c>
      <c r="AF187" s="119">
        <v>46147</v>
      </c>
      <c r="AG187" s="115" t="str">
        <f t="shared" si="92"/>
        <v>FOB</v>
      </c>
      <c r="AH187" s="373" t="s">
        <v>510</v>
      </c>
      <c r="AI187" s="36"/>
      <c r="AJ187" s="36"/>
      <c r="AK187" s="142"/>
      <c r="AL187" s="47">
        <v>46136</v>
      </c>
      <c r="AM187" s="153">
        <v>46136</v>
      </c>
      <c r="AN187" s="63">
        <f t="shared" si="84"/>
        <v>-11</v>
      </c>
      <c r="AO187" s="34" t="s">
        <v>65</v>
      </c>
      <c r="AP187" s="64">
        <f t="shared" si="88"/>
        <v>46142</v>
      </c>
      <c r="AQ187" s="64">
        <f t="shared" si="91"/>
        <v>46136</v>
      </c>
      <c r="AR187" s="65">
        <f t="shared" si="71"/>
        <v>28</v>
      </c>
      <c r="AS187" s="65">
        <f t="shared" si="72"/>
        <v>22</v>
      </c>
      <c r="AT187" s="157">
        <f t="shared" si="73"/>
        <v>6</v>
      </c>
      <c r="AU187" s="13"/>
      <c r="AV187" s="13" t="s">
        <v>59</v>
      </c>
      <c r="AW187" s="109"/>
      <c r="AX187" s="66"/>
      <c r="AY187" s="66"/>
      <c r="AZ187" s="66"/>
      <c r="BA187" s="67"/>
    </row>
    <row r="188" spans="1:54" ht="21.6" customHeight="1" x14ac:dyDescent="0.3">
      <c r="A188" s="2" t="s">
        <v>511</v>
      </c>
      <c r="B188" s="3" t="s">
        <v>67</v>
      </c>
      <c r="C188" s="3" t="s">
        <v>52</v>
      </c>
      <c r="D188" s="3" t="s">
        <v>53</v>
      </c>
      <c r="E188" s="3">
        <v>1084</v>
      </c>
      <c r="F188" s="3" t="s">
        <v>512</v>
      </c>
      <c r="G188" s="144">
        <v>480</v>
      </c>
      <c r="H188" s="394">
        <v>46119</v>
      </c>
      <c r="I188" s="50">
        <v>46122</v>
      </c>
      <c r="J188" s="15">
        <f t="shared" si="64"/>
        <v>3</v>
      </c>
      <c r="K188" s="3" t="s">
        <v>55</v>
      </c>
      <c r="L188" s="3" t="s">
        <v>513</v>
      </c>
      <c r="M188" s="3" t="s">
        <v>72</v>
      </c>
      <c r="N188" s="3" t="s">
        <v>514</v>
      </c>
      <c r="O188" s="3" t="s">
        <v>59</v>
      </c>
      <c r="P188" s="8">
        <v>1044.52</v>
      </c>
      <c r="Q188" s="44" t="s">
        <v>60</v>
      </c>
      <c r="R188" s="57">
        <f t="shared" si="93"/>
        <v>46119</v>
      </c>
      <c r="S188" s="13" t="s">
        <v>61</v>
      </c>
      <c r="T188" s="35">
        <v>46122</v>
      </c>
      <c r="U188" s="37">
        <v>46122</v>
      </c>
      <c r="V188" s="37">
        <f>I188</f>
        <v>46122</v>
      </c>
      <c r="W188" s="59">
        <f t="shared" si="66"/>
        <v>3</v>
      </c>
      <c r="X188" s="59">
        <f t="shared" si="67"/>
        <v>3</v>
      </c>
      <c r="Y188" s="59">
        <f t="shared" si="68"/>
        <v>0</v>
      </c>
      <c r="Z188" s="39"/>
      <c r="AA188" s="13" t="s">
        <v>458</v>
      </c>
      <c r="AB188" s="35">
        <v>46122</v>
      </c>
      <c r="AC188" s="246">
        <v>1030.1199999999999</v>
      </c>
      <c r="AD188" s="385">
        <v>7503</v>
      </c>
      <c r="AE188" s="246" t="s">
        <v>63</v>
      </c>
      <c r="AF188" s="245">
        <v>46128</v>
      </c>
      <c r="AG188" s="113" t="str">
        <f t="shared" si="92"/>
        <v>FOB</v>
      </c>
      <c r="AH188" s="372" t="s">
        <v>374</v>
      </c>
      <c r="AI188" s="36" t="e">
        <f>#REF!</f>
        <v>#REF!</v>
      </c>
      <c r="AJ188" s="36">
        <v>0</v>
      </c>
      <c r="AK188" s="142">
        <f t="shared" ref="AK188:AK197" si="94">AJ188/AC188</f>
        <v>0</v>
      </c>
      <c r="AL188" s="47">
        <v>46122</v>
      </c>
      <c r="AM188" s="153">
        <v>46122</v>
      </c>
      <c r="AN188" s="63">
        <f t="shared" si="84"/>
        <v>-6</v>
      </c>
      <c r="AO188" s="34" t="s">
        <v>65</v>
      </c>
      <c r="AP188" s="64">
        <f t="shared" si="88"/>
        <v>46122</v>
      </c>
      <c r="AQ188" s="64">
        <f t="shared" si="91"/>
        <v>46122</v>
      </c>
      <c r="AR188" s="65">
        <f t="shared" si="71"/>
        <v>3</v>
      </c>
      <c r="AS188" s="65">
        <f t="shared" si="72"/>
        <v>3</v>
      </c>
      <c r="AT188" s="157">
        <f t="shared" si="73"/>
        <v>0</v>
      </c>
      <c r="AU188" s="13"/>
      <c r="AV188" s="13" t="s">
        <v>59</v>
      </c>
      <c r="AW188" s="109">
        <f t="shared" ref="AW188:AW205" si="95">AC188</f>
        <v>1030.1199999999999</v>
      </c>
      <c r="AX188" s="66">
        <f t="shared" ref="AX188:AX197" si="96">Z188</f>
        <v>0</v>
      </c>
      <c r="AY188" s="66"/>
      <c r="AZ188" s="66">
        <f t="shared" ref="AZ188:AZ197" si="97">AJ188</f>
        <v>0</v>
      </c>
      <c r="BA188" s="67">
        <f t="shared" ref="BA188:BA197" si="98">AX188+AZ188</f>
        <v>0</v>
      </c>
    </row>
    <row r="189" spans="1:54" ht="21.6" customHeight="1" x14ac:dyDescent="0.3">
      <c r="A189" s="2" t="s">
        <v>291</v>
      </c>
      <c r="B189" s="3" t="s">
        <v>292</v>
      </c>
      <c r="C189" s="3" t="s">
        <v>78</v>
      </c>
      <c r="D189" s="3"/>
      <c r="E189" s="3">
        <v>4500247929</v>
      </c>
      <c r="F189" s="3" t="s">
        <v>515</v>
      </c>
      <c r="G189" s="144">
        <v>481</v>
      </c>
      <c r="H189" s="394">
        <v>46119</v>
      </c>
      <c r="I189" s="50">
        <v>46149</v>
      </c>
      <c r="J189" s="15">
        <f t="shared" si="64"/>
        <v>30</v>
      </c>
      <c r="K189" s="3" t="s">
        <v>55</v>
      </c>
      <c r="L189" s="3" t="s">
        <v>56</v>
      </c>
      <c r="M189" s="3" t="s">
        <v>294</v>
      </c>
      <c r="N189" s="3" t="s">
        <v>323</v>
      </c>
      <c r="O189" s="3" t="s">
        <v>59</v>
      </c>
      <c r="P189" s="8">
        <v>34716.870000000003</v>
      </c>
      <c r="Q189" s="44" t="s">
        <v>100</v>
      </c>
      <c r="R189" s="57">
        <f t="shared" si="93"/>
        <v>46119</v>
      </c>
      <c r="S189" s="13" t="s">
        <v>61</v>
      </c>
      <c r="T189" s="35">
        <v>46140</v>
      </c>
      <c r="U189" s="37">
        <v>46141</v>
      </c>
      <c r="V189" s="37">
        <v>46146</v>
      </c>
      <c r="W189" s="59">
        <f t="shared" si="66"/>
        <v>27</v>
      </c>
      <c r="X189" s="59">
        <f t="shared" si="67"/>
        <v>22</v>
      </c>
      <c r="Y189" s="59">
        <f t="shared" si="68"/>
        <v>5</v>
      </c>
      <c r="Z189" s="39"/>
      <c r="AA189" s="4" t="s">
        <v>442</v>
      </c>
      <c r="AB189" s="35">
        <v>46142</v>
      </c>
      <c r="AC189" s="13" t="s">
        <v>516</v>
      </c>
      <c r="AD189" s="13">
        <v>7562</v>
      </c>
      <c r="AE189" s="13" t="s">
        <v>63</v>
      </c>
      <c r="AF189" s="35">
        <v>46147</v>
      </c>
      <c r="AG189" s="3" t="str">
        <f t="shared" si="92"/>
        <v>FOB</v>
      </c>
      <c r="AH189" s="4" t="s">
        <v>517</v>
      </c>
      <c r="AI189" s="36" t="e">
        <f>#REF!</f>
        <v>#REF!</v>
      </c>
      <c r="AJ189" s="36">
        <v>0</v>
      </c>
      <c r="AK189" s="142">
        <f t="shared" si="94"/>
        <v>0</v>
      </c>
      <c r="AL189" s="47">
        <v>46142</v>
      </c>
      <c r="AM189" s="153">
        <v>46142</v>
      </c>
      <c r="AN189" s="63">
        <f t="shared" si="84"/>
        <v>-5</v>
      </c>
      <c r="AO189" s="34" t="s">
        <v>65</v>
      </c>
      <c r="AP189" s="64">
        <f t="shared" si="88"/>
        <v>46149</v>
      </c>
      <c r="AQ189" s="64">
        <f t="shared" si="91"/>
        <v>46142</v>
      </c>
      <c r="AR189" s="65">
        <f t="shared" si="71"/>
        <v>30</v>
      </c>
      <c r="AS189" s="65">
        <f t="shared" si="72"/>
        <v>23</v>
      </c>
      <c r="AT189" s="157">
        <f t="shared" si="73"/>
        <v>7</v>
      </c>
      <c r="AU189" s="13"/>
      <c r="AV189" s="13" t="s">
        <v>59</v>
      </c>
      <c r="AW189" s="109" t="str">
        <f t="shared" si="95"/>
        <v>34.716,87</v>
      </c>
      <c r="AX189" s="66">
        <f t="shared" si="96"/>
        <v>0</v>
      </c>
      <c r="AY189" s="66"/>
      <c r="AZ189" s="66">
        <f t="shared" si="97"/>
        <v>0</v>
      </c>
      <c r="BA189" s="67">
        <f t="shared" si="98"/>
        <v>0</v>
      </c>
    </row>
    <row r="190" spans="1:54" ht="21.6" customHeight="1" x14ac:dyDescent="0.3">
      <c r="A190" s="2" t="s">
        <v>284</v>
      </c>
      <c r="B190" s="3" t="s">
        <v>171</v>
      </c>
      <c r="C190" s="3" t="s">
        <v>78</v>
      </c>
      <c r="D190" s="3"/>
      <c r="E190" s="3">
        <v>4518533539</v>
      </c>
      <c r="F190" s="3" t="s">
        <v>53</v>
      </c>
      <c r="G190" s="144">
        <v>482</v>
      </c>
      <c r="H190" s="394">
        <v>46119</v>
      </c>
      <c r="I190" s="50">
        <v>46177</v>
      </c>
      <c r="J190" s="15">
        <f t="shared" si="64"/>
        <v>58</v>
      </c>
      <c r="K190" s="3" t="s">
        <v>70</v>
      </c>
      <c r="L190" s="3" t="s">
        <v>56</v>
      </c>
      <c r="M190" s="3" t="s">
        <v>186</v>
      </c>
      <c r="N190" s="3" t="s">
        <v>286</v>
      </c>
      <c r="O190" s="3" t="s">
        <v>59</v>
      </c>
      <c r="P190" s="8">
        <v>5528</v>
      </c>
      <c r="Q190" s="44" t="s">
        <v>100</v>
      </c>
      <c r="R190" s="57">
        <f t="shared" si="93"/>
        <v>46119</v>
      </c>
      <c r="S190" s="13" t="s">
        <v>61</v>
      </c>
      <c r="T190" s="35">
        <v>46129</v>
      </c>
      <c r="U190" s="37">
        <v>46127</v>
      </c>
      <c r="V190" s="37">
        <f t="shared" ref="V190:V225" si="99">I190</f>
        <v>46177</v>
      </c>
      <c r="W190" s="59">
        <f t="shared" si="66"/>
        <v>58</v>
      </c>
      <c r="X190" s="59">
        <f t="shared" si="67"/>
        <v>8</v>
      </c>
      <c r="Y190" s="59">
        <f t="shared" si="68"/>
        <v>50</v>
      </c>
      <c r="Z190" s="39"/>
      <c r="AA190" s="4" t="s">
        <v>458</v>
      </c>
      <c r="AB190" s="57">
        <v>46128</v>
      </c>
      <c r="AC190" s="32">
        <v>5528</v>
      </c>
      <c r="AD190" s="32">
        <v>7523</v>
      </c>
      <c r="AE190" s="32" t="s">
        <v>63</v>
      </c>
      <c r="AF190" s="57">
        <v>46134</v>
      </c>
      <c r="AG190" s="15" t="str">
        <f t="shared" si="92"/>
        <v>CIF</v>
      </c>
      <c r="AH190" s="13" t="s">
        <v>151</v>
      </c>
      <c r="AI190" s="36" t="e">
        <f>#REF!</f>
        <v>#REF!</v>
      </c>
      <c r="AJ190" s="36">
        <v>0</v>
      </c>
      <c r="AK190" s="142">
        <f t="shared" si="94"/>
        <v>0</v>
      </c>
      <c r="AL190" s="47">
        <v>46139</v>
      </c>
      <c r="AM190" s="153">
        <v>46147</v>
      </c>
      <c r="AN190" s="63">
        <f t="shared" si="84"/>
        <v>13</v>
      </c>
      <c r="AO190" s="34" t="s">
        <v>65</v>
      </c>
      <c r="AP190" s="64">
        <f t="shared" si="88"/>
        <v>46177</v>
      </c>
      <c r="AQ190" s="64">
        <v>46147</v>
      </c>
      <c r="AR190" s="65">
        <f t="shared" si="71"/>
        <v>58</v>
      </c>
      <c r="AS190" s="65">
        <f t="shared" si="72"/>
        <v>28</v>
      </c>
      <c r="AT190" s="157">
        <f t="shared" si="73"/>
        <v>30</v>
      </c>
      <c r="AU190" s="13"/>
      <c r="AV190" s="13" t="s">
        <v>59</v>
      </c>
      <c r="AW190" s="109">
        <f t="shared" si="95"/>
        <v>5528</v>
      </c>
      <c r="AX190" s="66">
        <f t="shared" si="96"/>
        <v>0</v>
      </c>
      <c r="AY190" s="66"/>
      <c r="AZ190" s="66">
        <f t="shared" si="97"/>
        <v>0</v>
      </c>
      <c r="BA190" s="67">
        <f t="shared" si="98"/>
        <v>0</v>
      </c>
    </row>
    <row r="191" spans="1:54" ht="21.6" customHeight="1" x14ac:dyDescent="0.3">
      <c r="A191" s="2" t="s">
        <v>518</v>
      </c>
      <c r="B191" s="3" t="s">
        <v>91</v>
      </c>
      <c r="C191" s="3" t="s">
        <v>78</v>
      </c>
      <c r="D191" s="3"/>
      <c r="E191" s="3">
        <v>4500752632</v>
      </c>
      <c r="F191" s="3" t="s">
        <v>519</v>
      </c>
      <c r="G191" s="144">
        <v>483</v>
      </c>
      <c r="H191" s="394">
        <v>46119</v>
      </c>
      <c r="I191" s="50">
        <v>46171</v>
      </c>
      <c r="J191" s="15">
        <f t="shared" si="64"/>
        <v>52</v>
      </c>
      <c r="K191" s="3" t="s">
        <v>55</v>
      </c>
      <c r="L191" s="3" t="s">
        <v>56</v>
      </c>
      <c r="M191" s="3" t="s">
        <v>92</v>
      </c>
      <c r="N191" s="3" t="s">
        <v>363</v>
      </c>
      <c r="O191" s="3" t="s">
        <v>59</v>
      </c>
      <c r="P191" s="8">
        <v>8400</v>
      </c>
      <c r="Q191" s="44" t="s">
        <v>100</v>
      </c>
      <c r="R191" s="57">
        <f t="shared" si="93"/>
        <v>46119</v>
      </c>
      <c r="S191" s="13" t="s">
        <v>61</v>
      </c>
      <c r="T191" s="35">
        <v>46136</v>
      </c>
      <c r="U191" s="37">
        <v>46136</v>
      </c>
      <c r="V191" s="37">
        <f t="shared" si="99"/>
        <v>46171</v>
      </c>
      <c r="W191" s="59">
        <f t="shared" si="66"/>
        <v>52</v>
      </c>
      <c r="X191" s="59">
        <f t="shared" si="67"/>
        <v>17</v>
      </c>
      <c r="Y191" s="59">
        <f t="shared" si="68"/>
        <v>35</v>
      </c>
      <c r="Z191" s="39"/>
      <c r="AA191" s="4" t="s">
        <v>448</v>
      </c>
      <c r="AB191" s="57">
        <v>46137</v>
      </c>
      <c r="AC191" s="118">
        <v>8400</v>
      </c>
      <c r="AD191" s="13">
        <v>6828</v>
      </c>
      <c r="AE191" s="118" t="s">
        <v>63</v>
      </c>
      <c r="AF191" s="35">
        <v>46139</v>
      </c>
      <c r="AG191" s="3" t="str">
        <f t="shared" si="92"/>
        <v>FOB</v>
      </c>
      <c r="AH191" s="13" t="s">
        <v>520</v>
      </c>
      <c r="AI191" s="36" t="e">
        <f>#REF!</f>
        <v>#REF!</v>
      </c>
      <c r="AJ191" s="36">
        <v>0</v>
      </c>
      <c r="AK191" s="142">
        <f t="shared" si="94"/>
        <v>0</v>
      </c>
      <c r="AL191" s="47">
        <v>46136</v>
      </c>
      <c r="AM191" s="153">
        <v>46136</v>
      </c>
      <c r="AN191" s="63">
        <f t="shared" si="84"/>
        <v>-3</v>
      </c>
      <c r="AO191" s="34" t="s">
        <v>65</v>
      </c>
      <c r="AP191" s="64">
        <f t="shared" si="88"/>
        <v>46171</v>
      </c>
      <c r="AQ191" s="64">
        <f>AM191</f>
        <v>46136</v>
      </c>
      <c r="AR191" s="65">
        <f t="shared" si="71"/>
        <v>52</v>
      </c>
      <c r="AS191" s="65">
        <f t="shared" si="72"/>
        <v>17</v>
      </c>
      <c r="AT191" s="157">
        <f t="shared" si="73"/>
        <v>35</v>
      </c>
      <c r="AU191" s="13"/>
      <c r="AV191" s="13" t="s">
        <v>59</v>
      </c>
      <c r="AW191" s="109">
        <f t="shared" si="95"/>
        <v>8400</v>
      </c>
      <c r="AX191" s="66">
        <f t="shared" si="96"/>
        <v>0</v>
      </c>
      <c r="AY191" s="66"/>
      <c r="AZ191" s="66">
        <f t="shared" si="97"/>
        <v>0</v>
      </c>
      <c r="BA191" s="67">
        <f t="shared" si="98"/>
        <v>0</v>
      </c>
    </row>
    <row r="192" spans="1:54" ht="21.6" customHeight="1" x14ac:dyDescent="0.3">
      <c r="A192" s="2" t="s">
        <v>284</v>
      </c>
      <c r="B192" s="3" t="s">
        <v>171</v>
      </c>
      <c r="C192" s="3" t="s">
        <v>78</v>
      </c>
      <c r="D192" s="3"/>
      <c r="E192" s="3">
        <v>4518533482</v>
      </c>
      <c r="F192" s="3" t="s">
        <v>53</v>
      </c>
      <c r="G192" s="144">
        <v>484</v>
      </c>
      <c r="H192" s="394">
        <v>46119</v>
      </c>
      <c r="I192" s="50">
        <v>46162</v>
      </c>
      <c r="J192" s="15">
        <f t="shared" si="64"/>
        <v>43</v>
      </c>
      <c r="K192" s="3" t="s">
        <v>70</v>
      </c>
      <c r="L192" s="3" t="s">
        <v>56</v>
      </c>
      <c r="M192" s="3" t="s">
        <v>186</v>
      </c>
      <c r="N192" s="3" t="s">
        <v>286</v>
      </c>
      <c r="O192" s="3" t="s">
        <v>59</v>
      </c>
      <c r="P192" s="8">
        <v>16345</v>
      </c>
      <c r="Q192" s="44" t="s">
        <v>100</v>
      </c>
      <c r="R192" s="57">
        <f t="shared" si="93"/>
        <v>46119</v>
      </c>
      <c r="S192" s="13" t="s">
        <v>61</v>
      </c>
      <c r="T192" s="35">
        <v>46141</v>
      </c>
      <c r="U192" s="37">
        <v>46139</v>
      </c>
      <c r="V192" s="37">
        <f t="shared" si="99"/>
        <v>46162</v>
      </c>
      <c r="W192" s="59">
        <f t="shared" si="66"/>
        <v>43</v>
      </c>
      <c r="X192" s="59">
        <f t="shared" si="67"/>
        <v>20</v>
      </c>
      <c r="Y192" s="59">
        <f t="shared" si="68"/>
        <v>23</v>
      </c>
      <c r="Z192" s="39"/>
      <c r="AA192" s="4" t="s">
        <v>442</v>
      </c>
      <c r="AB192" s="57">
        <v>46141</v>
      </c>
      <c r="AC192" s="13">
        <v>16345</v>
      </c>
      <c r="AD192" s="118">
        <v>7558</v>
      </c>
      <c r="AE192" s="13" t="s">
        <v>63</v>
      </c>
      <c r="AF192" s="119">
        <v>46141</v>
      </c>
      <c r="AG192" s="115" t="str">
        <f t="shared" si="92"/>
        <v>CIF</v>
      </c>
      <c r="AH192" s="13" t="s">
        <v>151</v>
      </c>
      <c r="AI192" s="36" t="e">
        <f>#REF!</f>
        <v>#REF!</v>
      </c>
      <c r="AJ192" s="36">
        <v>0</v>
      </c>
      <c r="AK192" s="142">
        <f t="shared" si="94"/>
        <v>0</v>
      </c>
      <c r="AL192" s="47"/>
      <c r="AM192" s="153">
        <v>46147</v>
      </c>
      <c r="AN192" s="63">
        <f t="shared" si="84"/>
        <v>6</v>
      </c>
      <c r="AO192" s="34" t="s">
        <v>65</v>
      </c>
      <c r="AP192" s="64">
        <f t="shared" si="88"/>
        <v>46162</v>
      </c>
      <c r="AQ192" s="64">
        <v>46147</v>
      </c>
      <c r="AR192" s="65">
        <f t="shared" si="71"/>
        <v>43</v>
      </c>
      <c r="AS192" s="65">
        <f t="shared" si="72"/>
        <v>28</v>
      </c>
      <c r="AT192" s="157">
        <f t="shared" si="73"/>
        <v>15</v>
      </c>
      <c r="AU192" s="13"/>
      <c r="AV192" s="13" t="s">
        <v>59</v>
      </c>
      <c r="AW192" s="109">
        <f t="shared" si="95"/>
        <v>16345</v>
      </c>
      <c r="AX192" s="66">
        <f t="shared" si="96"/>
        <v>0</v>
      </c>
      <c r="AY192" s="66"/>
      <c r="AZ192" s="66">
        <f t="shared" si="97"/>
        <v>0</v>
      </c>
      <c r="BA192" s="67">
        <f t="shared" si="98"/>
        <v>0</v>
      </c>
    </row>
    <row r="193" spans="1:53" ht="21.6" customHeight="1" x14ac:dyDescent="0.3">
      <c r="A193" s="2" t="s">
        <v>307</v>
      </c>
      <c r="B193" s="3" t="s">
        <v>96</v>
      </c>
      <c r="C193" s="3" t="s">
        <v>78</v>
      </c>
      <c r="D193" s="3">
        <v>4600016155</v>
      </c>
      <c r="E193" s="3">
        <v>4501933106</v>
      </c>
      <c r="F193" s="3"/>
      <c r="G193" s="144">
        <v>485</v>
      </c>
      <c r="H193" s="394">
        <v>46120</v>
      </c>
      <c r="I193" s="50">
        <v>46174</v>
      </c>
      <c r="J193" s="15">
        <f t="shared" si="64"/>
        <v>54</v>
      </c>
      <c r="K193" s="3" t="s">
        <v>70</v>
      </c>
      <c r="L193" s="3" t="s">
        <v>56</v>
      </c>
      <c r="M193" s="3" t="s">
        <v>159</v>
      </c>
      <c r="N193" s="3" t="s">
        <v>521</v>
      </c>
      <c r="O193" s="3" t="s">
        <v>59</v>
      </c>
      <c r="P193" s="8">
        <v>33952.99</v>
      </c>
      <c r="Q193" s="44" t="s">
        <v>100</v>
      </c>
      <c r="R193" s="57">
        <f t="shared" si="93"/>
        <v>46120</v>
      </c>
      <c r="S193" s="13" t="s">
        <v>61</v>
      </c>
      <c r="T193" s="35">
        <v>46142</v>
      </c>
      <c r="U193" s="37">
        <v>46140</v>
      </c>
      <c r="V193" s="37">
        <f t="shared" si="99"/>
        <v>46174</v>
      </c>
      <c r="W193" s="59">
        <f t="shared" si="66"/>
        <v>54</v>
      </c>
      <c r="X193" s="59">
        <f t="shared" si="67"/>
        <v>20</v>
      </c>
      <c r="Y193" s="59">
        <f t="shared" si="68"/>
        <v>34</v>
      </c>
      <c r="Z193" s="39"/>
      <c r="AA193" s="4" t="s">
        <v>442</v>
      </c>
      <c r="AB193" s="35">
        <v>46141</v>
      </c>
      <c r="AC193" s="13">
        <v>33952.99</v>
      </c>
      <c r="AD193" s="13">
        <v>7560</v>
      </c>
      <c r="AE193" s="13" t="s">
        <v>63</v>
      </c>
      <c r="AF193" s="35">
        <v>46146</v>
      </c>
      <c r="AG193" s="3" t="str">
        <f t="shared" si="92"/>
        <v>CIF</v>
      </c>
      <c r="AH193" s="4" t="s">
        <v>64</v>
      </c>
      <c r="AI193" s="36" t="e">
        <f>#REF!</f>
        <v>#REF!</v>
      </c>
      <c r="AJ193" s="36">
        <v>0</v>
      </c>
      <c r="AK193" s="142">
        <f t="shared" si="94"/>
        <v>0</v>
      </c>
      <c r="AL193" s="47">
        <v>46146</v>
      </c>
      <c r="AM193" s="153">
        <v>46146</v>
      </c>
      <c r="AN193" s="63">
        <f t="shared" si="84"/>
        <v>0</v>
      </c>
      <c r="AO193" s="34" t="s">
        <v>65</v>
      </c>
      <c r="AP193" s="64">
        <f t="shared" si="88"/>
        <v>46174</v>
      </c>
      <c r="AQ193" s="64">
        <f t="shared" ref="AQ193:AQ218" si="100">AM193</f>
        <v>46146</v>
      </c>
      <c r="AR193" s="65">
        <f t="shared" si="71"/>
        <v>54</v>
      </c>
      <c r="AS193" s="65">
        <f t="shared" si="72"/>
        <v>26</v>
      </c>
      <c r="AT193" s="157">
        <f t="shared" si="73"/>
        <v>28</v>
      </c>
      <c r="AU193" s="13"/>
      <c r="AV193" s="13" t="s">
        <v>59</v>
      </c>
      <c r="AW193" s="109">
        <f t="shared" si="95"/>
        <v>33952.99</v>
      </c>
      <c r="AX193" s="66">
        <f t="shared" si="96"/>
        <v>0</v>
      </c>
      <c r="AY193" s="66"/>
      <c r="AZ193" s="66">
        <f t="shared" si="97"/>
        <v>0</v>
      </c>
      <c r="BA193" s="67">
        <f t="shared" si="98"/>
        <v>0</v>
      </c>
    </row>
    <row r="194" spans="1:53" ht="21.6" customHeight="1" x14ac:dyDescent="0.3">
      <c r="A194" s="2" t="s">
        <v>439</v>
      </c>
      <c r="B194" s="3" t="s">
        <v>77</v>
      </c>
      <c r="C194" s="3" t="s">
        <v>78</v>
      </c>
      <c r="D194" s="3" t="s">
        <v>53</v>
      </c>
      <c r="E194" s="3" t="s">
        <v>522</v>
      </c>
      <c r="F194" s="3" t="s">
        <v>523</v>
      </c>
      <c r="G194" s="144">
        <v>487</v>
      </c>
      <c r="H194" s="394">
        <v>46120</v>
      </c>
      <c r="I194" s="50">
        <v>46129</v>
      </c>
      <c r="J194" s="15">
        <f t="shared" ref="J194:J235" si="101">I194-H194</f>
        <v>9</v>
      </c>
      <c r="K194" s="3" t="s">
        <v>55</v>
      </c>
      <c r="L194" s="3" t="s">
        <v>56</v>
      </c>
      <c r="M194" s="3" t="s">
        <v>81</v>
      </c>
      <c r="N194" s="3" t="s">
        <v>524</v>
      </c>
      <c r="O194" s="3" t="s">
        <v>59</v>
      </c>
      <c r="P194" s="8">
        <v>3242.8</v>
      </c>
      <c r="Q194" s="44" t="s">
        <v>100</v>
      </c>
      <c r="R194" s="57">
        <f t="shared" si="93"/>
        <v>46120</v>
      </c>
      <c r="S194" s="13" t="s">
        <v>61</v>
      </c>
      <c r="T194" s="35">
        <v>46129</v>
      </c>
      <c r="U194" s="37">
        <v>46127</v>
      </c>
      <c r="V194" s="37">
        <f t="shared" si="99"/>
        <v>46129</v>
      </c>
      <c r="W194" s="59">
        <f t="shared" ref="W194:W257" si="102">V194-R194</f>
        <v>9</v>
      </c>
      <c r="X194" s="59">
        <f t="shared" ref="X194:X257" si="103">U194-R194</f>
        <v>7</v>
      </c>
      <c r="Y194" s="59">
        <f t="shared" ref="Y194:Y257" si="104">W194-X194</f>
        <v>2</v>
      </c>
      <c r="Z194" s="39"/>
      <c r="AA194" s="4" t="s">
        <v>433</v>
      </c>
      <c r="AB194" s="35">
        <v>46134</v>
      </c>
      <c r="AC194" s="32">
        <v>3242.8</v>
      </c>
      <c r="AD194" s="32">
        <v>7533</v>
      </c>
      <c r="AE194" s="32" t="s">
        <v>63</v>
      </c>
      <c r="AF194" s="57">
        <v>46142</v>
      </c>
      <c r="AG194" s="15" t="str">
        <f t="shared" si="92"/>
        <v>FOB</v>
      </c>
      <c r="AH194" s="13" t="s">
        <v>525</v>
      </c>
      <c r="AI194" s="36" t="e">
        <f>#REF!</f>
        <v>#REF!</v>
      </c>
      <c r="AJ194" s="36">
        <v>0</v>
      </c>
      <c r="AK194" s="142">
        <f t="shared" si="94"/>
        <v>0</v>
      </c>
      <c r="AL194" s="47">
        <v>46142</v>
      </c>
      <c r="AM194" s="153">
        <v>46128</v>
      </c>
      <c r="AN194" s="63">
        <f t="shared" ref="AN194:AN197" si="105">AM194-AF194</f>
        <v>-14</v>
      </c>
      <c r="AO194" s="34" t="s">
        <v>65</v>
      </c>
      <c r="AP194" s="64">
        <f t="shared" si="88"/>
        <v>46129</v>
      </c>
      <c r="AQ194" s="64">
        <f t="shared" si="100"/>
        <v>46128</v>
      </c>
      <c r="AR194" s="65">
        <f t="shared" ref="AR194:AR257" si="106">AP194-H194</f>
        <v>9</v>
      </c>
      <c r="AS194" s="65">
        <f t="shared" ref="AS194:AS257" si="107">AM194-H194</f>
        <v>8</v>
      </c>
      <c r="AT194" s="157">
        <f t="shared" ref="AT194:AT257" si="108">AR194-AS194</f>
        <v>1</v>
      </c>
      <c r="AU194" s="13"/>
      <c r="AV194" s="13" t="s">
        <v>59</v>
      </c>
      <c r="AW194" s="109">
        <f t="shared" si="95"/>
        <v>3242.8</v>
      </c>
      <c r="AX194" s="66">
        <f t="shared" si="96"/>
        <v>0</v>
      </c>
      <c r="AY194" s="66"/>
      <c r="AZ194" s="66">
        <f t="shared" si="97"/>
        <v>0</v>
      </c>
      <c r="BA194" s="67">
        <f t="shared" si="98"/>
        <v>0</v>
      </c>
    </row>
    <row r="195" spans="1:53" ht="21.6" customHeight="1" x14ac:dyDescent="0.3">
      <c r="A195" s="2" t="s">
        <v>451</v>
      </c>
      <c r="B195" s="3" t="s">
        <v>171</v>
      </c>
      <c r="C195" s="3" t="s">
        <v>78</v>
      </c>
      <c r="D195" s="3" t="s">
        <v>53</v>
      </c>
      <c r="E195" s="3">
        <v>5807</v>
      </c>
      <c r="F195" s="3" t="s">
        <v>526</v>
      </c>
      <c r="G195" s="144">
        <v>491</v>
      </c>
      <c r="H195" s="394">
        <v>46120</v>
      </c>
      <c r="I195" s="50">
        <v>46142</v>
      </c>
      <c r="J195" s="15">
        <f t="shared" si="101"/>
        <v>22</v>
      </c>
      <c r="K195" s="3" t="s">
        <v>55</v>
      </c>
      <c r="L195" s="3" t="s">
        <v>56</v>
      </c>
      <c r="M195" s="3" t="s">
        <v>186</v>
      </c>
      <c r="N195" s="3" t="s">
        <v>527</v>
      </c>
      <c r="O195" s="3" t="s">
        <v>59</v>
      </c>
      <c r="P195" s="8">
        <v>41398.21</v>
      </c>
      <c r="Q195" s="44" t="s">
        <v>100</v>
      </c>
      <c r="R195" s="57">
        <f t="shared" si="93"/>
        <v>46120</v>
      </c>
      <c r="S195" s="13" t="s">
        <v>61</v>
      </c>
      <c r="T195" s="35">
        <v>46142</v>
      </c>
      <c r="U195" s="37">
        <v>46142</v>
      </c>
      <c r="V195" s="37">
        <f t="shared" si="99"/>
        <v>46142</v>
      </c>
      <c r="W195" s="59">
        <f t="shared" si="102"/>
        <v>22</v>
      </c>
      <c r="X195" s="59">
        <f t="shared" si="103"/>
        <v>22</v>
      </c>
      <c r="Y195" s="59">
        <f t="shared" si="104"/>
        <v>0</v>
      </c>
      <c r="Z195" s="39"/>
      <c r="AA195" s="4" t="s">
        <v>442</v>
      </c>
      <c r="AB195" s="35">
        <v>46142</v>
      </c>
      <c r="AC195" s="13">
        <v>41701.85</v>
      </c>
      <c r="AD195" s="13">
        <v>7568</v>
      </c>
      <c r="AE195" s="13" t="s">
        <v>63</v>
      </c>
      <c r="AF195" s="35">
        <v>46142</v>
      </c>
      <c r="AG195" s="3" t="str">
        <f t="shared" si="92"/>
        <v>FOB</v>
      </c>
      <c r="AH195" s="13" t="s">
        <v>528</v>
      </c>
      <c r="AI195" s="36" t="e">
        <f>#REF!</f>
        <v>#REF!</v>
      </c>
      <c r="AJ195" s="36">
        <v>0</v>
      </c>
      <c r="AK195" s="142">
        <f t="shared" si="94"/>
        <v>0</v>
      </c>
      <c r="AL195" s="47">
        <v>46141</v>
      </c>
      <c r="AM195" s="153">
        <v>46141</v>
      </c>
      <c r="AN195" s="63">
        <f t="shared" si="105"/>
        <v>-1</v>
      </c>
      <c r="AO195" s="34" t="s">
        <v>65</v>
      </c>
      <c r="AP195" s="64">
        <f t="shared" si="88"/>
        <v>46142</v>
      </c>
      <c r="AQ195" s="64">
        <f t="shared" si="100"/>
        <v>46141</v>
      </c>
      <c r="AR195" s="65">
        <f t="shared" si="106"/>
        <v>22</v>
      </c>
      <c r="AS195" s="65">
        <f t="shared" si="107"/>
        <v>21</v>
      </c>
      <c r="AT195" s="157">
        <f t="shared" si="108"/>
        <v>1</v>
      </c>
      <c r="AU195" s="13"/>
      <c r="AV195" s="13" t="s">
        <v>59</v>
      </c>
      <c r="AW195" s="109">
        <f t="shared" si="95"/>
        <v>41701.85</v>
      </c>
      <c r="AX195" s="66">
        <f t="shared" si="96"/>
        <v>0</v>
      </c>
      <c r="AY195" s="66"/>
      <c r="AZ195" s="66">
        <f t="shared" si="97"/>
        <v>0</v>
      </c>
      <c r="BA195" s="67">
        <f t="shared" si="98"/>
        <v>0</v>
      </c>
    </row>
    <row r="196" spans="1:53" ht="21.6" customHeight="1" x14ac:dyDescent="0.3">
      <c r="A196" s="2" t="s">
        <v>451</v>
      </c>
      <c r="B196" s="3" t="s">
        <v>171</v>
      </c>
      <c r="C196" s="3" t="s">
        <v>78</v>
      </c>
      <c r="D196" s="3" t="s">
        <v>53</v>
      </c>
      <c r="E196" s="3">
        <v>5822</v>
      </c>
      <c r="F196" s="3" t="s">
        <v>529</v>
      </c>
      <c r="G196" s="144">
        <v>492</v>
      </c>
      <c r="H196" s="394">
        <v>46120</v>
      </c>
      <c r="I196" s="50">
        <v>46150</v>
      </c>
      <c r="J196" s="15">
        <f t="shared" si="101"/>
        <v>30</v>
      </c>
      <c r="K196" s="3" t="s">
        <v>55</v>
      </c>
      <c r="L196" s="3" t="s">
        <v>56</v>
      </c>
      <c r="M196" s="3" t="s">
        <v>186</v>
      </c>
      <c r="N196" s="3" t="s">
        <v>527</v>
      </c>
      <c r="O196" s="3" t="s">
        <v>59</v>
      </c>
      <c r="P196" s="8">
        <v>99433.73</v>
      </c>
      <c r="Q196" s="44" t="s">
        <v>100</v>
      </c>
      <c r="R196" s="57">
        <f t="shared" si="93"/>
        <v>46120</v>
      </c>
      <c r="S196" s="13" t="s">
        <v>61</v>
      </c>
      <c r="T196" s="35">
        <v>46150</v>
      </c>
      <c r="U196" s="37">
        <v>46150</v>
      </c>
      <c r="V196" s="37">
        <f t="shared" si="99"/>
        <v>46150</v>
      </c>
      <c r="W196" s="59">
        <f t="shared" si="102"/>
        <v>30</v>
      </c>
      <c r="X196" s="59">
        <f t="shared" si="103"/>
        <v>30</v>
      </c>
      <c r="Y196" s="59">
        <f t="shared" si="104"/>
        <v>0</v>
      </c>
      <c r="Z196" s="39"/>
      <c r="AA196" s="4" t="s">
        <v>442</v>
      </c>
      <c r="AB196" s="35">
        <v>46142</v>
      </c>
      <c r="AC196" s="13">
        <v>99433.73</v>
      </c>
      <c r="AD196" s="13">
        <v>7575</v>
      </c>
      <c r="AE196" s="13" t="s">
        <v>63</v>
      </c>
      <c r="AF196" s="35">
        <v>46156</v>
      </c>
      <c r="AG196" s="3" t="str">
        <f t="shared" si="92"/>
        <v>FOB</v>
      </c>
      <c r="AH196" s="13" t="s">
        <v>528</v>
      </c>
      <c r="AI196" s="36" t="e">
        <f>#REF!</f>
        <v>#REF!</v>
      </c>
      <c r="AJ196" s="36">
        <v>0</v>
      </c>
      <c r="AK196" s="142">
        <f t="shared" si="94"/>
        <v>0</v>
      </c>
      <c r="AL196" s="47">
        <v>46150</v>
      </c>
      <c r="AM196" s="153">
        <v>46150</v>
      </c>
      <c r="AN196" s="63">
        <f t="shared" si="105"/>
        <v>-6</v>
      </c>
      <c r="AO196" s="34" t="s">
        <v>65</v>
      </c>
      <c r="AP196" s="64">
        <f t="shared" si="88"/>
        <v>46150</v>
      </c>
      <c r="AQ196" s="64">
        <f t="shared" si="100"/>
        <v>46150</v>
      </c>
      <c r="AR196" s="65">
        <f t="shared" si="106"/>
        <v>30</v>
      </c>
      <c r="AS196" s="65">
        <f t="shared" si="107"/>
        <v>30</v>
      </c>
      <c r="AT196" s="157">
        <f t="shared" si="108"/>
        <v>0</v>
      </c>
      <c r="AU196" s="13"/>
      <c r="AV196" s="13" t="s">
        <v>59</v>
      </c>
      <c r="AW196" s="109">
        <f t="shared" si="95"/>
        <v>99433.73</v>
      </c>
      <c r="AX196" s="66">
        <f t="shared" si="96"/>
        <v>0</v>
      </c>
      <c r="AY196" s="66"/>
      <c r="AZ196" s="66">
        <f t="shared" si="97"/>
        <v>0</v>
      </c>
      <c r="BA196" s="67">
        <f t="shared" si="98"/>
        <v>0</v>
      </c>
    </row>
    <row r="197" spans="1:53" ht="31.2" x14ac:dyDescent="0.3">
      <c r="A197" s="2" t="s">
        <v>451</v>
      </c>
      <c r="B197" s="3" t="s">
        <v>171</v>
      </c>
      <c r="C197" s="3" t="s">
        <v>78</v>
      </c>
      <c r="D197" s="3" t="s">
        <v>53</v>
      </c>
      <c r="E197" s="3">
        <v>5822</v>
      </c>
      <c r="F197" s="3" t="s">
        <v>529</v>
      </c>
      <c r="G197" s="144" t="s">
        <v>530</v>
      </c>
      <c r="H197" s="394">
        <v>46120</v>
      </c>
      <c r="I197" s="50">
        <v>46142</v>
      </c>
      <c r="J197" s="15">
        <f t="shared" si="101"/>
        <v>22</v>
      </c>
      <c r="K197" s="3" t="s">
        <v>55</v>
      </c>
      <c r="L197" s="3" t="s">
        <v>56</v>
      </c>
      <c r="M197" s="3" t="s">
        <v>186</v>
      </c>
      <c r="N197" s="3" t="s">
        <v>527</v>
      </c>
      <c r="O197" s="3" t="s">
        <v>59</v>
      </c>
      <c r="P197" s="8">
        <v>16003.01</v>
      </c>
      <c r="Q197" s="44" t="s">
        <v>100</v>
      </c>
      <c r="R197" s="57">
        <f t="shared" si="93"/>
        <v>46120</v>
      </c>
      <c r="S197" s="13" t="s">
        <v>61</v>
      </c>
      <c r="T197" s="35">
        <v>46142</v>
      </c>
      <c r="U197" s="37">
        <v>46142</v>
      </c>
      <c r="V197" s="37">
        <f t="shared" si="99"/>
        <v>46142</v>
      </c>
      <c r="W197" s="59">
        <f t="shared" si="102"/>
        <v>22</v>
      </c>
      <c r="X197" s="59">
        <f t="shared" si="103"/>
        <v>22</v>
      </c>
      <c r="Y197" s="59">
        <f t="shared" si="104"/>
        <v>0</v>
      </c>
      <c r="Z197" s="39"/>
      <c r="AA197" s="4" t="s">
        <v>442</v>
      </c>
      <c r="AB197" s="35">
        <v>46142</v>
      </c>
      <c r="AC197" s="13">
        <v>16003.01</v>
      </c>
      <c r="AD197" s="13">
        <v>7570</v>
      </c>
      <c r="AE197" s="13" t="s">
        <v>63</v>
      </c>
      <c r="AF197" s="35">
        <v>46142</v>
      </c>
      <c r="AG197" s="3" t="str">
        <f t="shared" si="92"/>
        <v>FOB</v>
      </c>
      <c r="AH197" s="13" t="s">
        <v>528</v>
      </c>
      <c r="AI197" s="36" t="e">
        <f>#REF!</f>
        <v>#REF!</v>
      </c>
      <c r="AJ197" s="36">
        <v>0</v>
      </c>
      <c r="AK197" s="142">
        <f t="shared" si="94"/>
        <v>0</v>
      </c>
      <c r="AL197" s="47">
        <v>46141</v>
      </c>
      <c r="AM197" s="153">
        <v>46141</v>
      </c>
      <c r="AN197" s="63">
        <f t="shared" si="105"/>
        <v>-1</v>
      </c>
      <c r="AO197" s="34" t="s">
        <v>65</v>
      </c>
      <c r="AP197" s="64">
        <f t="shared" si="88"/>
        <v>46142</v>
      </c>
      <c r="AQ197" s="64">
        <f t="shared" si="100"/>
        <v>46141</v>
      </c>
      <c r="AR197" s="65">
        <f t="shared" si="106"/>
        <v>22</v>
      </c>
      <c r="AS197" s="65">
        <f t="shared" si="107"/>
        <v>21</v>
      </c>
      <c r="AT197" s="157">
        <f t="shared" si="108"/>
        <v>1</v>
      </c>
      <c r="AU197" s="13"/>
      <c r="AV197" s="13" t="s">
        <v>59</v>
      </c>
      <c r="AW197" s="109">
        <f t="shared" si="95"/>
        <v>16003.01</v>
      </c>
      <c r="AX197" s="66">
        <f t="shared" si="96"/>
        <v>0</v>
      </c>
      <c r="AY197" s="66"/>
      <c r="AZ197" s="66">
        <f t="shared" si="97"/>
        <v>0</v>
      </c>
      <c r="BA197" s="67">
        <f t="shared" si="98"/>
        <v>0</v>
      </c>
    </row>
    <row r="198" spans="1:53" ht="21.6" customHeight="1" x14ac:dyDescent="0.3">
      <c r="A198" s="2" t="s">
        <v>390</v>
      </c>
      <c r="B198" s="15" t="s">
        <v>91</v>
      </c>
      <c r="C198" s="3"/>
      <c r="D198" s="3"/>
      <c r="E198" s="3"/>
      <c r="F198" s="3"/>
      <c r="G198" s="144">
        <v>493</v>
      </c>
      <c r="H198" s="394">
        <v>46121</v>
      </c>
      <c r="I198" s="50">
        <v>46132</v>
      </c>
      <c r="J198" s="15">
        <f t="shared" si="101"/>
        <v>11</v>
      </c>
      <c r="K198" s="3" t="s">
        <v>55</v>
      </c>
      <c r="L198" s="3" t="s">
        <v>56</v>
      </c>
      <c r="M198" s="15" t="s">
        <v>92</v>
      </c>
      <c r="N198" s="3" t="s">
        <v>212</v>
      </c>
      <c r="O198" s="3" t="s">
        <v>59</v>
      </c>
      <c r="P198" s="8">
        <v>13300.68</v>
      </c>
      <c r="Q198" s="44" t="s">
        <v>100</v>
      </c>
      <c r="R198" s="57">
        <f t="shared" si="93"/>
        <v>46121</v>
      </c>
      <c r="S198" s="13" t="s">
        <v>61</v>
      </c>
      <c r="T198" s="35">
        <v>46132</v>
      </c>
      <c r="U198" s="37">
        <v>46132</v>
      </c>
      <c r="V198" s="37">
        <f t="shared" si="99"/>
        <v>46132</v>
      </c>
      <c r="W198" s="59">
        <f t="shared" si="102"/>
        <v>11</v>
      </c>
      <c r="X198" s="59">
        <f t="shared" si="103"/>
        <v>11</v>
      </c>
      <c r="Y198" s="59">
        <f t="shared" si="104"/>
        <v>0</v>
      </c>
      <c r="Z198" s="39"/>
      <c r="AA198" s="4" t="s">
        <v>448</v>
      </c>
      <c r="AB198" s="35">
        <v>46132</v>
      </c>
      <c r="AC198" s="13">
        <v>13300.68</v>
      </c>
      <c r="AD198" s="13">
        <v>7531</v>
      </c>
      <c r="AE198" s="13" t="s">
        <v>63</v>
      </c>
      <c r="AF198" s="35">
        <v>46132</v>
      </c>
      <c r="AG198" s="3" t="str">
        <f t="shared" si="92"/>
        <v>FOB</v>
      </c>
      <c r="AH198" s="13" t="s">
        <v>210</v>
      </c>
      <c r="AI198" s="36"/>
      <c r="AJ198" s="36"/>
      <c r="AK198" s="142"/>
      <c r="AL198" s="47">
        <v>46132</v>
      </c>
      <c r="AM198" s="153">
        <v>46132</v>
      </c>
      <c r="AN198" s="63"/>
      <c r="AO198" s="34" t="s">
        <v>65</v>
      </c>
      <c r="AP198" s="64">
        <f t="shared" si="88"/>
        <v>46132</v>
      </c>
      <c r="AQ198" s="64">
        <f t="shared" si="100"/>
        <v>46132</v>
      </c>
      <c r="AR198" s="65">
        <f t="shared" si="106"/>
        <v>11</v>
      </c>
      <c r="AS198" s="65">
        <f t="shared" si="107"/>
        <v>11</v>
      </c>
      <c r="AT198" s="157">
        <f t="shared" si="108"/>
        <v>0</v>
      </c>
      <c r="AU198" s="13"/>
      <c r="AV198" s="13" t="s">
        <v>59</v>
      </c>
      <c r="AW198" s="109">
        <f t="shared" si="95"/>
        <v>13300.68</v>
      </c>
      <c r="AX198" s="66"/>
      <c r="AY198" s="66"/>
      <c r="AZ198" s="66"/>
      <c r="BA198" s="67"/>
    </row>
    <row r="199" spans="1:53" ht="21.6" customHeight="1" x14ac:dyDescent="0.3">
      <c r="A199" s="2" t="s">
        <v>95</v>
      </c>
      <c r="B199" s="3" t="s">
        <v>96</v>
      </c>
      <c r="C199" s="3" t="s">
        <v>78</v>
      </c>
      <c r="D199" s="3" t="s">
        <v>97</v>
      </c>
      <c r="E199" s="3">
        <v>4500012155</v>
      </c>
      <c r="F199" s="3" t="s">
        <v>53</v>
      </c>
      <c r="G199" s="144">
        <v>494</v>
      </c>
      <c r="H199" s="394">
        <v>46121</v>
      </c>
      <c r="I199" s="50">
        <v>46153</v>
      </c>
      <c r="J199" s="15">
        <f t="shared" si="101"/>
        <v>32</v>
      </c>
      <c r="K199" s="3" t="s">
        <v>70</v>
      </c>
      <c r="L199" s="3" t="s">
        <v>56</v>
      </c>
      <c r="M199" s="3" t="s">
        <v>98</v>
      </c>
      <c r="N199" s="3" t="s">
        <v>99</v>
      </c>
      <c r="O199" s="3" t="s">
        <v>59</v>
      </c>
      <c r="P199" s="8">
        <v>11260</v>
      </c>
      <c r="Q199" s="44" t="s">
        <v>100</v>
      </c>
      <c r="R199" s="57">
        <f t="shared" si="93"/>
        <v>46121</v>
      </c>
      <c r="S199" s="13" t="s">
        <v>61</v>
      </c>
      <c r="T199" s="35">
        <v>46136</v>
      </c>
      <c r="U199" s="37">
        <v>46134</v>
      </c>
      <c r="V199" s="37">
        <f t="shared" si="99"/>
        <v>46153</v>
      </c>
      <c r="W199" s="59">
        <f t="shared" si="102"/>
        <v>32</v>
      </c>
      <c r="X199" s="59">
        <f t="shared" si="103"/>
        <v>13</v>
      </c>
      <c r="Y199" s="59">
        <f t="shared" si="104"/>
        <v>19</v>
      </c>
      <c r="Z199" s="39"/>
      <c r="AA199" s="4" t="s">
        <v>442</v>
      </c>
      <c r="AB199" s="35">
        <v>46136</v>
      </c>
      <c r="AC199" s="13">
        <v>11260</v>
      </c>
      <c r="AD199" s="13">
        <v>7556</v>
      </c>
      <c r="AE199" s="13" t="s">
        <v>63</v>
      </c>
      <c r="AF199" s="35">
        <v>46146</v>
      </c>
      <c r="AG199" s="3" t="str">
        <f t="shared" si="92"/>
        <v>CIF</v>
      </c>
      <c r="AH199" s="13" t="s">
        <v>64</v>
      </c>
      <c r="AI199" s="36" t="e">
        <f>#REF!</f>
        <v>#REF!</v>
      </c>
      <c r="AJ199" s="36">
        <v>0</v>
      </c>
      <c r="AK199" s="142">
        <f t="shared" ref="AK199:AK205" si="109">AJ199/AC199</f>
        <v>0</v>
      </c>
      <c r="AL199" s="47">
        <v>46146</v>
      </c>
      <c r="AM199" s="153">
        <v>46146</v>
      </c>
      <c r="AN199" s="63">
        <f t="shared" ref="AN199:AN205" si="110">AM199-AF199</f>
        <v>0</v>
      </c>
      <c r="AO199" s="34" t="s">
        <v>65</v>
      </c>
      <c r="AP199" s="64">
        <f t="shared" si="88"/>
        <v>46153</v>
      </c>
      <c r="AQ199" s="64">
        <f t="shared" si="100"/>
        <v>46146</v>
      </c>
      <c r="AR199" s="65">
        <f t="shared" si="106"/>
        <v>32</v>
      </c>
      <c r="AS199" s="65">
        <f t="shared" si="107"/>
        <v>25</v>
      </c>
      <c r="AT199" s="157">
        <f t="shared" si="108"/>
        <v>7</v>
      </c>
      <c r="AU199" s="13"/>
      <c r="AV199" s="13" t="s">
        <v>59</v>
      </c>
      <c r="AW199" s="109">
        <f t="shared" si="95"/>
        <v>11260</v>
      </c>
      <c r="AX199" s="66">
        <f t="shared" ref="AX199:AX205" si="111">Z199</f>
        <v>0</v>
      </c>
      <c r="AY199" s="66"/>
      <c r="AZ199" s="66">
        <f t="shared" ref="AZ199:AZ205" si="112">AJ199</f>
        <v>0</v>
      </c>
      <c r="BA199" s="67">
        <f t="shared" ref="BA199:BA205" si="113">AX199+AZ199</f>
        <v>0</v>
      </c>
    </row>
    <row r="200" spans="1:53" ht="21.6" customHeight="1" x14ac:dyDescent="0.3">
      <c r="A200" s="2" t="s">
        <v>531</v>
      </c>
      <c r="B200" s="3" t="s">
        <v>51</v>
      </c>
      <c r="C200" s="3" t="s">
        <v>78</v>
      </c>
      <c r="D200" s="3" t="s">
        <v>532</v>
      </c>
      <c r="E200" s="3" t="s">
        <v>533</v>
      </c>
      <c r="F200" s="3" t="s">
        <v>534</v>
      </c>
      <c r="G200" s="144">
        <v>500</v>
      </c>
      <c r="H200" s="394">
        <v>46121</v>
      </c>
      <c r="I200" s="50">
        <v>46193</v>
      </c>
      <c r="J200" s="15">
        <f t="shared" si="101"/>
        <v>72</v>
      </c>
      <c r="K200" s="3" t="s">
        <v>70</v>
      </c>
      <c r="L200" s="3" t="s">
        <v>56</v>
      </c>
      <c r="M200" s="3" t="s">
        <v>57</v>
      </c>
      <c r="N200" s="3" t="s">
        <v>87</v>
      </c>
      <c r="O200" s="3" t="s">
        <v>59</v>
      </c>
      <c r="P200" s="8">
        <v>285566.25</v>
      </c>
      <c r="Q200" s="44" t="s">
        <v>100</v>
      </c>
      <c r="R200" s="57">
        <f t="shared" si="93"/>
        <v>46121</v>
      </c>
      <c r="S200" s="13" t="s">
        <v>61</v>
      </c>
      <c r="T200" s="35">
        <v>46170</v>
      </c>
      <c r="U200" s="37">
        <v>46176</v>
      </c>
      <c r="V200" s="37">
        <f t="shared" si="99"/>
        <v>46193</v>
      </c>
      <c r="W200" s="59">
        <f t="shared" si="102"/>
        <v>72</v>
      </c>
      <c r="X200" s="59">
        <f t="shared" si="103"/>
        <v>55</v>
      </c>
      <c r="Y200" s="59">
        <f t="shared" si="104"/>
        <v>17</v>
      </c>
      <c r="Z200" s="39"/>
      <c r="AA200" s="4" t="s">
        <v>535</v>
      </c>
      <c r="AB200" s="35">
        <v>46171</v>
      </c>
      <c r="AC200" s="13">
        <v>285566.25</v>
      </c>
      <c r="AD200" s="13">
        <v>7656</v>
      </c>
      <c r="AE200" s="13" t="s">
        <v>63</v>
      </c>
      <c r="AF200" s="35">
        <v>46182</v>
      </c>
      <c r="AG200" s="3" t="str">
        <f t="shared" si="92"/>
        <v>CIF</v>
      </c>
      <c r="AH200" s="28" t="s">
        <v>536</v>
      </c>
      <c r="AI200" s="36" t="e">
        <f>#REF!</f>
        <v>#REF!</v>
      </c>
      <c r="AJ200" s="36">
        <v>0</v>
      </c>
      <c r="AK200" s="142">
        <f t="shared" si="109"/>
        <v>0</v>
      </c>
      <c r="AL200" s="47"/>
      <c r="AM200" s="153">
        <v>46182</v>
      </c>
      <c r="AN200" s="63">
        <f t="shared" si="110"/>
        <v>0</v>
      </c>
      <c r="AO200" s="34" t="s">
        <v>65</v>
      </c>
      <c r="AP200" s="64">
        <f t="shared" ref="AP200:AP231" si="114">I200</f>
        <v>46193</v>
      </c>
      <c r="AQ200" s="64">
        <f t="shared" si="100"/>
        <v>46182</v>
      </c>
      <c r="AR200" s="65">
        <f t="shared" si="106"/>
        <v>72</v>
      </c>
      <c r="AS200" s="65">
        <f t="shared" si="107"/>
        <v>61</v>
      </c>
      <c r="AT200" s="157">
        <f t="shared" si="108"/>
        <v>11</v>
      </c>
      <c r="AU200" s="13"/>
      <c r="AV200" s="13"/>
      <c r="AW200" s="109">
        <f t="shared" si="95"/>
        <v>285566.25</v>
      </c>
      <c r="AX200" s="66">
        <f t="shared" si="111"/>
        <v>0</v>
      </c>
      <c r="AY200" s="66"/>
      <c r="AZ200" s="66">
        <f t="shared" si="112"/>
        <v>0</v>
      </c>
      <c r="BA200" s="67">
        <f t="shared" si="113"/>
        <v>0</v>
      </c>
    </row>
    <row r="201" spans="1:53" ht="21.6" customHeight="1" x14ac:dyDescent="0.3">
      <c r="A201" s="2" t="s">
        <v>537</v>
      </c>
      <c r="B201" s="3" t="s">
        <v>67</v>
      </c>
      <c r="C201" s="3" t="s">
        <v>78</v>
      </c>
      <c r="D201" s="3" t="s">
        <v>53</v>
      </c>
      <c r="E201" s="3" t="s">
        <v>53</v>
      </c>
      <c r="F201" s="3" t="s">
        <v>53</v>
      </c>
      <c r="G201" s="144">
        <v>501</v>
      </c>
      <c r="H201" s="394">
        <v>46122</v>
      </c>
      <c r="I201" s="50">
        <v>46142</v>
      </c>
      <c r="J201" s="15">
        <f t="shared" si="101"/>
        <v>20</v>
      </c>
      <c r="K201" s="3" t="s">
        <v>55</v>
      </c>
      <c r="L201" s="3" t="s">
        <v>139</v>
      </c>
      <c r="M201" s="3" t="s">
        <v>72</v>
      </c>
      <c r="N201" s="3" t="s">
        <v>53</v>
      </c>
      <c r="O201" s="3" t="s">
        <v>59</v>
      </c>
      <c r="P201" s="8">
        <v>29716.612000000001</v>
      </c>
      <c r="Q201" s="44" t="s">
        <v>100</v>
      </c>
      <c r="R201" s="57">
        <f t="shared" si="93"/>
        <v>46122</v>
      </c>
      <c r="S201" s="13" t="s">
        <v>61</v>
      </c>
      <c r="T201" s="35">
        <v>46142</v>
      </c>
      <c r="U201" s="37">
        <v>46142</v>
      </c>
      <c r="V201" s="37">
        <f t="shared" si="99"/>
        <v>46142</v>
      </c>
      <c r="W201" s="59">
        <f t="shared" si="102"/>
        <v>20</v>
      </c>
      <c r="X201" s="59">
        <f t="shared" si="103"/>
        <v>20</v>
      </c>
      <c r="Y201" s="59">
        <f t="shared" si="104"/>
        <v>0</v>
      </c>
      <c r="Z201" s="39"/>
      <c r="AA201" s="4" t="s">
        <v>442</v>
      </c>
      <c r="AB201" s="35">
        <v>46142</v>
      </c>
      <c r="AC201" s="13">
        <v>29227.72</v>
      </c>
      <c r="AD201" s="13">
        <v>7569</v>
      </c>
      <c r="AE201" s="13" t="s">
        <v>63</v>
      </c>
      <c r="AF201" s="35">
        <v>46154</v>
      </c>
      <c r="AG201" s="3" t="str">
        <f t="shared" si="92"/>
        <v>FOB</v>
      </c>
      <c r="AH201" s="13" t="s">
        <v>538</v>
      </c>
      <c r="AI201" s="36" t="e">
        <f>#REF!</f>
        <v>#REF!</v>
      </c>
      <c r="AJ201" s="36">
        <v>0</v>
      </c>
      <c r="AK201" s="142">
        <f t="shared" si="109"/>
        <v>0</v>
      </c>
      <c r="AL201" s="47">
        <v>46142</v>
      </c>
      <c r="AM201" s="153">
        <v>46142</v>
      </c>
      <c r="AN201" s="63">
        <f t="shared" si="110"/>
        <v>-12</v>
      </c>
      <c r="AO201" s="34" t="s">
        <v>65</v>
      </c>
      <c r="AP201" s="64">
        <f t="shared" si="114"/>
        <v>46142</v>
      </c>
      <c r="AQ201" s="64">
        <f t="shared" si="100"/>
        <v>46142</v>
      </c>
      <c r="AR201" s="65">
        <f t="shared" si="106"/>
        <v>20</v>
      </c>
      <c r="AS201" s="65">
        <f t="shared" si="107"/>
        <v>20</v>
      </c>
      <c r="AT201" s="157">
        <f t="shared" si="108"/>
        <v>0</v>
      </c>
      <c r="AU201" s="13"/>
      <c r="AV201" s="13" t="s">
        <v>59</v>
      </c>
      <c r="AW201" s="109">
        <f t="shared" si="95"/>
        <v>29227.72</v>
      </c>
      <c r="AX201" s="66">
        <f t="shared" si="111"/>
        <v>0</v>
      </c>
      <c r="AY201" s="66"/>
      <c r="AZ201" s="66">
        <f t="shared" si="112"/>
        <v>0</v>
      </c>
      <c r="BA201" s="67">
        <f t="shared" si="113"/>
        <v>0</v>
      </c>
    </row>
    <row r="202" spans="1:53" ht="21.6" customHeight="1" x14ac:dyDescent="0.3">
      <c r="A202" s="7" t="s">
        <v>307</v>
      </c>
      <c r="B202" s="3" t="s">
        <v>91</v>
      </c>
      <c r="C202" s="3" t="s">
        <v>78</v>
      </c>
      <c r="D202" s="3">
        <v>4600016155</v>
      </c>
      <c r="E202" s="3">
        <v>4501934464</v>
      </c>
      <c r="F202" s="3" t="s">
        <v>539</v>
      </c>
      <c r="G202" s="144">
        <v>502</v>
      </c>
      <c r="H202" s="394">
        <v>46122</v>
      </c>
      <c r="I202" s="50">
        <v>46182</v>
      </c>
      <c r="J202" s="15">
        <f t="shared" si="101"/>
        <v>60</v>
      </c>
      <c r="K202" s="3" t="s">
        <v>70</v>
      </c>
      <c r="L202" s="3" t="s">
        <v>56</v>
      </c>
      <c r="M202" s="3" t="s">
        <v>92</v>
      </c>
      <c r="N202" s="3" t="s">
        <v>363</v>
      </c>
      <c r="O202" s="3" t="s">
        <v>59</v>
      </c>
      <c r="P202" s="8">
        <v>10195.49</v>
      </c>
      <c r="Q202" s="44" t="s">
        <v>100</v>
      </c>
      <c r="R202" s="57">
        <f t="shared" si="93"/>
        <v>46122</v>
      </c>
      <c r="S202" s="13" t="s">
        <v>61</v>
      </c>
      <c r="T202" s="35">
        <v>46164</v>
      </c>
      <c r="U202" s="37">
        <v>46169</v>
      </c>
      <c r="V202" s="37">
        <f t="shared" si="99"/>
        <v>46182</v>
      </c>
      <c r="W202" s="59">
        <f t="shared" si="102"/>
        <v>60</v>
      </c>
      <c r="X202" s="59">
        <f t="shared" si="103"/>
        <v>47</v>
      </c>
      <c r="Y202" s="59">
        <f t="shared" si="104"/>
        <v>13</v>
      </c>
      <c r="Z202" s="39"/>
      <c r="AA202" s="4" t="s">
        <v>540</v>
      </c>
      <c r="AB202" s="35">
        <v>46170</v>
      </c>
      <c r="AC202" s="13">
        <v>10195.49</v>
      </c>
      <c r="AD202" s="13">
        <v>7640</v>
      </c>
      <c r="AE202" s="13" t="s">
        <v>63</v>
      </c>
      <c r="AF202" s="35">
        <v>46174</v>
      </c>
      <c r="AG202" s="3" t="str">
        <f t="shared" si="92"/>
        <v>CIF</v>
      </c>
      <c r="AH202" s="339" t="s">
        <v>245</v>
      </c>
      <c r="AI202" s="36" t="e">
        <f>#REF!</f>
        <v>#REF!</v>
      </c>
      <c r="AJ202" s="36">
        <v>0</v>
      </c>
      <c r="AK202" s="142">
        <f t="shared" si="109"/>
        <v>0</v>
      </c>
      <c r="AL202" s="47"/>
      <c r="AM202" s="153">
        <v>46175</v>
      </c>
      <c r="AN202" s="63">
        <f t="shared" si="110"/>
        <v>1</v>
      </c>
      <c r="AO202" s="34" t="s">
        <v>65</v>
      </c>
      <c r="AP202" s="64">
        <f t="shared" si="114"/>
        <v>46182</v>
      </c>
      <c r="AQ202" s="64">
        <f t="shared" si="100"/>
        <v>46175</v>
      </c>
      <c r="AR202" s="65">
        <f t="shared" si="106"/>
        <v>60</v>
      </c>
      <c r="AS202" s="65">
        <f t="shared" si="107"/>
        <v>53</v>
      </c>
      <c r="AT202" s="157">
        <f t="shared" si="108"/>
        <v>7</v>
      </c>
      <c r="AU202" s="13"/>
      <c r="AV202" s="13"/>
      <c r="AW202" s="109">
        <f t="shared" si="95"/>
        <v>10195.49</v>
      </c>
      <c r="AX202" s="66">
        <f t="shared" si="111"/>
        <v>0</v>
      </c>
      <c r="AY202" s="66"/>
      <c r="AZ202" s="66">
        <f t="shared" si="112"/>
        <v>0</v>
      </c>
      <c r="BA202" s="67">
        <f t="shared" si="113"/>
        <v>0</v>
      </c>
    </row>
    <row r="203" spans="1:53" ht="21.6" customHeight="1" x14ac:dyDescent="0.3">
      <c r="A203" s="2" t="s">
        <v>537</v>
      </c>
      <c r="B203" s="3" t="s">
        <v>67</v>
      </c>
      <c r="C203" s="3" t="s">
        <v>78</v>
      </c>
      <c r="D203" s="3" t="s">
        <v>53</v>
      </c>
      <c r="E203" s="3" t="s">
        <v>53</v>
      </c>
      <c r="F203" s="3" t="s">
        <v>53</v>
      </c>
      <c r="G203" s="144">
        <v>506</v>
      </c>
      <c r="H203" s="394">
        <v>46122</v>
      </c>
      <c r="I203" s="50">
        <v>46150</v>
      </c>
      <c r="J203" s="15">
        <f t="shared" si="101"/>
        <v>28</v>
      </c>
      <c r="K203" s="3" t="s">
        <v>55</v>
      </c>
      <c r="L203" s="3" t="s">
        <v>139</v>
      </c>
      <c r="M203" s="3" t="s">
        <v>72</v>
      </c>
      <c r="N203" s="3" t="s">
        <v>53</v>
      </c>
      <c r="O203" s="3" t="s">
        <v>59</v>
      </c>
      <c r="P203" s="8">
        <v>144816.51</v>
      </c>
      <c r="Q203" s="44" t="s">
        <v>100</v>
      </c>
      <c r="R203" s="57">
        <f t="shared" si="93"/>
        <v>46122</v>
      </c>
      <c r="S203" s="13" t="s">
        <v>61</v>
      </c>
      <c r="T203" s="35">
        <v>46150</v>
      </c>
      <c r="U203" s="37">
        <v>46150</v>
      </c>
      <c r="V203" s="37">
        <f t="shared" si="99"/>
        <v>46150</v>
      </c>
      <c r="W203" s="59">
        <f t="shared" si="102"/>
        <v>28</v>
      </c>
      <c r="X203" s="59">
        <f t="shared" si="103"/>
        <v>28</v>
      </c>
      <c r="Y203" s="59">
        <f t="shared" si="104"/>
        <v>0</v>
      </c>
      <c r="Z203" s="39"/>
      <c r="AA203" s="4" t="s">
        <v>442</v>
      </c>
      <c r="AB203" s="35">
        <v>46142</v>
      </c>
      <c r="AC203" s="13">
        <v>138201.67000000001</v>
      </c>
      <c r="AD203" s="13">
        <v>7574</v>
      </c>
      <c r="AE203" s="13" t="s">
        <v>63</v>
      </c>
      <c r="AF203" s="35">
        <v>46162</v>
      </c>
      <c r="AG203" s="3" t="str">
        <f t="shared" si="92"/>
        <v>FOB</v>
      </c>
      <c r="AH203" s="13" t="s">
        <v>541</v>
      </c>
      <c r="AI203" s="36" t="e">
        <f>#REF!</f>
        <v>#REF!</v>
      </c>
      <c r="AJ203" s="36">
        <v>0</v>
      </c>
      <c r="AK203" s="142">
        <f t="shared" si="109"/>
        <v>0</v>
      </c>
      <c r="AL203" s="47">
        <v>46150</v>
      </c>
      <c r="AM203" s="153">
        <v>46150</v>
      </c>
      <c r="AN203" s="63">
        <f t="shared" si="110"/>
        <v>-12</v>
      </c>
      <c r="AO203" s="34" t="s">
        <v>65</v>
      </c>
      <c r="AP203" s="64">
        <f t="shared" si="114"/>
        <v>46150</v>
      </c>
      <c r="AQ203" s="64">
        <f t="shared" si="100"/>
        <v>46150</v>
      </c>
      <c r="AR203" s="65">
        <f t="shared" si="106"/>
        <v>28</v>
      </c>
      <c r="AS203" s="65">
        <f t="shared" si="107"/>
        <v>28</v>
      </c>
      <c r="AT203" s="157">
        <f t="shared" si="108"/>
        <v>0</v>
      </c>
      <c r="AU203" s="13"/>
      <c r="AV203" s="13" t="s">
        <v>59</v>
      </c>
      <c r="AW203" s="109">
        <f t="shared" si="95"/>
        <v>138201.67000000001</v>
      </c>
      <c r="AX203" s="66">
        <f t="shared" si="111"/>
        <v>0</v>
      </c>
      <c r="AY203" s="66"/>
      <c r="AZ203" s="66">
        <f t="shared" si="112"/>
        <v>0</v>
      </c>
      <c r="BA203" s="67">
        <f t="shared" si="113"/>
        <v>0</v>
      </c>
    </row>
    <row r="204" spans="1:53" ht="21.6" customHeight="1" x14ac:dyDescent="0.45">
      <c r="A204" s="2" t="s">
        <v>542</v>
      </c>
      <c r="B204" s="3" t="s">
        <v>96</v>
      </c>
      <c r="C204" s="3" t="s">
        <v>78</v>
      </c>
      <c r="D204" s="3"/>
      <c r="E204" s="3">
        <v>4501933100</v>
      </c>
      <c r="F204" s="3" t="s">
        <v>53</v>
      </c>
      <c r="G204" s="144">
        <v>507</v>
      </c>
      <c r="H204" s="394">
        <v>46125</v>
      </c>
      <c r="I204" s="50">
        <v>46174</v>
      </c>
      <c r="J204" s="15">
        <f t="shared" si="101"/>
        <v>49</v>
      </c>
      <c r="K204" s="3" t="s">
        <v>70</v>
      </c>
      <c r="L204" s="3" t="s">
        <v>56</v>
      </c>
      <c r="M204" s="3" t="s">
        <v>255</v>
      </c>
      <c r="N204" s="3" t="s">
        <v>311</v>
      </c>
      <c r="O204" s="3" t="s">
        <v>59</v>
      </c>
      <c r="P204" s="8">
        <v>655.9</v>
      </c>
      <c r="Q204" s="44" t="s">
        <v>100</v>
      </c>
      <c r="R204" s="57">
        <f t="shared" si="93"/>
        <v>46125</v>
      </c>
      <c r="S204" s="13" t="s">
        <v>61</v>
      </c>
      <c r="T204" s="35">
        <v>46157</v>
      </c>
      <c r="U204" s="37">
        <v>46161</v>
      </c>
      <c r="V204" s="37">
        <f t="shared" si="99"/>
        <v>46174</v>
      </c>
      <c r="W204" s="59">
        <f t="shared" si="102"/>
        <v>49</v>
      </c>
      <c r="X204" s="59">
        <f t="shared" si="103"/>
        <v>36</v>
      </c>
      <c r="Y204" s="59">
        <f t="shared" si="104"/>
        <v>13</v>
      </c>
      <c r="Z204" s="39"/>
      <c r="AA204" s="4" t="s">
        <v>543</v>
      </c>
      <c r="AB204" s="35">
        <v>46162</v>
      </c>
      <c r="AC204" s="13">
        <v>655.9</v>
      </c>
      <c r="AD204" s="13">
        <v>7614</v>
      </c>
      <c r="AE204" s="13" t="s">
        <v>63</v>
      </c>
      <c r="AF204" s="35">
        <v>46163</v>
      </c>
      <c r="AG204" s="3" t="str">
        <f t="shared" si="92"/>
        <v>CIF</v>
      </c>
      <c r="AH204" s="13" t="s">
        <v>102</v>
      </c>
      <c r="AI204" s="36" t="e">
        <f>#REF!</f>
        <v>#REF!</v>
      </c>
      <c r="AJ204" s="36">
        <v>0</v>
      </c>
      <c r="AK204" s="142">
        <f t="shared" si="109"/>
        <v>0</v>
      </c>
      <c r="AL204" s="47"/>
      <c r="AM204" s="155">
        <v>46170</v>
      </c>
      <c r="AN204" s="63">
        <f t="shared" si="110"/>
        <v>7</v>
      </c>
      <c r="AO204" s="34" t="s">
        <v>65</v>
      </c>
      <c r="AP204" s="64">
        <f t="shared" si="114"/>
        <v>46174</v>
      </c>
      <c r="AQ204" s="64">
        <f t="shared" si="100"/>
        <v>46170</v>
      </c>
      <c r="AR204" s="65">
        <f t="shared" si="106"/>
        <v>49</v>
      </c>
      <c r="AS204" s="65">
        <f t="shared" si="107"/>
        <v>45</v>
      </c>
      <c r="AT204" s="157">
        <f t="shared" si="108"/>
        <v>4</v>
      </c>
      <c r="AU204" s="13"/>
      <c r="AV204" s="13"/>
      <c r="AW204" s="109">
        <f t="shared" si="95"/>
        <v>655.9</v>
      </c>
      <c r="AX204" s="66">
        <f t="shared" si="111"/>
        <v>0</v>
      </c>
      <c r="AY204" s="66"/>
      <c r="AZ204" s="66">
        <f t="shared" si="112"/>
        <v>0</v>
      </c>
      <c r="BA204" s="67">
        <f t="shared" si="113"/>
        <v>0</v>
      </c>
    </row>
    <row r="205" spans="1:53" ht="21.6" customHeight="1" x14ac:dyDescent="0.3">
      <c r="A205" s="2" t="s">
        <v>537</v>
      </c>
      <c r="B205" s="3" t="s">
        <v>67</v>
      </c>
      <c r="C205" s="3" t="s">
        <v>78</v>
      </c>
      <c r="D205" s="3" t="s">
        <v>53</v>
      </c>
      <c r="E205" s="3" t="s">
        <v>544</v>
      </c>
      <c r="F205" s="3" t="s">
        <v>53</v>
      </c>
      <c r="G205" s="144">
        <v>509</v>
      </c>
      <c r="H205" s="394">
        <v>46125</v>
      </c>
      <c r="I205" s="330">
        <v>46162</v>
      </c>
      <c r="J205" s="15">
        <f t="shared" si="101"/>
        <v>37</v>
      </c>
      <c r="K205" s="3" t="s">
        <v>55</v>
      </c>
      <c r="L205" s="3" t="s">
        <v>139</v>
      </c>
      <c r="M205" s="3" t="s">
        <v>72</v>
      </c>
      <c r="N205" s="3" t="s">
        <v>53</v>
      </c>
      <c r="O205" s="3" t="s">
        <v>59</v>
      </c>
      <c r="P205" s="8">
        <v>65608.800000000003</v>
      </c>
      <c r="Q205" s="44" t="s">
        <v>100</v>
      </c>
      <c r="R205" s="57">
        <f t="shared" si="93"/>
        <v>46125</v>
      </c>
      <c r="S205" s="13" t="s">
        <v>61</v>
      </c>
      <c r="T205" s="35">
        <v>46171</v>
      </c>
      <c r="U205" s="37">
        <v>46182</v>
      </c>
      <c r="V205" s="37">
        <f t="shared" si="99"/>
        <v>46162</v>
      </c>
      <c r="W205" s="59">
        <f t="shared" si="102"/>
        <v>37</v>
      </c>
      <c r="X205" s="59">
        <f t="shared" si="103"/>
        <v>57</v>
      </c>
      <c r="Y205" s="59">
        <f t="shared" si="104"/>
        <v>-20</v>
      </c>
      <c r="Z205" s="39"/>
      <c r="AA205" s="4" t="s">
        <v>535</v>
      </c>
      <c r="AB205" s="35">
        <v>46171</v>
      </c>
      <c r="AC205" s="352">
        <v>70571.960000000006</v>
      </c>
      <c r="AD205" s="13">
        <v>7652</v>
      </c>
      <c r="AE205" s="13" t="s">
        <v>63</v>
      </c>
      <c r="AF205" s="35">
        <v>46182</v>
      </c>
      <c r="AG205" s="3" t="str">
        <f t="shared" si="92"/>
        <v>FOB</v>
      </c>
      <c r="AH205" s="13" t="s">
        <v>545</v>
      </c>
      <c r="AI205" s="36" t="e">
        <f>#REF!</f>
        <v>#REF!</v>
      </c>
      <c r="AJ205" s="36">
        <v>0</v>
      </c>
      <c r="AK205" s="142">
        <f t="shared" si="109"/>
        <v>0</v>
      </c>
      <c r="AL205" s="47"/>
      <c r="AM205" s="153">
        <v>46182</v>
      </c>
      <c r="AN205" s="63">
        <f t="shared" si="110"/>
        <v>0</v>
      </c>
      <c r="AO205" s="34" t="s">
        <v>103</v>
      </c>
      <c r="AP205" s="64">
        <f t="shared" si="114"/>
        <v>46162</v>
      </c>
      <c r="AQ205" s="64">
        <f t="shared" si="100"/>
        <v>46182</v>
      </c>
      <c r="AR205" s="65">
        <f t="shared" si="106"/>
        <v>37</v>
      </c>
      <c r="AS205" s="65">
        <f t="shared" si="107"/>
        <v>57</v>
      </c>
      <c r="AT205" s="157">
        <f t="shared" si="108"/>
        <v>-20</v>
      </c>
      <c r="AU205" s="13" t="s">
        <v>475</v>
      </c>
      <c r="AV205" s="13" t="s">
        <v>105</v>
      </c>
      <c r="AW205" s="109">
        <f t="shared" si="95"/>
        <v>70571.960000000006</v>
      </c>
      <c r="AX205" s="66">
        <f t="shared" si="111"/>
        <v>0</v>
      </c>
      <c r="AY205" s="66"/>
      <c r="AZ205" s="66">
        <f t="shared" si="112"/>
        <v>0</v>
      </c>
      <c r="BA205" s="67">
        <f t="shared" si="113"/>
        <v>0</v>
      </c>
    </row>
    <row r="206" spans="1:53" ht="21.6" customHeight="1" x14ac:dyDescent="0.45">
      <c r="A206" s="2" t="s">
        <v>546</v>
      </c>
      <c r="B206" s="3" t="s">
        <v>171</v>
      </c>
      <c r="C206" s="3" t="s">
        <v>78</v>
      </c>
      <c r="D206" s="3"/>
      <c r="E206" s="3">
        <v>4501934549</v>
      </c>
      <c r="F206" s="3"/>
      <c r="G206" s="144">
        <v>510</v>
      </c>
      <c r="H206" s="394">
        <v>46125</v>
      </c>
      <c r="I206" s="50">
        <v>46184</v>
      </c>
      <c r="J206" s="15">
        <f t="shared" si="101"/>
        <v>59</v>
      </c>
      <c r="K206" s="3" t="s">
        <v>70</v>
      </c>
      <c r="L206" s="3" t="s">
        <v>56</v>
      </c>
      <c r="M206" s="3" t="s">
        <v>186</v>
      </c>
      <c r="N206" s="3" t="s">
        <v>286</v>
      </c>
      <c r="O206" s="3" t="s">
        <v>59</v>
      </c>
      <c r="P206" s="8">
        <v>772.68</v>
      </c>
      <c r="Q206" s="44" t="s">
        <v>100</v>
      </c>
      <c r="R206" s="57">
        <f t="shared" si="93"/>
        <v>46125</v>
      </c>
      <c r="S206" s="13" t="s">
        <v>61</v>
      </c>
      <c r="T206" s="35">
        <v>46141</v>
      </c>
      <c r="U206" s="37">
        <v>46139</v>
      </c>
      <c r="V206" s="37">
        <f t="shared" si="99"/>
        <v>46184</v>
      </c>
      <c r="W206" s="59">
        <f t="shared" si="102"/>
        <v>59</v>
      </c>
      <c r="X206" s="59">
        <f t="shared" si="103"/>
        <v>14</v>
      </c>
      <c r="Y206" s="59">
        <f t="shared" si="104"/>
        <v>45</v>
      </c>
      <c r="Z206" s="39"/>
      <c r="AA206" s="4" t="s">
        <v>442</v>
      </c>
      <c r="AB206" s="35">
        <v>46142</v>
      </c>
      <c r="AC206" s="13">
        <v>772.68</v>
      </c>
      <c r="AD206" s="13">
        <v>7564</v>
      </c>
      <c r="AE206" s="13" t="s">
        <v>63</v>
      </c>
      <c r="AF206" s="35">
        <v>46146</v>
      </c>
      <c r="AG206" s="3" t="s">
        <v>70</v>
      </c>
      <c r="AH206" s="13" t="s">
        <v>188</v>
      </c>
      <c r="AI206" s="36"/>
      <c r="AJ206" s="36"/>
      <c r="AK206" s="142"/>
      <c r="AL206" s="47">
        <v>46161</v>
      </c>
      <c r="AM206" s="155">
        <v>46154</v>
      </c>
      <c r="AN206" s="63"/>
      <c r="AO206" s="34" t="s">
        <v>65</v>
      </c>
      <c r="AP206" s="64">
        <f t="shared" si="114"/>
        <v>46184</v>
      </c>
      <c r="AQ206" s="64">
        <f t="shared" si="100"/>
        <v>46154</v>
      </c>
      <c r="AR206" s="65">
        <f t="shared" si="106"/>
        <v>59</v>
      </c>
      <c r="AS206" s="65">
        <f t="shared" si="107"/>
        <v>29</v>
      </c>
      <c r="AT206" s="157">
        <f t="shared" si="108"/>
        <v>30</v>
      </c>
      <c r="AU206" s="13"/>
      <c r="AV206" s="13" t="s">
        <v>59</v>
      </c>
      <c r="AW206" s="109"/>
      <c r="AX206" s="66"/>
      <c r="AY206" s="66"/>
      <c r="AZ206" s="66"/>
      <c r="BA206" s="67"/>
    </row>
    <row r="207" spans="1:53" ht="21.6" customHeight="1" x14ac:dyDescent="0.3">
      <c r="A207" s="2" t="s">
        <v>401</v>
      </c>
      <c r="B207" s="3" t="s">
        <v>91</v>
      </c>
      <c r="C207" s="3" t="s">
        <v>78</v>
      </c>
      <c r="D207" s="3" t="s">
        <v>53</v>
      </c>
      <c r="E207" s="3">
        <v>1200386777</v>
      </c>
      <c r="F207" s="3" t="s">
        <v>547</v>
      </c>
      <c r="G207" s="144">
        <v>511</v>
      </c>
      <c r="H207" s="394">
        <v>46125</v>
      </c>
      <c r="I207" s="50">
        <v>46155</v>
      </c>
      <c r="J207" s="15">
        <f t="shared" si="101"/>
        <v>30</v>
      </c>
      <c r="K207" s="3" t="s">
        <v>55</v>
      </c>
      <c r="L207" s="3" t="s">
        <v>56</v>
      </c>
      <c r="M207" s="3" t="s">
        <v>92</v>
      </c>
      <c r="N207" s="3" t="s">
        <v>252</v>
      </c>
      <c r="O207" s="3" t="s">
        <v>59</v>
      </c>
      <c r="P207" s="8">
        <v>3150</v>
      </c>
      <c r="Q207" s="44" t="s">
        <v>100</v>
      </c>
      <c r="R207" s="57">
        <f t="shared" si="93"/>
        <v>46125</v>
      </c>
      <c r="S207" s="13" t="s">
        <v>61</v>
      </c>
      <c r="T207" s="35">
        <v>46136</v>
      </c>
      <c r="U207" s="37">
        <v>46139</v>
      </c>
      <c r="V207" s="37">
        <f t="shared" si="99"/>
        <v>46155</v>
      </c>
      <c r="W207" s="59">
        <f t="shared" si="102"/>
        <v>30</v>
      </c>
      <c r="X207" s="59">
        <f t="shared" si="103"/>
        <v>14</v>
      </c>
      <c r="Y207" s="59">
        <f t="shared" si="104"/>
        <v>16</v>
      </c>
      <c r="Z207" s="39"/>
      <c r="AA207" s="4" t="s">
        <v>448</v>
      </c>
      <c r="AB207" s="35">
        <v>46136</v>
      </c>
      <c r="AC207" s="13">
        <v>3150</v>
      </c>
      <c r="AD207" s="13">
        <v>7550</v>
      </c>
      <c r="AE207" s="13" t="s">
        <v>63</v>
      </c>
      <c r="AF207" s="35">
        <v>46139</v>
      </c>
      <c r="AG207" s="3" t="str">
        <f>K207</f>
        <v>FOB</v>
      </c>
      <c r="AH207" s="242" t="s">
        <v>402</v>
      </c>
      <c r="AI207" s="36" t="e">
        <f>#REF!</f>
        <v>#REF!</v>
      </c>
      <c r="AJ207" s="36">
        <v>0</v>
      </c>
      <c r="AK207" s="142">
        <f>AJ207/AC207</f>
        <v>0</v>
      </c>
      <c r="AL207" s="47">
        <v>46140</v>
      </c>
      <c r="AM207" s="153">
        <v>46139</v>
      </c>
      <c r="AN207" s="63">
        <f t="shared" ref="AN207:AN231" si="115">AM207-AF207</f>
        <v>0</v>
      </c>
      <c r="AO207" s="34" t="s">
        <v>65</v>
      </c>
      <c r="AP207" s="64">
        <f t="shared" si="114"/>
        <v>46155</v>
      </c>
      <c r="AQ207" s="64">
        <f t="shared" si="100"/>
        <v>46139</v>
      </c>
      <c r="AR207" s="65">
        <f t="shared" si="106"/>
        <v>30</v>
      </c>
      <c r="AS207" s="65">
        <f t="shared" si="107"/>
        <v>14</v>
      </c>
      <c r="AT207" s="157">
        <f t="shared" si="108"/>
        <v>16</v>
      </c>
      <c r="AU207" s="13"/>
      <c r="AV207" s="13" t="s">
        <v>59</v>
      </c>
      <c r="AW207" s="109">
        <f t="shared" ref="AW207:AW238" si="116">AC207</f>
        <v>3150</v>
      </c>
      <c r="AX207" s="66">
        <f>Z207</f>
        <v>0</v>
      </c>
      <c r="AY207" s="66"/>
      <c r="AZ207" s="66">
        <f>AJ207</f>
        <v>0</v>
      </c>
      <c r="BA207" s="67">
        <f>AX207+AZ207</f>
        <v>0</v>
      </c>
    </row>
    <row r="208" spans="1:53" ht="21.6" customHeight="1" x14ac:dyDescent="0.3">
      <c r="A208" s="2" t="s">
        <v>548</v>
      </c>
      <c r="B208" s="3" t="s">
        <v>67</v>
      </c>
      <c r="C208" s="3" t="s">
        <v>78</v>
      </c>
      <c r="D208" s="3"/>
      <c r="E208" s="3" t="s">
        <v>549</v>
      </c>
      <c r="F208" s="3" t="s">
        <v>550</v>
      </c>
      <c r="G208" s="144">
        <v>512</v>
      </c>
      <c r="H208" s="394">
        <v>46126</v>
      </c>
      <c r="I208" s="330">
        <v>46167</v>
      </c>
      <c r="J208" s="15">
        <f t="shared" si="101"/>
        <v>41</v>
      </c>
      <c r="K208" s="3" t="s">
        <v>55</v>
      </c>
      <c r="L208" s="3" t="s">
        <v>551</v>
      </c>
      <c r="M208" s="3" t="s">
        <v>72</v>
      </c>
      <c r="N208" s="3" t="s">
        <v>53</v>
      </c>
      <c r="O208" s="3" t="s">
        <v>59</v>
      </c>
      <c r="P208" s="8">
        <v>210981.49</v>
      </c>
      <c r="Q208" s="44" t="s">
        <v>100</v>
      </c>
      <c r="R208" s="57">
        <f t="shared" si="93"/>
        <v>46126</v>
      </c>
      <c r="S208" s="13" t="s">
        <v>61</v>
      </c>
      <c r="T208" s="35">
        <v>46167</v>
      </c>
      <c r="U208" s="37">
        <v>46181</v>
      </c>
      <c r="V208" s="37">
        <f t="shared" si="99"/>
        <v>46167</v>
      </c>
      <c r="W208" s="59">
        <f t="shared" si="102"/>
        <v>41</v>
      </c>
      <c r="X208" s="59">
        <f t="shared" si="103"/>
        <v>55</v>
      </c>
      <c r="Y208" s="59">
        <f t="shared" si="104"/>
        <v>-14</v>
      </c>
      <c r="Z208" s="39"/>
      <c r="AA208" s="4" t="s">
        <v>535</v>
      </c>
      <c r="AB208" s="35">
        <v>46170</v>
      </c>
      <c r="AC208" s="13">
        <v>209173.67</v>
      </c>
      <c r="AD208" s="13">
        <v>7657</v>
      </c>
      <c r="AE208" s="13" t="s">
        <v>63</v>
      </c>
      <c r="AF208" s="35">
        <v>46181</v>
      </c>
      <c r="AG208" s="3" t="str">
        <f>K208</f>
        <v>FOB</v>
      </c>
      <c r="AH208" s="13" t="s">
        <v>75</v>
      </c>
      <c r="AI208" s="36" t="e">
        <f>#REF!</f>
        <v>#REF!</v>
      </c>
      <c r="AJ208" s="36">
        <v>0</v>
      </c>
      <c r="AK208" s="142">
        <f>AJ208/AC208</f>
        <v>0</v>
      </c>
      <c r="AL208" s="47">
        <v>46169</v>
      </c>
      <c r="AM208" s="153">
        <v>46181</v>
      </c>
      <c r="AN208" s="63">
        <f t="shared" si="115"/>
        <v>0</v>
      </c>
      <c r="AO208" s="34" t="s">
        <v>103</v>
      </c>
      <c r="AP208" s="64">
        <f t="shared" si="114"/>
        <v>46167</v>
      </c>
      <c r="AQ208" s="64">
        <f t="shared" si="100"/>
        <v>46181</v>
      </c>
      <c r="AR208" s="65">
        <f t="shared" si="106"/>
        <v>41</v>
      </c>
      <c r="AS208" s="65">
        <f t="shared" si="107"/>
        <v>55</v>
      </c>
      <c r="AT208" s="157">
        <f t="shared" si="108"/>
        <v>-14</v>
      </c>
      <c r="AU208" s="13" t="s">
        <v>475</v>
      </c>
      <c r="AV208" s="13" t="s">
        <v>105</v>
      </c>
      <c r="AW208" s="109">
        <f t="shared" si="116"/>
        <v>209173.67</v>
      </c>
      <c r="AX208" s="66">
        <f>Z208</f>
        <v>0</v>
      </c>
      <c r="AY208" s="66"/>
      <c r="AZ208" s="66">
        <f>AJ208</f>
        <v>0</v>
      </c>
      <c r="BA208" s="67">
        <f>AX208+AZ208</f>
        <v>0</v>
      </c>
    </row>
    <row r="209" spans="1:54" ht="21.6" customHeight="1" x14ac:dyDescent="0.3">
      <c r="A209" s="2" t="s">
        <v>552</v>
      </c>
      <c r="B209" s="3" t="s">
        <v>67</v>
      </c>
      <c r="C209" s="3" t="s">
        <v>78</v>
      </c>
      <c r="D209" s="3"/>
      <c r="E209" s="3">
        <v>749</v>
      </c>
      <c r="F209" s="3" t="s">
        <v>553</v>
      </c>
      <c r="G209" s="144">
        <v>513</v>
      </c>
      <c r="H209" s="394">
        <v>46126</v>
      </c>
      <c r="I209" s="50">
        <v>46155</v>
      </c>
      <c r="J209" s="15">
        <f t="shared" si="101"/>
        <v>29</v>
      </c>
      <c r="K209" s="3" t="s">
        <v>55</v>
      </c>
      <c r="L209" s="3" t="s">
        <v>113</v>
      </c>
      <c r="M209" s="3" t="s">
        <v>72</v>
      </c>
      <c r="N209" s="3" t="s">
        <v>53</v>
      </c>
      <c r="O209" s="3" t="s">
        <v>59</v>
      </c>
      <c r="P209" s="8">
        <v>17580.310000000001</v>
      </c>
      <c r="Q209" s="44" t="s">
        <v>100</v>
      </c>
      <c r="R209" s="57">
        <f t="shared" si="93"/>
        <v>46126</v>
      </c>
      <c r="S209" s="13" t="s">
        <v>61</v>
      </c>
      <c r="T209" s="35">
        <v>46155</v>
      </c>
      <c r="U209" s="37">
        <v>46156</v>
      </c>
      <c r="V209" s="37">
        <f t="shared" si="99"/>
        <v>46155</v>
      </c>
      <c r="W209" s="59">
        <f t="shared" si="102"/>
        <v>29</v>
      </c>
      <c r="X209" s="59">
        <f t="shared" si="103"/>
        <v>30</v>
      </c>
      <c r="Y209" s="303">
        <f t="shared" si="104"/>
        <v>-1</v>
      </c>
      <c r="Z209" s="39"/>
      <c r="AA209" s="4" t="s">
        <v>543</v>
      </c>
      <c r="AB209" s="35">
        <v>46160</v>
      </c>
      <c r="AC209" s="13">
        <v>17610.919999999998</v>
      </c>
      <c r="AD209" s="13">
        <v>7603</v>
      </c>
      <c r="AE209" s="13" t="s">
        <v>63</v>
      </c>
      <c r="AF209" s="35">
        <v>46161</v>
      </c>
      <c r="AG209" s="3" t="str">
        <f>K209</f>
        <v>FOB</v>
      </c>
      <c r="AH209" s="13" t="s">
        <v>374</v>
      </c>
      <c r="AI209" s="36" t="e">
        <f>#REF!</f>
        <v>#REF!</v>
      </c>
      <c r="AJ209" s="36">
        <v>0</v>
      </c>
      <c r="AK209" s="142">
        <f>AJ209/AC209</f>
        <v>0</v>
      </c>
      <c r="AL209" s="47">
        <v>46156</v>
      </c>
      <c r="AM209" s="153">
        <v>46156</v>
      </c>
      <c r="AN209" s="63">
        <f t="shared" si="115"/>
        <v>-5</v>
      </c>
      <c r="AO209" s="34" t="s">
        <v>103</v>
      </c>
      <c r="AP209" s="64">
        <f t="shared" si="114"/>
        <v>46155</v>
      </c>
      <c r="AQ209" s="64">
        <f t="shared" si="100"/>
        <v>46156</v>
      </c>
      <c r="AR209" s="65">
        <f t="shared" si="106"/>
        <v>29</v>
      </c>
      <c r="AS209" s="65">
        <f t="shared" si="107"/>
        <v>30</v>
      </c>
      <c r="AT209" s="157">
        <f t="shared" si="108"/>
        <v>-1</v>
      </c>
      <c r="AU209" s="13" t="s">
        <v>475</v>
      </c>
      <c r="AV209" s="13" t="s">
        <v>116</v>
      </c>
      <c r="AW209" s="109">
        <f t="shared" si="116"/>
        <v>17610.919999999998</v>
      </c>
      <c r="AX209" s="66">
        <f>Z209</f>
        <v>0</v>
      </c>
      <c r="AY209" s="66"/>
      <c r="AZ209" s="66">
        <f>AJ209</f>
        <v>0</v>
      </c>
      <c r="BA209" s="67">
        <f>AX209+AZ209</f>
        <v>0</v>
      </c>
    </row>
    <row r="210" spans="1:54" ht="21.6" customHeight="1" x14ac:dyDescent="0.3">
      <c r="A210" s="2" t="s">
        <v>192</v>
      </c>
      <c r="B210" s="3" t="s">
        <v>171</v>
      </c>
      <c r="C210" s="3"/>
      <c r="D210" s="3"/>
      <c r="E210" s="3"/>
      <c r="F210" s="3"/>
      <c r="G210" s="144">
        <v>516</v>
      </c>
      <c r="H210" s="394">
        <v>46126</v>
      </c>
      <c r="I210" s="50">
        <v>46150</v>
      </c>
      <c r="J210" s="15">
        <f t="shared" si="101"/>
        <v>24</v>
      </c>
      <c r="K210" s="3" t="s">
        <v>55</v>
      </c>
      <c r="L210" s="3" t="s">
        <v>56</v>
      </c>
      <c r="M210" s="3" t="s">
        <v>186</v>
      </c>
      <c r="N210" s="3" t="s">
        <v>554</v>
      </c>
      <c r="O210" s="3" t="s">
        <v>59</v>
      </c>
      <c r="P210" s="8">
        <v>4500.8</v>
      </c>
      <c r="Q210" s="44" t="s">
        <v>100</v>
      </c>
      <c r="R210" s="57">
        <f t="shared" si="93"/>
        <v>46126</v>
      </c>
      <c r="S210" s="13" t="s">
        <v>61</v>
      </c>
      <c r="T210" s="35">
        <v>46157</v>
      </c>
      <c r="U210" s="37">
        <v>46157</v>
      </c>
      <c r="V210" s="37">
        <f t="shared" si="99"/>
        <v>46150</v>
      </c>
      <c r="W210" s="59">
        <f t="shared" si="102"/>
        <v>24</v>
      </c>
      <c r="X210" s="59">
        <f t="shared" si="103"/>
        <v>31</v>
      </c>
      <c r="Y210" s="303">
        <f t="shared" si="104"/>
        <v>-7</v>
      </c>
      <c r="Z210" s="39"/>
      <c r="AA210" s="4" t="s">
        <v>543</v>
      </c>
      <c r="AB210" s="35">
        <v>46157</v>
      </c>
      <c r="AC210" s="13">
        <v>5065.28</v>
      </c>
      <c r="AD210" s="13">
        <v>7601</v>
      </c>
      <c r="AE210" s="13" t="s">
        <v>63</v>
      </c>
      <c r="AF210" s="35">
        <v>46181</v>
      </c>
      <c r="AG210" s="3" t="str">
        <f>K210</f>
        <v>FOB</v>
      </c>
      <c r="AH210" s="13" t="s">
        <v>404</v>
      </c>
      <c r="AI210" s="36" t="e">
        <f>#REF!</f>
        <v>#REF!</v>
      </c>
      <c r="AJ210" s="36">
        <v>0</v>
      </c>
      <c r="AK210" s="142">
        <f>AJ210/AC210</f>
        <v>0</v>
      </c>
      <c r="AL210" s="47">
        <v>46157</v>
      </c>
      <c r="AM210" s="153">
        <v>46157</v>
      </c>
      <c r="AN210" s="63">
        <f t="shared" si="115"/>
        <v>-24</v>
      </c>
      <c r="AO210" s="34" t="s">
        <v>103</v>
      </c>
      <c r="AP210" s="64">
        <f t="shared" si="114"/>
        <v>46150</v>
      </c>
      <c r="AQ210" s="64">
        <f t="shared" si="100"/>
        <v>46157</v>
      </c>
      <c r="AR210" s="65">
        <f t="shared" si="106"/>
        <v>24</v>
      </c>
      <c r="AS210" s="65">
        <f t="shared" si="107"/>
        <v>31</v>
      </c>
      <c r="AT210" s="157">
        <f t="shared" si="108"/>
        <v>-7</v>
      </c>
      <c r="AU210" s="13" t="s">
        <v>475</v>
      </c>
      <c r="AV210" s="13" t="s">
        <v>116</v>
      </c>
      <c r="AW210" s="109">
        <f t="shared" si="116"/>
        <v>5065.28</v>
      </c>
      <c r="AX210" s="66">
        <f>Z210</f>
        <v>0</v>
      </c>
      <c r="AY210" s="66"/>
      <c r="AZ210" s="66">
        <f>AJ210</f>
        <v>0</v>
      </c>
      <c r="BA210" s="67">
        <f>AX210+AZ210</f>
        <v>0</v>
      </c>
    </row>
    <row r="211" spans="1:54" ht="21.6" customHeight="1" x14ac:dyDescent="0.3">
      <c r="A211" s="2" t="s">
        <v>192</v>
      </c>
      <c r="B211" s="3" t="s">
        <v>171</v>
      </c>
      <c r="C211" s="3"/>
      <c r="D211" s="3"/>
      <c r="E211" s="3"/>
      <c r="F211" s="3"/>
      <c r="G211" s="144">
        <v>518</v>
      </c>
      <c r="H211" s="394">
        <v>46126</v>
      </c>
      <c r="I211" s="50">
        <v>46159</v>
      </c>
      <c r="J211" s="15">
        <f t="shared" si="101"/>
        <v>33</v>
      </c>
      <c r="K211" s="3" t="s">
        <v>55</v>
      </c>
      <c r="L211" s="3" t="s">
        <v>56</v>
      </c>
      <c r="M211" s="3" t="s">
        <v>186</v>
      </c>
      <c r="N211" s="3" t="s">
        <v>554</v>
      </c>
      <c r="O211" s="3" t="s">
        <v>59</v>
      </c>
      <c r="P211" s="8">
        <v>730.38</v>
      </c>
      <c r="Q211" s="44" t="s">
        <v>100</v>
      </c>
      <c r="R211" s="57">
        <f t="shared" si="93"/>
        <v>46126</v>
      </c>
      <c r="S211" s="13" t="s">
        <v>61</v>
      </c>
      <c r="T211" s="35">
        <v>46157</v>
      </c>
      <c r="U211" s="37">
        <v>46160</v>
      </c>
      <c r="V211" s="37">
        <f t="shared" si="99"/>
        <v>46159</v>
      </c>
      <c r="W211" s="59">
        <f t="shared" si="102"/>
        <v>33</v>
      </c>
      <c r="X211" s="59">
        <f t="shared" si="103"/>
        <v>34</v>
      </c>
      <c r="Y211" s="303">
        <f t="shared" si="104"/>
        <v>-1</v>
      </c>
      <c r="Z211" s="39"/>
      <c r="AA211" s="4" t="s">
        <v>543</v>
      </c>
      <c r="AB211" s="35">
        <v>46161</v>
      </c>
      <c r="AC211" s="13">
        <v>860.79</v>
      </c>
      <c r="AD211" s="13">
        <v>7607</v>
      </c>
      <c r="AE211" s="13" t="s">
        <v>63</v>
      </c>
      <c r="AF211" s="35">
        <v>46169</v>
      </c>
      <c r="AG211" s="3" t="str">
        <f>K211</f>
        <v>FOB</v>
      </c>
      <c r="AH211" s="13" t="s">
        <v>404</v>
      </c>
      <c r="AI211" s="36" t="e">
        <f>#REF!</f>
        <v>#REF!</v>
      </c>
      <c r="AJ211" s="36">
        <v>0</v>
      </c>
      <c r="AK211" s="142">
        <f>AJ211/AC211</f>
        <v>0</v>
      </c>
      <c r="AL211" s="47">
        <v>46160</v>
      </c>
      <c r="AM211" s="153">
        <v>46160</v>
      </c>
      <c r="AN211" s="63">
        <f t="shared" si="115"/>
        <v>-9</v>
      </c>
      <c r="AO211" s="34" t="s">
        <v>103</v>
      </c>
      <c r="AP211" s="64">
        <f t="shared" si="114"/>
        <v>46159</v>
      </c>
      <c r="AQ211" s="64">
        <f t="shared" si="100"/>
        <v>46160</v>
      </c>
      <c r="AR211" s="65">
        <f t="shared" si="106"/>
        <v>33</v>
      </c>
      <c r="AS211" s="65">
        <f t="shared" si="107"/>
        <v>34</v>
      </c>
      <c r="AT211" s="157">
        <f t="shared" si="108"/>
        <v>-1</v>
      </c>
      <c r="AU211" s="13" t="s">
        <v>475</v>
      </c>
      <c r="AV211" s="13" t="s">
        <v>116</v>
      </c>
      <c r="AW211" s="109">
        <f t="shared" si="116"/>
        <v>860.79</v>
      </c>
      <c r="AX211" s="66">
        <f>Z211</f>
        <v>0</v>
      </c>
      <c r="AY211" s="66"/>
      <c r="AZ211" s="66">
        <f>AJ211</f>
        <v>0</v>
      </c>
      <c r="BA211" s="67">
        <f>AX211+AZ211</f>
        <v>0</v>
      </c>
    </row>
    <row r="212" spans="1:54" ht="21.6" customHeight="1" x14ac:dyDescent="0.3">
      <c r="A212" s="2" t="s">
        <v>555</v>
      </c>
      <c r="B212" s="3" t="s">
        <v>163</v>
      </c>
      <c r="C212" s="3" t="s">
        <v>78</v>
      </c>
      <c r="D212" s="3" t="s">
        <v>53</v>
      </c>
      <c r="E212" s="3" t="s">
        <v>556</v>
      </c>
      <c r="F212" s="3" t="s">
        <v>557</v>
      </c>
      <c r="G212" s="144">
        <v>519</v>
      </c>
      <c r="H212" s="394">
        <v>46127</v>
      </c>
      <c r="I212" s="50">
        <v>46157</v>
      </c>
      <c r="J212" s="15">
        <f t="shared" si="101"/>
        <v>30</v>
      </c>
      <c r="K212" s="3" t="s">
        <v>70</v>
      </c>
      <c r="L212" s="3" t="s">
        <v>56</v>
      </c>
      <c r="M212" s="3" t="s">
        <v>299</v>
      </c>
      <c r="N212" s="3" t="s">
        <v>558</v>
      </c>
      <c r="O212" s="3" t="s">
        <v>59</v>
      </c>
      <c r="P212" s="8">
        <v>4477.08</v>
      </c>
      <c r="Q212" s="44" t="s">
        <v>100</v>
      </c>
      <c r="R212" s="57">
        <f t="shared" si="93"/>
        <v>46127</v>
      </c>
      <c r="S212" s="13" t="s">
        <v>61</v>
      </c>
      <c r="T212" s="35">
        <v>46150</v>
      </c>
      <c r="U212" s="37">
        <v>46149</v>
      </c>
      <c r="V212" s="37">
        <f t="shared" si="99"/>
        <v>46157</v>
      </c>
      <c r="W212" s="59">
        <f t="shared" si="102"/>
        <v>30</v>
      </c>
      <c r="X212" s="59">
        <f t="shared" si="103"/>
        <v>22</v>
      </c>
      <c r="Y212" s="59">
        <f t="shared" si="104"/>
        <v>8</v>
      </c>
      <c r="Z212" s="39"/>
      <c r="AA212" s="4" t="s">
        <v>559</v>
      </c>
      <c r="AB212" s="35">
        <v>46149</v>
      </c>
      <c r="AC212" s="13">
        <v>4477.08</v>
      </c>
      <c r="AD212" s="13">
        <v>7582</v>
      </c>
      <c r="AE212" s="13" t="s">
        <v>63</v>
      </c>
      <c r="AF212" s="35">
        <v>46150</v>
      </c>
      <c r="AG212" s="3" t="s">
        <v>70</v>
      </c>
      <c r="AH212" s="13" t="s">
        <v>102</v>
      </c>
      <c r="AI212" s="36"/>
      <c r="AJ212" s="36"/>
      <c r="AK212" s="142"/>
      <c r="AL212" s="47">
        <v>46157</v>
      </c>
      <c r="AM212" s="153">
        <v>46164</v>
      </c>
      <c r="AN212" s="63">
        <f t="shared" si="115"/>
        <v>14</v>
      </c>
      <c r="AO212" s="34" t="s">
        <v>103</v>
      </c>
      <c r="AP212" s="64">
        <f t="shared" si="114"/>
        <v>46157</v>
      </c>
      <c r="AQ212" s="64">
        <f t="shared" si="100"/>
        <v>46164</v>
      </c>
      <c r="AR212" s="65">
        <f t="shared" si="106"/>
        <v>30</v>
      </c>
      <c r="AS212" s="65">
        <f t="shared" si="107"/>
        <v>37</v>
      </c>
      <c r="AT212" s="157">
        <f t="shared" si="108"/>
        <v>-7</v>
      </c>
      <c r="AU212" s="13" t="s">
        <v>475</v>
      </c>
      <c r="AV212" s="13" t="s">
        <v>116</v>
      </c>
      <c r="AW212" s="109">
        <f t="shared" si="116"/>
        <v>4477.08</v>
      </c>
      <c r="AX212" s="66"/>
      <c r="AY212" s="66"/>
      <c r="AZ212" s="66"/>
      <c r="BA212" s="127"/>
    </row>
    <row r="213" spans="1:54" ht="21.6" customHeight="1" x14ac:dyDescent="0.3">
      <c r="A213" s="2" t="s">
        <v>560</v>
      </c>
      <c r="B213" s="3" t="s">
        <v>91</v>
      </c>
      <c r="C213" s="3" t="s">
        <v>78</v>
      </c>
      <c r="D213" s="3" t="s">
        <v>53</v>
      </c>
      <c r="E213" s="3">
        <v>218</v>
      </c>
      <c r="F213" s="3" t="s">
        <v>561</v>
      </c>
      <c r="G213" s="144">
        <v>520</v>
      </c>
      <c r="H213" s="394">
        <v>46127</v>
      </c>
      <c r="I213" s="50">
        <v>46147</v>
      </c>
      <c r="J213" s="15">
        <f t="shared" si="101"/>
        <v>20</v>
      </c>
      <c r="K213" s="3" t="s">
        <v>55</v>
      </c>
      <c r="L213" s="3" t="s">
        <v>56</v>
      </c>
      <c r="M213" s="3" t="s">
        <v>92</v>
      </c>
      <c r="N213" s="3" t="s">
        <v>303</v>
      </c>
      <c r="O213" s="3" t="s">
        <v>59</v>
      </c>
      <c r="P213" s="8">
        <v>14367.98</v>
      </c>
      <c r="Q213" s="44" t="s">
        <v>100</v>
      </c>
      <c r="R213" s="57">
        <f t="shared" si="93"/>
        <v>46127</v>
      </c>
      <c r="S213" s="13" t="s">
        <v>61</v>
      </c>
      <c r="T213" s="35">
        <v>46141</v>
      </c>
      <c r="U213" s="37">
        <v>46147</v>
      </c>
      <c r="V213" s="37">
        <f t="shared" si="99"/>
        <v>46147</v>
      </c>
      <c r="W213" s="59">
        <f t="shared" si="102"/>
        <v>20</v>
      </c>
      <c r="X213" s="59">
        <f t="shared" si="103"/>
        <v>20</v>
      </c>
      <c r="Y213" s="59">
        <f t="shared" si="104"/>
        <v>0</v>
      </c>
      <c r="Z213" s="39"/>
      <c r="AA213" s="4" t="s">
        <v>442</v>
      </c>
      <c r="AB213" s="35">
        <v>46142</v>
      </c>
      <c r="AC213" s="13">
        <v>14367.98</v>
      </c>
      <c r="AD213" s="13">
        <v>7563</v>
      </c>
      <c r="AE213" s="13" t="s">
        <v>63</v>
      </c>
      <c r="AF213" s="35">
        <v>46147</v>
      </c>
      <c r="AG213" s="3" t="str">
        <f t="shared" ref="AG213:AG220" si="117">K213</f>
        <v>FOB</v>
      </c>
      <c r="AH213" s="13" t="s">
        <v>64</v>
      </c>
      <c r="AI213" s="36" t="e">
        <f>#REF!</f>
        <v>#REF!</v>
      </c>
      <c r="AJ213" s="36">
        <v>0</v>
      </c>
      <c r="AK213" s="142">
        <f t="shared" ref="AK213:AK231" si="118">AJ213/AC213</f>
        <v>0</v>
      </c>
      <c r="AL213" s="47">
        <v>46147</v>
      </c>
      <c r="AM213" s="153">
        <v>46147</v>
      </c>
      <c r="AN213" s="63">
        <f t="shared" si="115"/>
        <v>0</v>
      </c>
      <c r="AO213" s="34" t="s">
        <v>65</v>
      </c>
      <c r="AP213" s="64">
        <f t="shared" si="114"/>
        <v>46147</v>
      </c>
      <c r="AQ213" s="64">
        <f t="shared" si="100"/>
        <v>46147</v>
      </c>
      <c r="AR213" s="65">
        <f t="shared" si="106"/>
        <v>20</v>
      </c>
      <c r="AS213" s="65">
        <f t="shared" si="107"/>
        <v>20</v>
      </c>
      <c r="AT213" s="157">
        <f t="shared" si="108"/>
        <v>0</v>
      </c>
      <c r="AU213" s="13"/>
      <c r="AV213" s="13" t="s">
        <v>59</v>
      </c>
      <c r="AW213" s="109">
        <f t="shared" si="116"/>
        <v>14367.98</v>
      </c>
      <c r="AX213" s="66">
        <f t="shared" ref="AX213:AX231" si="119">Z213</f>
        <v>0</v>
      </c>
      <c r="AY213" s="66"/>
      <c r="AZ213" s="66">
        <f t="shared" ref="AZ213:AZ231" si="120">AJ213</f>
        <v>0</v>
      </c>
      <c r="BA213" s="127">
        <f>AX213+AZ213</f>
        <v>0</v>
      </c>
    </row>
    <row r="214" spans="1:54" ht="21.6" customHeight="1" x14ac:dyDescent="0.3">
      <c r="A214" s="2" t="s">
        <v>508</v>
      </c>
      <c r="B214" s="3" t="s">
        <v>292</v>
      </c>
      <c r="C214" s="3" t="s">
        <v>78</v>
      </c>
      <c r="D214" s="3" t="s">
        <v>53</v>
      </c>
      <c r="E214" s="5">
        <v>4500248850</v>
      </c>
      <c r="F214" s="3" t="s">
        <v>53</v>
      </c>
      <c r="G214" s="144">
        <v>521</v>
      </c>
      <c r="H214" s="394">
        <v>46127</v>
      </c>
      <c r="I214" s="50">
        <v>46187</v>
      </c>
      <c r="J214" s="15">
        <f t="shared" si="101"/>
        <v>60</v>
      </c>
      <c r="K214" s="3" t="s">
        <v>55</v>
      </c>
      <c r="L214" s="3" t="s">
        <v>56</v>
      </c>
      <c r="M214" s="3" t="s">
        <v>486</v>
      </c>
      <c r="N214" s="3" t="s">
        <v>509</v>
      </c>
      <c r="O214" s="3" t="s">
        <v>59</v>
      </c>
      <c r="P214" s="8">
        <v>18868</v>
      </c>
      <c r="Q214" s="44" t="s">
        <v>100</v>
      </c>
      <c r="R214" s="57">
        <f t="shared" si="93"/>
        <v>46127</v>
      </c>
      <c r="S214" s="13" t="s">
        <v>61</v>
      </c>
      <c r="T214" s="35">
        <v>46157</v>
      </c>
      <c r="U214" s="37">
        <v>46161</v>
      </c>
      <c r="V214" s="37">
        <f t="shared" si="99"/>
        <v>46187</v>
      </c>
      <c r="W214" s="59">
        <f t="shared" si="102"/>
        <v>60</v>
      </c>
      <c r="X214" s="59">
        <f t="shared" si="103"/>
        <v>34</v>
      </c>
      <c r="Y214" s="59">
        <f t="shared" si="104"/>
        <v>26</v>
      </c>
      <c r="Z214" s="39"/>
      <c r="AA214" s="4" t="s">
        <v>543</v>
      </c>
      <c r="AB214" s="35">
        <v>46161</v>
      </c>
      <c r="AC214" s="13">
        <v>18868</v>
      </c>
      <c r="AD214" s="13">
        <v>7609</v>
      </c>
      <c r="AE214" s="13" t="s">
        <v>63</v>
      </c>
      <c r="AF214" s="35">
        <v>46163</v>
      </c>
      <c r="AG214" s="3" t="str">
        <f t="shared" si="117"/>
        <v>FOB</v>
      </c>
      <c r="AH214" s="13" t="s">
        <v>562</v>
      </c>
      <c r="AI214" s="36" t="e">
        <f>#REF!</f>
        <v>#REF!</v>
      </c>
      <c r="AJ214" s="36">
        <v>0</v>
      </c>
      <c r="AK214" s="142">
        <f t="shared" si="118"/>
        <v>0</v>
      </c>
      <c r="AL214" s="47">
        <v>46161</v>
      </c>
      <c r="AM214" s="153">
        <v>46161</v>
      </c>
      <c r="AN214" s="63">
        <f t="shared" si="115"/>
        <v>-2</v>
      </c>
      <c r="AO214" s="34" t="s">
        <v>65</v>
      </c>
      <c r="AP214" s="64">
        <f t="shared" si="114"/>
        <v>46187</v>
      </c>
      <c r="AQ214" s="64">
        <f t="shared" si="100"/>
        <v>46161</v>
      </c>
      <c r="AR214" s="65">
        <f t="shared" si="106"/>
        <v>60</v>
      </c>
      <c r="AS214" s="65">
        <f t="shared" si="107"/>
        <v>34</v>
      </c>
      <c r="AT214" s="157">
        <f t="shared" si="108"/>
        <v>26</v>
      </c>
      <c r="AU214" s="13"/>
      <c r="AV214" s="13"/>
      <c r="AW214" s="109">
        <f t="shared" si="116"/>
        <v>18868</v>
      </c>
      <c r="AX214" s="66">
        <f t="shared" si="119"/>
        <v>0</v>
      </c>
      <c r="AY214" s="66"/>
      <c r="AZ214" s="66">
        <f t="shared" si="120"/>
        <v>0</v>
      </c>
      <c r="BA214" s="30"/>
    </row>
    <row r="215" spans="1:54" ht="21.6" customHeight="1" x14ac:dyDescent="0.3">
      <c r="A215" s="2" t="s">
        <v>301</v>
      </c>
      <c r="B215" s="3" t="s">
        <v>91</v>
      </c>
      <c r="C215" s="3" t="s">
        <v>78</v>
      </c>
      <c r="D215" s="3" t="s">
        <v>53</v>
      </c>
      <c r="E215" s="3">
        <v>5000004491</v>
      </c>
      <c r="F215" s="3" t="s">
        <v>563</v>
      </c>
      <c r="G215" s="144">
        <v>522</v>
      </c>
      <c r="H215" s="394">
        <v>46127</v>
      </c>
      <c r="I215" s="50">
        <v>46154</v>
      </c>
      <c r="J215" s="15">
        <f t="shared" si="101"/>
        <v>27</v>
      </c>
      <c r="K215" s="3" t="s">
        <v>55</v>
      </c>
      <c r="L215" s="3" t="s">
        <v>56</v>
      </c>
      <c r="M215" s="3" t="s">
        <v>92</v>
      </c>
      <c r="N215" s="3" t="s">
        <v>252</v>
      </c>
      <c r="O215" s="3" t="s">
        <v>59</v>
      </c>
      <c r="P215" s="8">
        <v>2987.64</v>
      </c>
      <c r="Q215" s="44" t="s">
        <v>100</v>
      </c>
      <c r="R215" s="57">
        <f t="shared" si="93"/>
        <v>46127</v>
      </c>
      <c r="S215" s="13" t="s">
        <v>61</v>
      </c>
      <c r="T215" s="35">
        <v>46150</v>
      </c>
      <c r="U215" s="37">
        <v>46147</v>
      </c>
      <c r="V215" s="37">
        <f t="shared" si="99"/>
        <v>46154</v>
      </c>
      <c r="W215" s="59">
        <f t="shared" si="102"/>
        <v>27</v>
      </c>
      <c r="X215" s="59">
        <f t="shared" si="103"/>
        <v>20</v>
      </c>
      <c r="Y215" s="59">
        <f t="shared" si="104"/>
        <v>7</v>
      </c>
      <c r="Z215" s="39"/>
      <c r="AA215" s="4" t="s">
        <v>559</v>
      </c>
      <c r="AB215" s="35">
        <v>46147</v>
      </c>
      <c r="AC215" s="13">
        <v>2987.64</v>
      </c>
      <c r="AD215" s="13">
        <v>7580</v>
      </c>
      <c r="AE215" s="13" t="s">
        <v>63</v>
      </c>
      <c r="AF215" s="35">
        <v>46147</v>
      </c>
      <c r="AG215" s="3" t="str">
        <f t="shared" si="117"/>
        <v>FOB</v>
      </c>
      <c r="AH215" s="13" t="s">
        <v>564</v>
      </c>
      <c r="AI215" s="36" t="e">
        <f>#REF!</f>
        <v>#REF!</v>
      </c>
      <c r="AJ215" s="36">
        <v>0</v>
      </c>
      <c r="AK215" s="142">
        <f t="shared" si="118"/>
        <v>0</v>
      </c>
      <c r="AL215" s="47">
        <v>46147</v>
      </c>
      <c r="AM215" s="153">
        <v>46147</v>
      </c>
      <c r="AN215" s="63">
        <f t="shared" si="115"/>
        <v>0</v>
      </c>
      <c r="AO215" s="34" t="s">
        <v>65</v>
      </c>
      <c r="AP215" s="64">
        <f t="shared" si="114"/>
        <v>46154</v>
      </c>
      <c r="AQ215" s="64">
        <f t="shared" si="100"/>
        <v>46147</v>
      </c>
      <c r="AR215" s="65">
        <f t="shared" si="106"/>
        <v>27</v>
      </c>
      <c r="AS215" s="65">
        <f t="shared" si="107"/>
        <v>20</v>
      </c>
      <c r="AT215" s="157">
        <f t="shared" si="108"/>
        <v>7</v>
      </c>
      <c r="AU215" s="13"/>
      <c r="AV215" s="13"/>
      <c r="AW215" s="109">
        <f t="shared" si="116"/>
        <v>2987.64</v>
      </c>
      <c r="AX215" s="66">
        <f t="shared" si="119"/>
        <v>0</v>
      </c>
      <c r="AY215" s="66"/>
      <c r="AZ215" s="66">
        <f t="shared" si="120"/>
        <v>0</v>
      </c>
      <c r="BA215" s="30"/>
    </row>
    <row r="216" spans="1:54" ht="21.6" customHeight="1" x14ac:dyDescent="0.3">
      <c r="A216" s="2" t="s">
        <v>90</v>
      </c>
      <c r="B216" s="3" t="s">
        <v>91</v>
      </c>
      <c r="C216" s="3" t="s">
        <v>78</v>
      </c>
      <c r="D216" s="3" t="s">
        <v>53</v>
      </c>
      <c r="E216" s="339">
        <v>4413014599</v>
      </c>
      <c r="F216" s="3" t="s">
        <v>53</v>
      </c>
      <c r="G216" s="144">
        <v>524</v>
      </c>
      <c r="H216" s="394">
        <v>46128</v>
      </c>
      <c r="I216" s="50">
        <v>46148</v>
      </c>
      <c r="J216" s="15">
        <f t="shared" si="101"/>
        <v>20</v>
      </c>
      <c r="K216" s="3" t="s">
        <v>70</v>
      </c>
      <c r="L216" s="3" t="s">
        <v>56</v>
      </c>
      <c r="M216" s="3" t="s">
        <v>92</v>
      </c>
      <c r="N216" s="3" t="s">
        <v>565</v>
      </c>
      <c r="O216" s="3" t="s">
        <v>59</v>
      </c>
      <c r="P216" s="8">
        <v>1113</v>
      </c>
      <c r="Q216" s="44" t="s">
        <v>100</v>
      </c>
      <c r="R216" s="57">
        <f t="shared" si="93"/>
        <v>46128</v>
      </c>
      <c r="S216" s="13" t="s">
        <v>61</v>
      </c>
      <c r="T216" s="35">
        <v>46134</v>
      </c>
      <c r="U216" s="37">
        <v>46135</v>
      </c>
      <c r="V216" s="37">
        <f t="shared" si="99"/>
        <v>46148</v>
      </c>
      <c r="W216" s="59">
        <f t="shared" si="102"/>
        <v>20</v>
      </c>
      <c r="X216" s="59">
        <f t="shared" si="103"/>
        <v>7</v>
      </c>
      <c r="Y216" s="59">
        <f t="shared" si="104"/>
        <v>13</v>
      </c>
      <c r="Z216" s="39"/>
      <c r="AA216" s="4" t="s">
        <v>448</v>
      </c>
      <c r="AB216" s="35">
        <v>46135</v>
      </c>
      <c r="AC216" s="13">
        <v>1113.02</v>
      </c>
      <c r="AD216" s="13">
        <v>7535</v>
      </c>
      <c r="AE216" s="13" t="s">
        <v>63</v>
      </c>
      <c r="AF216" s="35">
        <v>46135</v>
      </c>
      <c r="AG216" s="3" t="str">
        <f t="shared" si="117"/>
        <v>CIF</v>
      </c>
      <c r="AH216" s="13" t="s">
        <v>64</v>
      </c>
      <c r="AI216" s="36" t="e">
        <f>#REF!</f>
        <v>#REF!</v>
      </c>
      <c r="AJ216" s="36">
        <v>0</v>
      </c>
      <c r="AK216" s="142">
        <f t="shared" si="118"/>
        <v>0</v>
      </c>
      <c r="AL216" s="47">
        <v>46135</v>
      </c>
      <c r="AM216" s="153">
        <v>46135</v>
      </c>
      <c r="AN216" s="63">
        <f t="shared" si="115"/>
        <v>0</v>
      </c>
      <c r="AO216" s="34" t="s">
        <v>65</v>
      </c>
      <c r="AP216" s="64">
        <f t="shared" si="114"/>
        <v>46148</v>
      </c>
      <c r="AQ216" s="64">
        <f t="shared" si="100"/>
        <v>46135</v>
      </c>
      <c r="AR216" s="65">
        <f t="shared" si="106"/>
        <v>20</v>
      </c>
      <c r="AS216" s="65">
        <f t="shared" si="107"/>
        <v>7</v>
      </c>
      <c r="AT216" s="157">
        <f t="shared" si="108"/>
        <v>13</v>
      </c>
      <c r="AU216" s="13"/>
      <c r="AV216" s="13" t="s">
        <v>59</v>
      </c>
      <c r="AW216" s="109">
        <f t="shared" si="116"/>
        <v>1113.02</v>
      </c>
      <c r="AX216" s="66">
        <f t="shared" si="119"/>
        <v>0</v>
      </c>
      <c r="AY216" s="66"/>
      <c r="AZ216" s="66">
        <f t="shared" si="120"/>
        <v>0</v>
      </c>
      <c r="BA216" s="30"/>
    </row>
    <row r="217" spans="1:54" ht="21.6" customHeight="1" x14ac:dyDescent="0.3">
      <c r="A217" s="2" t="s">
        <v>416</v>
      </c>
      <c r="B217" s="3"/>
      <c r="C217" s="3"/>
      <c r="D217" s="3"/>
      <c r="E217" s="3"/>
      <c r="F217" s="3"/>
      <c r="G217" s="144">
        <v>525</v>
      </c>
      <c r="H217" s="394">
        <v>46128</v>
      </c>
      <c r="I217" s="50">
        <v>46160</v>
      </c>
      <c r="J217" s="15">
        <f t="shared" si="101"/>
        <v>32</v>
      </c>
      <c r="K217" s="3" t="s">
        <v>55</v>
      </c>
      <c r="L217" s="3" t="s">
        <v>113</v>
      </c>
      <c r="M217" s="3" t="s">
        <v>72</v>
      </c>
      <c r="N217" s="3" t="s">
        <v>53</v>
      </c>
      <c r="O217" s="3" t="s">
        <v>59</v>
      </c>
      <c r="P217" s="8" t="s">
        <v>566</v>
      </c>
      <c r="Q217" s="44" t="s">
        <v>60</v>
      </c>
      <c r="R217" s="57">
        <f t="shared" si="93"/>
        <v>46128</v>
      </c>
      <c r="S217" s="13" t="s">
        <v>61</v>
      </c>
      <c r="T217" s="35">
        <v>46157</v>
      </c>
      <c r="U217" s="37">
        <v>46160</v>
      </c>
      <c r="V217" s="37">
        <f t="shared" si="99"/>
        <v>46160</v>
      </c>
      <c r="W217" s="59">
        <f t="shared" si="102"/>
        <v>32</v>
      </c>
      <c r="X217" s="59">
        <f t="shared" si="103"/>
        <v>32</v>
      </c>
      <c r="Y217" s="303">
        <f t="shared" si="104"/>
        <v>0</v>
      </c>
      <c r="Z217" s="39"/>
      <c r="AA217" s="4" t="s">
        <v>543</v>
      </c>
      <c r="AB217" s="35">
        <v>46160</v>
      </c>
      <c r="AC217" s="352">
        <v>151.94</v>
      </c>
      <c r="AD217" s="13">
        <v>7604</v>
      </c>
      <c r="AE217" s="13" t="s">
        <v>63</v>
      </c>
      <c r="AF217" s="35">
        <v>46163</v>
      </c>
      <c r="AG217" s="3" t="str">
        <f t="shared" si="117"/>
        <v>FOB</v>
      </c>
      <c r="AH217" s="13" t="s">
        <v>374</v>
      </c>
      <c r="AI217" s="36" t="e">
        <f>#REF!</f>
        <v>#REF!</v>
      </c>
      <c r="AJ217" s="36">
        <v>0</v>
      </c>
      <c r="AK217" s="142">
        <f t="shared" si="118"/>
        <v>0</v>
      </c>
      <c r="AL217" s="47">
        <v>46160</v>
      </c>
      <c r="AM217" s="153">
        <v>46160</v>
      </c>
      <c r="AN217" s="63">
        <f t="shared" si="115"/>
        <v>-3</v>
      </c>
      <c r="AO217" s="34" t="s">
        <v>65</v>
      </c>
      <c r="AP217" s="64">
        <f t="shared" si="114"/>
        <v>46160</v>
      </c>
      <c r="AQ217" s="64">
        <f t="shared" si="100"/>
        <v>46160</v>
      </c>
      <c r="AR217" s="65">
        <f t="shared" si="106"/>
        <v>32</v>
      </c>
      <c r="AS217" s="65">
        <f t="shared" si="107"/>
        <v>32</v>
      </c>
      <c r="AT217" s="157">
        <f t="shared" si="108"/>
        <v>0</v>
      </c>
      <c r="AU217" s="13"/>
      <c r="AV217" s="13"/>
      <c r="AW217" s="109">
        <f t="shared" si="116"/>
        <v>151.94</v>
      </c>
      <c r="AX217" s="66">
        <f t="shared" si="119"/>
        <v>0</v>
      </c>
      <c r="AY217" s="66"/>
      <c r="AZ217" s="66">
        <f t="shared" si="120"/>
        <v>0</v>
      </c>
      <c r="BA217" s="30"/>
    </row>
    <row r="218" spans="1:54" ht="21.6" customHeight="1" x14ac:dyDescent="0.3">
      <c r="A218" s="2" t="s">
        <v>380</v>
      </c>
      <c r="B218" s="15" t="s">
        <v>171</v>
      </c>
      <c r="C218" s="3" t="s">
        <v>78</v>
      </c>
      <c r="D218" s="3" t="s">
        <v>53</v>
      </c>
      <c r="E218" s="3">
        <v>2002433091</v>
      </c>
      <c r="F218" s="3" t="s">
        <v>567</v>
      </c>
      <c r="G218" s="144">
        <v>528</v>
      </c>
      <c r="H218" s="394">
        <v>46129</v>
      </c>
      <c r="I218" s="50">
        <v>46159</v>
      </c>
      <c r="J218" s="15">
        <f t="shared" si="101"/>
        <v>30</v>
      </c>
      <c r="K218" s="3" t="s">
        <v>55</v>
      </c>
      <c r="L218" s="3" t="s">
        <v>56</v>
      </c>
      <c r="M218" s="15" t="s">
        <v>186</v>
      </c>
      <c r="N218" s="3" t="s">
        <v>382</v>
      </c>
      <c r="O218" s="3" t="s">
        <v>59</v>
      </c>
      <c r="P218" s="8">
        <v>4528.8100000000004</v>
      </c>
      <c r="Q218" s="44" t="s">
        <v>100</v>
      </c>
      <c r="R218" s="57">
        <f t="shared" ref="R218:R249" si="121">H218</f>
        <v>46129</v>
      </c>
      <c r="S218" s="13" t="s">
        <v>61</v>
      </c>
      <c r="T218" s="35">
        <v>46149</v>
      </c>
      <c r="U218" s="37">
        <v>46157</v>
      </c>
      <c r="V218" s="37">
        <f t="shared" si="99"/>
        <v>46159</v>
      </c>
      <c r="W218" s="59">
        <f t="shared" si="102"/>
        <v>30</v>
      </c>
      <c r="X218" s="59">
        <f t="shared" si="103"/>
        <v>28</v>
      </c>
      <c r="Y218" s="59">
        <f t="shared" si="104"/>
        <v>2</v>
      </c>
      <c r="Z218" s="39"/>
      <c r="AA218" s="4" t="s">
        <v>559</v>
      </c>
      <c r="AB218" s="35">
        <v>46160</v>
      </c>
      <c r="AC218" s="13">
        <v>4528.8</v>
      </c>
      <c r="AD218" s="13">
        <v>7602</v>
      </c>
      <c r="AE218" s="13" t="s">
        <v>63</v>
      </c>
      <c r="AF218" s="35">
        <v>46160</v>
      </c>
      <c r="AG218" s="3" t="str">
        <f t="shared" si="117"/>
        <v>FOB</v>
      </c>
      <c r="AH218" s="13" t="s">
        <v>568</v>
      </c>
      <c r="AI218" s="36" t="e">
        <f>#REF!</f>
        <v>#REF!</v>
      </c>
      <c r="AJ218" s="36">
        <v>0</v>
      </c>
      <c r="AK218" s="142">
        <f t="shared" si="118"/>
        <v>0</v>
      </c>
      <c r="AL218" s="47">
        <v>46157</v>
      </c>
      <c r="AM218" s="153">
        <v>46157</v>
      </c>
      <c r="AN218" s="63">
        <f t="shared" si="115"/>
        <v>-3</v>
      </c>
      <c r="AO218" s="34" t="s">
        <v>65</v>
      </c>
      <c r="AP218" s="64">
        <f t="shared" si="114"/>
        <v>46159</v>
      </c>
      <c r="AQ218" s="64">
        <f t="shared" si="100"/>
        <v>46157</v>
      </c>
      <c r="AR218" s="65">
        <f t="shared" si="106"/>
        <v>30</v>
      </c>
      <c r="AS218" s="65">
        <f t="shared" si="107"/>
        <v>28</v>
      </c>
      <c r="AT218" s="157">
        <f t="shared" si="108"/>
        <v>2</v>
      </c>
      <c r="AU218" s="13"/>
      <c r="AV218" s="13"/>
      <c r="AW218" s="109">
        <f t="shared" si="116"/>
        <v>4528.8</v>
      </c>
      <c r="AX218" s="66">
        <f t="shared" si="119"/>
        <v>0</v>
      </c>
      <c r="AY218" s="66"/>
      <c r="AZ218" s="66">
        <f t="shared" si="120"/>
        <v>0</v>
      </c>
      <c r="BA218" s="30"/>
    </row>
    <row r="219" spans="1:54" ht="21.6" customHeight="1" x14ac:dyDescent="0.45">
      <c r="A219" s="2" t="s">
        <v>307</v>
      </c>
      <c r="B219" s="15" t="s">
        <v>96</v>
      </c>
      <c r="C219" s="3" t="s">
        <v>78</v>
      </c>
      <c r="D219" s="3">
        <v>4600016155</v>
      </c>
      <c r="E219" s="3">
        <v>4501932800</v>
      </c>
      <c r="F219" s="3" t="s">
        <v>53</v>
      </c>
      <c r="G219" s="144">
        <v>529</v>
      </c>
      <c r="H219" s="394">
        <v>46129</v>
      </c>
      <c r="I219" s="50">
        <v>46173</v>
      </c>
      <c r="J219" s="15">
        <f t="shared" si="101"/>
        <v>44</v>
      </c>
      <c r="K219" s="3" t="s">
        <v>70</v>
      </c>
      <c r="L219" s="3" t="s">
        <v>56</v>
      </c>
      <c r="M219" s="15" t="s">
        <v>255</v>
      </c>
      <c r="N219" s="3" t="s">
        <v>311</v>
      </c>
      <c r="O219" s="3" t="s">
        <v>59</v>
      </c>
      <c r="P219" s="8">
        <v>5294.68</v>
      </c>
      <c r="Q219" s="44" t="s">
        <v>100</v>
      </c>
      <c r="R219" s="57">
        <f t="shared" si="121"/>
        <v>46129</v>
      </c>
      <c r="S219" s="13" t="s">
        <v>61</v>
      </c>
      <c r="T219" s="35">
        <v>46157</v>
      </c>
      <c r="U219" s="37">
        <v>46161</v>
      </c>
      <c r="V219" s="37">
        <f t="shared" si="99"/>
        <v>46173</v>
      </c>
      <c r="W219" s="59">
        <f t="shared" si="102"/>
        <v>44</v>
      </c>
      <c r="X219" s="59">
        <f t="shared" si="103"/>
        <v>32</v>
      </c>
      <c r="Y219" s="59">
        <f t="shared" si="104"/>
        <v>12</v>
      </c>
      <c r="Z219" s="39"/>
      <c r="AA219" s="4" t="s">
        <v>543</v>
      </c>
      <c r="AB219" s="35">
        <v>46162</v>
      </c>
      <c r="AC219" s="13">
        <v>8521.83</v>
      </c>
      <c r="AD219" s="13">
        <v>7616</v>
      </c>
      <c r="AE219" s="13" t="s">
        <v>63</v>
      </c>
      <c r="AF219" s="35">
        <v>46163</v>
      </c>
      <c r="AG219" s="3" t="str">
        <f t="shared" si="117"/>
        <v>CIF</v>
      </c>
      <c r="AH219" s="247" t="s">
        <v>102</v>
      </c>
      <c r="AI219" s="36" t="e">
        <f>#REF!</f>
        <v>#REF!</v>
      </c>
      <c r="AJ219" s="36">
        <v>0</v>
      </c>
      <c r="AK219" s="142">
        <f t="shared" si="118"/>
        <v>0</v>
      </c>
      <c r="AL219" s="47"/>
      <c r="AM219" s="155">
        <v>46169</v>
      </c>
      <c r="AN219" s="63">
        <f t="shared" si="115"/>
        <v>6</v>
      </c>
      <c r="AO219" s="34" t="s">
        <v>65</v>
      </c>
      <c r="AP219" s="64">
        <f t="shared" si="114"/>
        <v>46173</v>
      </c>
      <c r="AQ219" s="64" t="s">
        <v>569</v>
      </c>
      <c r="AR219" s="65">
        <f t="shared" si="106"/>
        <v>44</v>
      </c>
      <c r="AS219" s="65">
        <f t="shared" si="107"/>
        <v>40</v>
      </c>
      <c r="AT219" s="157">
        <f t="shared" si="108"/>
        <v>4</v>
      </c>
      <c r="AU219" s="13"/>
      <c r="AV219" s="13"/>
      <c r="AW219" s="109">
        <f t="shared" si="116"/>
        <v>8521.83</v>
      </c>
      <c r="AX219" s="66">
        <f t="shared" si="119"/>
        <v>0</v>
      </c>
      <c r="AY219" s="66"/>
      <c r="AZ219" s="66">
        <f t="shared" si="120"/>
        <v>0</v>
      </c>
      <c r="BA219" s="30"/>
    </row>
    <row r="220" spans="1:54" ht="21.6" customHeight="1" x14ac:dyDescent="0.3">
      <c r="A220" s="2" t="s">
        <v>570</v>
      </c>
      <c r="B220" s="3" t="s">
        <v>51</v>
      </c>
      <c r="C220" s="3" t="s">
        <v>78</v>
      </c>
      <c r="D220" s="3">
        <v>4600675707</v>
      </c>
      <c r="E220" s="3">
        <v>4515156106</v>
      </c>
      <c r="F220" s="3" t="s">
        <v>53</v>
      </c>
      <c r="G220" s="144">
        <v>531</v>
      </c>
      <c r="H220" s="394">
        <v>46132</v>
      </c>
      <c r="I220" s="50">
        <v>46164</v>
      </c>
      <c r="J220" s="15">
        <f t="shared" si="101"/>
        <v>32</v>
      </c>
      <c r="K220" s="3" t="s">
        <v>70</v>
      </c>
      <c r="L220" s="3" t="s">
        <v>56</v>
      </c>
      <c r="M220" s="3" t="s">
        <v>57</v>
      </c>
      <c r="N220" s="3" t="s">
        <v>571</v>
      </c>
      <c r="O220" s="3" t="s">
        <v>59</v>
      </c>
      <c r="P220" s="8">
        <v>3873.99</v>
      </c>
      <c r="Q220" s="44" t="s">
        <v>100</v>
      </c>
      <c r="R220" s="57">
        <f t="shared" si="121"/>
        <v>46132</v>
      </c>
      <c r="S220" s="13" t="s">
        <v>61</v>
      </c>
      <c r="T220" s="35">
        <v>46157</v>
      </c>
      <c r="U220" s="37">
        <v>46155</v>
      </c>
      <c r="V220" s="37">
        <f t="shared" si="99"/>
        <v>46164</v>
      </c>
      <c r="W220" s="59">
        <f t="shared" si="102"/>
        <v>32</v>
      </c>
      <c r="X220" s="59">
        <f t="shared" si="103"/>
        <v>23</v>
      </c>
      <c r="Y220" s="59">
        <f t="shared" si="104"/>
        <v>9</v>
      </c>
      <c r="Z220" s="39"/>
      <c r="AA220" s="4" t="s">
        <v>543</v>
      </c>
      <c r="AB220" s="35">
        <v>46156</v>
      </c>
      <c r="AC220" s="13">
        <v>3873.99</v>
      </c>
      <c r="AD220" s="13">
        <v>7595</v>
      </c>
      <c r="AE220" s="13" t="s">
        <v>63</v>
      </c>
      <c r="AF220" s="35">
        <v>46160</v>
      </c>
      <c r="AG220" s="3" t="str">
        <f t="shared" si="117"/>
        <v>CIF</v>
      </c>
      <c r="AH220" s="13" t="s">
        <v>127</v>
      </c>
      <c r="AI220" s="36" t="e">
        <f>#REF!</f>
        <v>#REF!</v>
      </c>
      <c r="AJ220" s="36">
        <v>0</v>
      </c>
      <c r="AK220" s="142">
        <f t="shared" si="118"/>
        <v>0</v>
      </c>
      <c r="AL220" s="47">
        <v>46164</v>
      </c>
      <c r="AM220" s="153">
        <v>46164</v>
      </c>
      <c r="AN220" s="63">
        <f t="shared" si="115"/>
        <v>4</v>
      </c>
      <c r="AO220" s="34" t="s">
        <v>65</v>
      </c>
      <c r="AP220" s="64">
        <f t="shared" si="114"/>
        <v>46164</v>
      </c>
      <c r="AQ220" s="64">
        <f t="shared" ref="AQ220:AQ234" si="122">AM220</f>
        <v>46164</v>
      </c>
      <c r="AR220" s="65">
        <f t="shared" si="106"/>
        <v>32</v>
      </c>
      <c r="AS220" s="65">
        <f t="shared" si="107"/>
        <v>32</v>
      </c>
      <c r="AT220" s="157">
        <f t="shared" si="108"/>
        <v>0</v>
      </c>
      <c r="AU220" s="13"/>
      <c r="AV220" s="13"/>
      <c r="AW220" s="109">
        <f t="shared" si="116"/>
        <v>3873.99</v>
      </c>
      <c r="AX220" s="66">
        <f t="shared" si="119"/>
        <v>0</v>
      </c>
      <c r="AY220" s="66"/>
      <c r="AZ220" s="66">
        <f t="shared" si="120"/>
        <v>0</v>
      </c>
      <c r="BA220" s="30"/>
    </row>
    <row r="221" spans="1:54" ht="21.6" customHeight="1" x14ac:dyDescent="0.3">
      <c r="A221" s="2" t="s">
        <v>572</v>
      </c>
      <c r="B221" s="3" t="s">
        <v>51</v>
      </c>
      <c r="C221" s="3" t="s">
        <v>78</v>
      </c>
      <c r="D221" s="3" t="s">
        <v>53</v>
      </c>
      <c r="E221" s="3">
        <v>126948</v>
      </c>
      <c r="F221" s="3" t="s">
        <v>573</v>
      </c>
      <c r="G221" s="144">
        <v>532</v>
      </c>
      <c r="H221" s="394">
        <v>46132</v>
      </c>
      <c r="I221" s="50">
        <v>46164</v>
      </c>
      <c r="J221" s="15">
        <f t="shared" si="101"/>
        <v>32</v>
      </c>
      <c r="K221" s="3" t="s">
        <v>70</v>
      </c>
      <c r="L221" s="3" t="s">
        <v>56</v>
      </c>
      <c r="M221" s="3" t="s">
        <v>57</v>
      </c>
      <c r="N221" s="3" t="s">
        <v>574</v>
      </c>
      <c r="O221" s="3" t="s">
        <v>59</v>
      </c>
      <c r="P221" s="8">
        <v>37471.199999999997</v>
      </c>
      <c r="Q221" s="44" t="s">
        <v>100</v>
      </c>
      <c r="R221" s="57">
        <f t="shared" si="121"/>
        <v>46132</v>
      </c>
      <c r="S221" s="13" t="s">
        <v>61</v>
      </c>
      <c r="T221" s="35">
        <v>46164</v>
      </c>
      <c r="U221" s="37">
        <v>46164</v>
      </c>
      <c r="V221" s="37">
        <f t="shared" si="99"/>
        <v>46164</v>
      </c>
      <c r="W221" s="59">
        <f t="shared" si="102"/>
        <v>32</v>
      </c>
      <c r="X221" s="59">
        <f t="shared" si="103"/>
        <v>32</v>
      </c>
      <c r="Y221" s="59">
        <f t="shared" si="104"/>
        <v>0</v>
      </c>
      <c r="Z221" s="39"/>
      <c r="AA221" s="4" t="s">
        <v>540</v>
      </c>
      <c r="AB221" s="35">
        <v>46168</v>
      </c>
      <c r="AC221" s="13">
        <v>37471.199999999997</v>
      </c>
      <c r="AD221" s="13">
        <v>7621</v>
      </c>
      <c r="AE221" s="13" t="s">
        <v>63</v>
      </c>
      <c r="AF221" s="35"/>
      <c r="AG221" s="328">
        <v>46175</v>
      </c>
      <c r="AH221" s="339" t="s">
        <v>245</v>
      </c>
      <c r="AI221" s="36" t="e">
        <f>#REF!</f>
        <v>#REF!</v>
      </c>
      <c r="AJ221" s="36">
        <v>0</v>
      </c>
      <c r="AK221" s="142">
        <f t="shared" si="118"/>
        <v>0</v>
      </c>
      <c r="AL221" s="47">
        <v>46175</v>
      </c>
      <c r="AM221" s="153">
        <v>46175</v>
      </c>
      <c r="AN221" s="63">
        <f t="shared" si="115"/>
        <v>46175</v>
      </c>
      <c r="AO221" s="34" t="s">
        <v>103</v>
      </c>
      <c r="AP221" s="64">
        <f t="shared" si="114"/>
        <v>46164</v>
      </c>
      <c r="AQ221" s="64">
        <f t="shared" si="122"/>
        <v>46175</v>
      </c>
      <c r="AR221" s="65">
        <f t="shared" si="106"/>
        <v>32</v>
      </c>
      <c r="AS221" s="65">
        <f t="shared" si="107"/>
        <v>43</v>
      </c>
      <c r="AT221" s="157">
        <f t="shared" si="108"/>
        <v>-11</v>
      </c>
      <c r="AU221" s="13" t="s">
        <v>575</v>
      </c>
      <c r="AV221" s="13" t="s">
        <v>116</v>
      </c>
      <c r="AW221" s="109">
        <f t="shared" si="116"/>
        <v>37471.199999999997</v>
      </c>
      <c r="AX221" s="66">
        <f t="shared" si="119"/>
        <v>0</v>
      </c>
      <c r="AY221" s="66"/>
      <c r="AZ221" s="66">
        <f t="shared" si="120"/>
        <v>0</v>
      </c>
      <c r="BA221" s="30"/>
    </row>
    <row r="222" spans="1:54" ht="21.6" customHeight="1" x14ac:dyDescent="0.3">
      <c r="A222" s="2" t="s">
        <v>192</v>
      </c>
      <c r="B222" s="3" t="s">
        <v>171</v>
      </c>
      <c r="C222" s="3" t="s">
        <v>78</v>
      </c>
      <c r="D222" s="3">
        <v>4600000028</v>
      </c>
      <c r="E222" s="3">
        <v>4500081752</v>
      </c>
      <c r="F222" s="3" t="s">
        <v>53</v>
      </c>
      <c r="G222" s="144">
        <v>533</v>
      </c>
      <c r="H222" s="394">
        <v>46134</v>
      </c>
      <c r="I222" s="50">
        <v>46162</v>
      </c>
      <c r="J222" s="15">
        <f t="shared" si="101"/>
        <v>28</v>
      </c>
      <c r="K222" s="3" t="s">
        <v>55</v>
      </c>
      <c r="L222" s="3" t="s">
        <v>56</v>
      </c>
      <c r="M222" s="3" t="s">
        <v>186</v>
      </c>
      <c r="N222" s="3" t="s">
        <v>576</v>
      </c>
      <c r="O222" s="3" t="s">
        <v>59</v>
      </c>
      <c r="P222" s="8">
        <v>12907.01</v>
      </c>
      <c r="Q222" s="44" t="s">
        <v>100</v>
      </c>
      <c r="R222" s="57">
        <f t="shared" si="121"/>
        <v>46134</v>
      </c>
      <c r="S222" s="13" t="s">
        <v>61</v>
      </c>
      <c r="T222" s="35">
        <v>46157</v>
      </c>
      <c r="U222" s="37">
        <v>46162</v>
      </c>
      <c r="V222" s="37">
        <f t="shared" si="99"/>
        <v>46162</v>
      </c>
      <c r="W222" s="59">
        <f t="shared" si="102"/>
        <v>28</v>
      </c>
      <c r="X222" s="59">
        <f t="shared" si="103"/>
        <v>28</v>
      </c>
      <c r="Y222" s="59">
        <f t="shared" si="104"/>
        <v>0</v>
      </c>
      <c r="Z222" s="39"/>
      <c r="AA222" s="4" t="s">
        <v>543</v>
      </c>
      <c r="AB222" s="35">
        <v>46162</v>
      </c>
      <c r="AC222" s="13">
        <v>12907.01</v>
      </c>
      <c r="AD222" s="13">
        <v>7615</v>
      </c>
      <c r="AE222" s="13" t="s">
        <v>63</v>
      </c>
      <c r="AF222" s="35">
        <v>46169</v>
      </c>
      <c r="AG222" s="3" t="str">
        <f>K222</f>
        <v>FOB</v>
      </c>
      <c r="AH222" s="13" t="s">
        <v>404</v>
      </c>
      <c r="AI222" s="36" t="e">
        <f>#REF!</f>
        <v>#REF!</v>
      </c>
      <c r="AJ222" s="36">
        <v>0</v>
      </c>
      <c r="AK222" s="142">
        <f t="shared" si="118"/>
        <v>0</v>
      </c>
      <c r="AL222" s="47">
        <v>46162</v>
      </c>
      <c r="AM222" s="153">
        <v>46162</v>
      </c>
      <c r="AN222" s="63">
        <f t="shared" si="115"/>
        <v>-7</v>
      </c>
      <c r="AO222" s="34" t="s">
        <v>65</v>
      </c>
      <c r="AP222" s="64">
        <f t="shared" si="114"/>
        <v>46162</v>
      </c>
      <c r="AQ222" s="64">
        <f t="shared" si="122"/>
        <v>46162</v>
      </c>
      <c r="AR222" s="65">
        <f t="shared" si="106"/>
        <v>28</v>
      </c>
      <c r="AS222" s="65">
        <f t="shared" si="107"/>
        <v>28</v>
      </c>
      <c r="AT222" s="157">
        <f t="shared" si="108"/>
        <v>0</v>
      </c>
      <c r="AU222" s="13"/>
      <c r="AV222" s="13"/>
      <c r="AW222" s="109">
        <f t="shared" si="116"/>
        <v>12907.01</v>
      </c>
      <c r="AX222" s="66">
        <f t="shared" si="119"/>
        <v>0</v>
      </c>
      <c r="AY222" s="66"/>
      <c r="AZ222" s="66">
        <f t="shared" si="120"/>
        <v>0</v>
      </c>
      <c r="BA222" s="30"/>
    </row>
    <row r="223" spans="1:54" s="1" customFormat="1" ht="21.6" customHeight="1" x14ac:dyDescent="0.3">
      <c r="A223" s="2" t="s">
        <v>416</v>
      </c>
      <c r="B223" s="3" t="s">
        <v>67</v>
      </c>
      <c r="C223" s="3" t="s">
        <v>78</v>
      </c>
      <c r="D223" s="3" t="s">
        <v>53</v>
      </c>
      <c r="E223" s="3">
        <v>76</v>
      </c>
      <c r="F223" s="3"/>
      <c r="G223" s="144">
        <v>535</v>
      </c>
      <c r="H223" s="394">
        <v>46134</v>
      </c>
      <c r="I223" s="50">
        <v>46161</v>
      </c>
      <c r="J223" s="15">
        <f t="shared" si="101"/>
        <v>27</v>
      </c>
      <c r="K223" s="3" t="s">
        <v>55</v>
      </c>
      <c r="L223" s="3" t="s">
        <v>113</v>
      </c>
      <c r="M223" s="3" t="s">
        <v>72</v>
      </c>
      <c r="N223" s="3"/>
      <c r="O223" s="3" t="s">
        <v>59</v>
      </c>
      <c r="P223" s="8">
        <v>13156.15</v>
      </c>
      <c r="Q223" s="44" t="s">
        <v>100</v>
      </c>
      <c r="R223" s="57">
        <f t="shared" si="121"/>
        <v>46134</v>
      </c>
      <c r="S223" s="13" t="s">
        <v>61</v>
      </c>
      <c r="T223" s="35">
        <v>46164</v>
      </c>
      <c r="U223" s="37">
        <v>46162</v>
      </c>
      <c r="V223" s="37">
        <f t="shared" si="99"/>
        <v>46161</v>
      </c>
      <c r="W223" s="59">
        <f t="shared" si="102"/>
        <v>27</v>
      </c>
      <c r="X223" s="59">
        <f t="shared" si="103"/>
        <v>28</v>
      </c>
      <c r="Y223" s="303">
        <f t="shared" si="104"/>
        <v>-1</v>
      </c>
      <c r="Z223" s="39"/>
      <c r="AA223" s="4" t="s">
        <v>540</v>
      </c>
      <c r="AB223" s="35">
        <v>46162</v>
      </c>
      <c r="AC223" s="352">
        <v>13156.15</v>
      </c>
      <c r="AD223" s="13">
        <v>7611</v>
      </c>
      <c r="AE223" s="13" t="s">
        <v>63</v>
      </c>
      <c r="AF223" s="35">
        <v>46163</v>
      </c>
      <c r="AG223" s="3" t="str">
        <f>K223</f>
        <v>FOB</v>
      </c>
      <c r="AH223" s="13" t="s">
        <v>374</v>
      </c>
      <c r="AI223" s="36" t="e">
        <f>#REF!</f>
        <v>#REF!</v>
      </c>
      <c r="AJ223" s="36">
        <v>0</v>
      </c>
      <c r="AK223" s="142">
        <f t="shared" si="118"/>
        <v>0</v>
      </c>
      <c r="AL223" s="47">
        <v>46160</v>
      </c>
      <c r="AM223" s="153">
        <v>46160</v>
      </c>
      <c r="AN223" s="63">
        <f t="shared" si="115"/>
        <v>-3</v>
      </c>
      <c r="AO223" s="34" t="s">
        <v>65</v>
      </c>
      <c r="AP223" s="64">
        <f t="shared" si="114"/>
        <v>46161</v>
      </c>
      <c r="AQ223" s="64">
        <f t="shared" si="122"/>
        <v>46160</v>
      </c>
      <c r="AR223" s="65">
        <f t="shared" si="106"/>
        <v>27</v>
      </c>
      <c r="AS223" s="65">
        <f t="shared" si="107"/>
        <v>26</v>
      </c>
      <c r="AT223" s="157">
        <f t="shared" si="108"/>
        <v>1</v>
      </c>
      <c r="AU223" s="13"/>
      <c r="AV223" s="13"/>
      <c r="AW223" s="109">
        <f t="shared" si="116"/>
        <v>13156.15</v>
      </c>
      <c r="AX223" s="66">
        <f t="shared" si="119"/>
        <v>0</v>
      </c>
      <c r="AY223" s="66"/>
      <c r="AZ223" s="66">
        <f t="shared" si="120"/>
        <v>0</v>
      </c>
      <c r="BA223" s="33"/>
      <c r="BB223"/>
    </row>
    <row r="224" spans="1:54" ht="21.6" customHeight="1" x14ac:dyDescent="0.3">
      <c r="A224" s="2" t="s">
        <v>90</v>
      </c>
      <c r="B224" s="3" t="s">
        <v>91</v>
      </c>
      <c r="C224" s="3" t="s">
        <v>78</v>
      </c>
      <c r="D224" s="3" t="s">
        <v>53</v>
      </c>
      <c r="E224" s="3">
        <v>4413049980</v>
      </c>
      <c r="F224" s="3" t="s">
        <v>53</v>
      </c>
      <c r="G224" s="144">
        <v>536</v>
      </c>
      <c r="H224" s="394">
        <v>46134</v>
      </c>
      <c r="I224" s="50">
        <v>46153</v>
      </c>
      <c r="J224" s="15">
        <f t="shared" si="101"/>
        <v>19</v>
      </c>
      <c r="K224" s="3" t="s">
        <v>70</v>
      </c>
      <c r="L224" s="3" t="s">
        <v>56</v>
      </c>
      <c r="M224" s="3" t="s">
        <v>92</v>
      </c>
      <c r="N224" s="3" t="s">
        <v>93</v>
      </c>
      <c r="O224" s="3" t="s">
        <v>59</v>
      </c>
      <c r="P224" s="8">
        <v>15996</v>
      </c>
      <c r="Q224" s="44" t="s">
        <v>100</v>
      </c>
      <c r="R224" s="57">
        <f t="shared" si="121"/>
        <v>46134</v>
      </c>
      <c r="S224" s="13" t="s">
        <v>61</v>
      </c>
      <c r="T224" s="35">
        <v>46153</v>
      </c>
      <c r="U224" s="37">
        <v>46153</v>
      </c>
      <c r="V224" s="37">
        <f t="shared" si="99"/>
        <v>46153</v>
      </c>
      <c r="W224" s="59">
        <f t="shared" si="102"/>
        <v>19</v>
      </c>
      <c r="X224" s="59">
        <f t="shared" si="103"/>
        <v>19</v>
      </c>
      <c r="Y224" s="59">
        <f t="shared" si="104"/>
        <v>0</v>
      </c>
      <c r="Z224" s="39"/>
      <c r="AA224" s="4" t="s">
        <v>543</v>
      </c>
      <c r="AB224" s="35">
        <v>46153</v>
      </c>
      <c r="AC224" s="13">
        <v>15996</v>
      </c>
      <c r="AD224" s="13">
        <v>7588</v>
      </c>
      <c r="AE224" s="13" t="s">
        <v>63</v>
      </c>
      <c r="AF224" s="35">
        <v>46153</v>
      </c>
      <c r="AG224" s="3" t="str">
        <f>K224</f>
        <v>CIF</v>
      </c>
      <c r="AH224" s="13" t="s">
        <v>64</v>
      </c>
      <c r="AI224" s="36" t="e">
        <f>#REF!</f>
        <v>#REF!</v>
      </c>
      <c r="AJ224" s="36">
        <v>0</v>
      </c>
      <c r="AK224" s="142">
        <f t="shared" si="118"/>
        <v>0</v>
      </c>
      <c r="AL224" s="47">
        <v>46153</v>
      </c>
      <c r="AM224" s="153">
        <v>46153</v>
      </c>
      <c r="AN224" s="63">
        <f t="shared" si="115"/>
        <v>0</v>
      </c>
      <c r="AO224" s="34" t="s">
        <v>65</v>
      </c>
      <c r="AP224" s="64">
        <f t="shared" si="114"/>
        <v>46153</v>
      </c>
      <c r="AQ224" s="64">
        <f t="shared" si="122"/>
        <v>46153</v>
      </c>
      <c r="AR224" s="65">
        <f t="shared" si="106"/>
        <v>19</v>
      </c>
      <c r="AS224" s="65">
        <f t="shared" si="107"/>
        <v>19</v>
      </c>
      <c r="AT224" s="157">
        <f t="shared" si="108"/>
        <v>0</v>
      </c>
      <c r="AU224" s="13"/>
      <c r="AV224" s="13"/>
      <c r="AW224" s="109">
        <f t="shared" si="116"/>
        <v>15996</v>
      </c>
      <c r="AX224" s="66">
        <f t="shared" si="119"/>
        <v>0</v>
      </c>
      <c r="AY224" s="66"/>
      <c r="AZ224" s="66">
        <f t="shared" si="120"/>
        <v>0</v>
      </c>
      <c r="BA224" s="30"/>
    </row>
    <row r="225" spans="1:54" ht="21.6" customHeight="1" x14ac:dyDescent="0.3">
      <c r="A225" s="2" t="s">
        <v>307</v>
      </c>
      <c r="B225" s="3" t="s">
        <v>91</v>
      </c>
      <c r="C225" s="3" t="s">
        <v>78</v>
      </c>
      <c r="D225" s="3" t="s">
        <v>53</v>
      </c>
      <c r="E225" s="3">
        <v>4501936293</v>
      </c>
      <c r="F225" s="3" t="s">
        <v>53</v>
      </c>
      <c r="G225" s="144">
        <v>543</v>
      </c>
      <c r="H225" s="394">
        <v>46136</v>
      </c>
      <c r="I225" s="50">
        <v>46192</v>
      </c>
      <c r="J225" s="15">
        <f t="shared" si="101"/>
        <v>56</v>
      </c>
      <c r="K225" s="3" t="s">
        <v>55</v>
      </c>
      <c r="L225" s="3" t="s">
        <v>56</v>
      </c>
      <c r="M225" s="3" t="s">
        <v>92</v>
      </c>
      <c r="N225" s="3" t="s">
        <v>577</v>
      </c>
      <c r="O225" s="3" t="s">
        <v>59</v>
      </c>
      <c r="P225" s="8">
        <v>6423.09</v>
      </c>
      <c r="Q225" s="44" t="s">
        <v>100</v>
      </c>
      <c r="R225" s="57">
        <f t="shared" si="121"/>
        <v>46136</v>
      </c>
      <c r="S225" s="13" t="s">
        <v>61</v>
      </c>
      <c r="T225" s="35">
        <v>46157</v>
      </c>
      <c r="U225" s="37">
        <v>46161</v>
      </c>
      <c r="V225" s="37">
        <f t="shared" si="99"/>
        <v>46192</v>
      </c>
      <c r="W225" s="59">
        <f t="shared" si="102"/>
        <v>56</v>
      </c>
      <c r="X225" s="59">
        <f t="shared" si="103"/>
        <v>25</v>
      </c>
      <c r="Y225" s="59">
        <f t="shared" si="104"/>
        <v>31</v>
      </c>
      <c r="Z225" s="39"/>
      <c r="AA225" s="4" t="s">
        <v>543</v>
      </c>
      <c r="AB225" s="35">
        <v>46162</v>
      </c>
      <c r="AC225" s="13">
        <v>6423.09</v>
      </c>
      <c r="AD225" s="13">
        <v>7613</v>
      </c>
      <c r="AE225" s="13" t="s">
        <v>63</v>
      </c>
      <c r="AF225" s="35">
        <v>46163</v>
      </c>
      <c r="AG225" s="3" t="s">
        <v>55</v>
      </c>
      <c r="AH225" s="13" t="s">
        <v>307</v>
      </c>
      <c r="AI225" s="36" t="e">
        <f>#REF!</f>
        <v>#REF!</v>
      </c>
      <c r="AJ225" s="36">
        <v>0</v>
      </c>
      <c r="AK225" s="142">
        <f t="shared" si="118"/>
        <v>0</v>
      </c>
      <c r="AL225" s="47">
        <v>46161</v>
      </c>
      <c r="AM225" s="153">
        <v>46161</v>
      </c>
      <c r="AN225" s="63">
        <f t="shared" si="115"/>
        <v>-2</v>
      </c>
      <c r="AO225" s="34" t="s">
        <v>65</v>
      </c>
      <c r="AP225" s="64">
        <f t="shared" si="114"/>
        <v>46192</v>
      </c>
      <c r="AQ225" s="64">
        <f t="shared" si="122"/>
        <v>46161</v>
      </c>
      <c r="AR225" s="65">
        <f t="shared" si="106"/>
        <v>56</v>
      </c>
      <c r="AS225" s="65">
        <f t="shared" si="107"/>
        <v>25</v>
      </c>
      <c r="AT225" s="157">
        <f t="shared" si="108"/>
        <v>31</v>
      </c>
      <c r="AU225" s="13"/>
      <c r="AV225" s="13"/>
      <c r="AW225" s="109">
        <f t="shared" si="116"/>
        <v>6423.09</v>
      </c>
      <c r="AX225" s="66">
        <f t="shared" si="119"/>
        <v>0</v>
      </c>
      <c r="AY225" s="66"/>
      <c r="AZ225" s="66">
        <f t="shared" si="120"/>
        <v>0</v>
      </c>
      <c r="BA225" s="30"/>
    </row>
    <row r="226" spans="1:54" ht="21.6" customHeight="1" x14ac:dyDescent="0.3">
      <c r="A226" s="2" t="s">
        <v>578</v>
      </c>
      <c r="B226" s="3" t="s">
        <v>77</v>
      </c>
      <c r="C226" s="3" t="s">
        <v>52</v>
      </c>
      <c r="D226" s="3" t="s">
        <v>53</v>
      </c>
      <c r="E226" s="3">
        <v>4500265563</v>
      </c>
      <c r="F226" s="3" t="s">
        <v>579</v>
      </c>
      <c r="G226" s="144">
        <v>544</v>
      </c>
      <c r="H226" s="394">
        <v>46136</v>
      </c>
      <c r="I226" s="50">
        <v>46161</v>
      </c>
      <c r="J226" s="15">
        <f t="shared" si="101"/>
        <v>25</v>
      </c>
      <c r="K226" s="3" t="s">
        <v>55</v>
      </c>
      <c r="L226" s="3" t="s">
        <v>56</v>
      </c>
      <c r="M226" s="3" t="s">
        <v>208</v>
      </c>
      <c r="N226" s="3" t="s">
        <v>580</v>
      </c>
      <c r="O226" s="3" t="s">
        <v>59</v>
      </c>
      <c r="P226" s="8">
        <v>61167.78</v>
      </c>
      <c r="Q226" s="44" t="s">
        <v>60</v>
      </c>
      <c r="R226" s="57">
        <f t="shared" si="121"/>
        <v>46136</v>
      </c>
      <c r="S226" s="13" t="s">
        <v>61</v>
      </c>
      <c r="T226" s="35">
        <v>46157</v>
      </c>
      <c r="U226" s="37">
        <v>46160</v>
      </c>
      <c r="V226" s="37">
        <v>46161</v>
      </c>
      <c r="W226" s="59">
        <f t="shared" si="102"/>
        <v>25</v>
      </c>
      <c r="X226" s="59">
        <f t="shared" si="103"/>
        <v>24</v>
      </c>
      <c r="Y226" s="59">
        <f t="shared" si="104"/>
        <v>1</v>
      </c>
      <c r="Z226" s="39"/>
      <c r="AA226" s="4" t="s">
        <v>543</v>
      </c>
      <c r="AB226" s="35">
        <v>46161</v>
      </c>
      <c r="AC226" s="13">
        <v>61167.78</v>
      </c>
      <c r="AD226" s="13">
        <v>7608</v>
      </c>
      <c r="AE226" s="13" t="s">
        <v>63</v>
      </c>
      <c r="AF226" s="35">
        <v>46183</v>
      </c>
      <c r="AG226" s="3" t="str">
        <f t="shared" ref="AG226:AG231" si="123">K226</f>
        <v>FOB</v>
      </c>
      <c r="AH226" s="13" t="s">
        <v>127</v>
      </c>
      <c r="AI226" s="36" t="e">
        <f>#REF!</f>
        <v>#REF!</v>
      </c>
      <c r="AJ226" s="36">
        <v>0</v>
      </c>
      <c r="AK226" s="142">
        <f t="shared" si="118"/>
        <v>0</v>
      </c>
      <c r="AL226" s="47">
        <v>46160</v>
      </c>
      <c r="AM226" s="153">
        <v>46160</v>
      </c>
      <c r="AN226" s="63">
        <f t="shared" si="115"/>
        <v>-23</v>
      </c>
      <c r="AO226" s="34" t="s">
        <v>65</v>
      </c>
      <c r="AP226" s="64">
        <f t="shared" si="114"/>
        <v>46161</v>
      </c>
      <c r="AQ226" s="64">
        <f t="shared" si="122"/>
        <v>46160</v>
      </c>
      <c r="AR226" s="65">
        <f t="shared" si="106"/>
        <v>25</v>
      </c>
      <c r="AS226" s="65">
        <f t="shared" si="107"/>
        <v>24</v>
      </c>
      <c r="AT226" s="157">
        <f t="shared" si="108"/>
        <v>1</v>
      </c>
      <c r="AU226" s="13"/>
      <c r="AV226" s="13"/>
      <c r="AW226" s="109">
        <f t="shared" si="116"/>
        <v>61167.78</v>
      </c>
      <c r="AX226" s="66">
        <f t="shared" si="119"/>
        <v>0</v>
      </c>
      <c r="AY226" s="66"/>
      <c r="AZ226" s="66">
        <f t="shared" si="120"/>
        <v>0</v>
      </c>
      <c r="BA226" s="30"/>
    </row>
    <row r="227" spans="1:54" ht="21.6" customHeight="1" x14ac:dyDescent="0.3">
      <c r="A227" s="2" t="s">
        <v>581</v>
      </c>
      <c r="B227" s="3" t="s">
        <v>96</v>
      </c>
      <c r="C227" s="3" t="s">
        <v>78</v>
      </c>
      <c r="D227" s="3"/>
      <c r="E227" s="3">
        <v>4501859254</v>
      </c>
      <c r="F227" s="3"/>
      <c r="G227" s="144">
        <v>546</v>
      </c>
      <c r="H227" s="394">
        <v>46136</v>
      </c>
      <c r="I227" s="50">
        <v>46164</v>
      </c>
      <c r="J227" s="15">
        <f t="shared" si="101"/>
        <v>28</v>
      </c>
      <c r="K227" s="3" t="s">
        <v>55</v>
      </c>
      <c r="L227" s="3" t="s">
        <v>56</v>
      </c>
      <c r="M227" s="3" t="s">
        <v>98</v>
      </c>
      <c r="N227" s="3" t="s">
        <v>582</v>
      </c>
      <c r="O227" s="3" t="s">
        <v>59</v>
      </c>
      <c r="P227" s="8">
        <v>1849.14</v>
      </c>
      <c r="Q227" s="44" t="s">
        <v>100</v>
      </c>
      <c r="R227" s="57">
        <f t="shared" si="121"/>
        <v>46136</v>
      </c>
      <c r="S227" s="13" t="s">
        <v>61</v>
      </c>
      <c r="T227" s="35">
        <v>46153</v>
      </c>
      <c r="U227" s="37">
        <v>46154</v>
      </c>
      <c r="V227" s="37">
        <f t="shared" ref="V227:V243" si="124">I227</f>
        <v>46164</v>
      </c>
      <c r="W227" s="59">
        <f t="shared" si="102"/>
        <v>28</v>
      </c>
      <c r="X227" s="59">
        <f t="shared" si="103"/>
        <v>18</v>
      </c>
      <c r="Y227" s="59">
        <f t="shared" si="104"/>
        <v>10</v>
      </c>
      <c r="Z227" s="39"/>
      <c r="AA227" s="4" t="s">
        <v>559</v>
      </c>
      <c r="AB227" s="35">
        <v>46156</v>
      </c>
      <c r="AC227" s="13">
        <v>1849.14</v>
      </c>
      <c r="AD227" s="13">
        <v>7594</v>
      </c>
      <c r="AE227" s="13" t="s">
        <v>63</v>
      </c>
      <c r="AF227" s="35">
        <v>46164</v>
      </c>
      <c r="AG227" s="3" t="str">
        <f t="shared" si="123"/>
        <v>FOB</v>
      </c>
      <c r="AH227" s="13" t="s">
        <v>583</v>
      </c>
      <c r="AI227" s="36" t="e">
        <f>#REF!</f>
        <v>#REF!</v>
      </c>
      <c r="AJ227" s="36">
        <v>0</v>
      </c>
      <c r="AK227" s="142">
        <f t="shared" si="118"/>
        <v>0</v>
      </c>
      <c r="AL227" s="47">
        <v>46154</v>
      </c>
      <c r="AM227" s="153">
        <v>46154</v>
      </c>
      <c r="AN227" s="63">
        <f t="shared" si="115"/>
        <v>-10</v>
      </c>
      <c r="AO227" s="34" t="s">
        <v>65</v>
      </c>
      <c r="AP227" s="64">
        <f t="shared" si="114"/>
        <v>46164</v>
      </c>
      <c r="AQ227" s="64">
        <f t="shared" si="122"/>
        <v>46154</v>
      </c>
      <c r="AR227" s="65">
        <f t="shared" si="106"/>
        <v>28</v>
      </c>
      <c r="AS227" s="65">
        <f t="shared" si="107"/>
        <v>18</v>
      </c>
      <c r="AT227" s="157">
        <f t="shared" si="108"/>
        <v>10</v>
      </c>
      <c r="AU227" s="13"/>
      <c r="AV227" s="13"/>
      <c r="AW227" s="109">
        <f t="shared" si="116"/>
        <v>1849.14</v>
      </c>
      <c r="AX227" s="66">
        <f t="shared" si="119"/>
        <v>0</v>
      </c>
      <c r="AY227" s="66"/>
      <c r="AZ227" s="66">
        <f t="shared" si="120"/>
        <v>0</v>
      </c>
      <c r="BA227" s="30"/>
    </row>
    <row r="228" spans="1:54" ht="21.6" customHeight="1" x14ac:dyDescent="0.3">
      <c r="A228" s="2" t="s">
        <v>301</v>
      </c>
      <c r="B228" s="3" t="s">
        <v>51</v>
      </c>
      <c r="C228" s="3" t="s">
        <v>78</v>
      </c>
      <c r="D228" s="3" t="s">
        <v>53</v>
      </c>
      <c r="E228" s="3">
        <v>5000004506</v>
      </c>
      <c r="F228" s="3" t="s">
        <v>584</v>
      </c>
      <c r="G228" s="144">
        <v>547</v>
      </c>
      <c r="H228" s="394">
        <v>46139</v>
      </c>
      <c r="I228" s="50">
        <v>46185</v>
      </c>
      <c r="J228" s="15">
        <f t="shared" si="101"/>
        <v>46</v>
      </c>
      <c r="K228" s="3" t="s">
        <v>55</v>
      </c>
      <c r="L228" s="3" t="s">
        <v>56</v>
      </c>
      <c r="M228" s="3" t="s">
        <v>57</v>
      </c>
      <c r="N228" s="3" t="s">
        <v>197</v>
      </c>
      <c r="O228" s="3" t="s">
        <v>59</v>
      </c>
      <c r="P228" s="8">
        <v>17848.09</v>
      </c>
      <c r="Q228" s="44" t="s">
        <v>100</v>
      </c>
      <c r="R228" s="57">
        <f t="shared" si="121"/>
        <v>46139</v>
      </c>
      <c r="S228" s="13" t="s">
        <v>61</v>
      </c>
      <c r="T228" s="35">
        <v>46183</v>
      </c>
      <c r="U228" s="37">
        <v>46183</v>
      </c>
      <c r="V228" s="37">
        <f t="shared" si="124"/>
        <v>46185</v>
      </c>
      <c r="W228" s="59">
        <f t="shared" si="102"/>
        <v>46</v>
      </c>
      <c r="X228" s="59">
        <f t="shared" si="103"/>
        <v>44</v>
      </c>
      <c r="Y228" s="59">
        <f t="shared" si="104"/>
        <v>2</v>
      </c>
      <c r="Z228" s="39"/>
      <c r="AA228" s="4" t="s">
        <v>585</v>
      </c>
      <c r="AB228" s="35">
        <v>46184</v>
      </c>
      <c r="AC228" s="352">
        <v>17848.09</v>
      </c>
      <c r="AD228" s="13">
        <v>7671</v>
      </c>
      <c r="AE228" s="13" t="s">
        <v>63</v>
      </c>
      <c r="AF228" s="35">
        <v>46192</v>
      </c>
      <c r="AG228" s="3" t="str">
        <f t="shared" si="123"/>
        <v>FOB</v>
      </c>
      <c r="AH228" s="13" t="s">
        <v>301</v>
      </c>
      <c r="AI228" s="36" t="e">
        <f>#REF!</f>
        <v>#REF!</v>
      </c>
      <c r="AJ228" s="36">
        <v>0</v>
      </c>
      <c r="AK228" s="142">
        <f t="shared" si="118"/>
        <v>0</v>
      </c>
      <c r="AL228" s="47"/>
      <c r="AM228" s="153">
        <v>46183</v>
      </c>
      <c r="AN228" s="63">
        <f t="shared" si="115"/>
        <v>-9</v>
      </c>
      <c r="AO228" s="34" t="s">
        <v>65</v>
      </c>
      <c r="AP228" s="64">
        <f t="shared" si="114"/>
        <v>46185</v>
      </c>
      <c r="AQ228" s="64">
        <f t="shared" si="122"/>
        <v>46183</v>
      </c>
      <c r="AR228" s="65">
        <f t="shared" si="106"/>
        <v>46</v>
      </c>
      <c r="AS228" s="65">
        <f t="shared" si="107"/>
        <v>44</v>
      </c>
      <c r="AT228" s="157">
        <f t="shared" si="108"/>
        <v>2</v>
      </c>
      <c r="AU228" s="13"/>
      <c r="AV228" s="13"/>
      <c r="AW228" s="109">
        <f t="shared" si="116"/>
        <v>17848.09</v>
      </c>
      <c r="AX228" s="66">
        <f t="shared" si="119"/>
        <v>0</v>
      </c>
      <c r="AY228" s="66"/>
      <c r="AZ228" s="66">
        <f t="shared" si="120"/>
        <v>0</v>
      </c>
      <c r="BA228" s="30"/>
    </row>
    <row r="229" spans="1:54" ht="21.6" customHeight="1" x14ac:dyDescent="0.3">
      <c r="A229" s="2" t="s">
        <v>90</v>
      </c>
      <c r="B229" s="3" t="s">
        <v>91</v>
      </c>
      <c r="C229" s="3" t="s">
        <v>78</v>
      </c>
      <c r="D229" s="3" t="s">
        <v>586</v>
      </c>
      <c r="E229" s="3">
        <v>4413095460</v>
      </c>
      <c r="F229" s="3" t="s">
        <v>586</v>
      </c>
      <c r="G229" s="144">
        <v>548</v>
      </c>
      <c r="H229" s="394">
        <v>46139</v>
      </c>
      <c r="I229" s="50">
        <v>46156</v>
      </c>
      <c r="J229" s="15">
        <f t="shared" si="101"/>
        <v>17</v>
      </c>
      <c r="K229" s="3" t="s">
        <v>70</v>
      </c>
      <c r="L229" s="3" t="s">
        <v>56</v>
      </c>
      <c r="M229" s="3" t="s">
        <v>92</v>
      </c>
      <c r="N229" s="3" t="s">
        <v>93</v>
      </c>
      <c r="O229" s="3" t="s">
        <v>59</v>
      </c>
      <c r="P229" s="8">
        <v>2226</v>
      </c>
      <c r="Q229" s="44" t="s">
        <v>100</v>
      </c>
      <c r="R229" s="57">
        <f t="shared" si="121"/>
        <v>46139</v>
      </c>
      <c r="S229" s="13" t="s">
        <v>61</v>
      </c>
      <c r="T229" s="35">
        <v>46156</v>
      </c>
      <c r="U229" s="37">
        <v>46153</v>
      </c>
      <c r="V229" s="37">
        <f t="shared" si="124"/>
        <v>46156</v>
      </c>
      <c r="W229" s="59">
        <f t="shared" si="102"/>
        <v>17</v>
      </c>
      <c r="X229" s="59">
        <f t="shared" si="103"/>
        <v>14</v>
      </c>
      <c r="Y229" s="59">
        <f t="shared" si="104"/>
        <v>3</v>
      </c>
      <c r="Z229" s="39"/>
      <c r="AA229" s="4" t="s">
        <v>543</v>
      </c>
      <c r="AB229" s="35">
        <v>46153</v>
      </c>
      <c r="AC229" s="13">
        <v>2226</v>
      </c>
      <c r="AD229" s="13">
        <v>7587</v>
      </c>
      <c r="AE229" s="13" t="s">
        <v>63</v>
      </c>
      <c r="AF229" s="35">
        <v>46153</v>
      </c>
      <c r="AG229" s="3" t="str">
        <f t="shared" si="123"/>
        <v>CIF</v>
      </c>
      <c r="AH229" s="13" t="s">
        <v>64</v>
      </c>
      <c r="AI229" s="36" t="e">
        <f>#REF!</f>
        <v>#REF!</v>
      </c>
      <c r="AJ229" s="36">
        <v>0</v>
      </c>
      <c r="AK229" s="142">
        <f t="shared" si="118"/>
        <v>0</v>
      </c>
      <c r="AL229" s="47">
        <v>46154</v>
      </c>
      <c r="AM229" s="153">
        <v>46154</v>
      </c>
      <c r="AN229" s="63">
        <f t="shared" si="115"/>
        <v>1</v>
      </c>
      <c r="AO229" s="34" t="s">
        <v>65</v>
      </c>
      <c r="AP229" s="64">
        <f t="shared" si="114"/>
        <v>46156</v>
      </c>
      <c r="AQ229" s="64">
        <f t="shared" si="122"/>
        <v>46154</v>
      </c>
      <c r="AR229" s="65">
        <f t="shared" si="106"/>
        <v>17</v>
      </c>
      <c r="AS229" s="65">
        <f t="shared" si="107"/>
        <v>15</v>
      </c>
      <c r="AT229" s="157">
        <f t="shared" si="108"/>
        <v>2</v>
      </c>
      <c r="AU229" s="13"/>
      <c r="AV229" s="13"/>
      <c r="AW229" s="109">
        <f t="shared" si="116"/>
        <v>2226</v>
      </c>
      <c r="AX229" s="66">
        <f t="shared" si="119"/>
        <v>0</v>
      </c>
      <c r="AY229" s="66"/>
      <c r="AZ229" s="66">
        <f t="shared" si="120"/>
        <v>0</v>
      </c>
      <c r="BA229" s="30"/>
    </row>
    <row r="230" spans="1:54" s="179" customFormat="1" ht="21.6" customHeight="1" x14ac:dyDescent="0.45">
      <c r="A230" s="2" t="s">
        <v>416</v>
      </c>
      <c r="B230" s="3" t="s">
        <v>67</v>
      </c>
      <c r="C230" s="3" t="s">
        <v>78</v>
      </c>
      <c r="D230" s="3"/>
      <c r="E230" s="3">
        <v>77</v>
      </c>
      <c r="F230" s="3" t="s">
        <v>553</v>
      </c>
      <c r="G230" s="144">
        <v>549</v>
      </c>
      <c r="H230" s="394">
        <v>46139</v>
      </c>
      <c r="I230" s="330">
        <v>46167</v>
      </c>
      <c r="J230" s="15">
        <f t="shared" si="101"/>
        <v>28</v>
      </c>
      <c r="K230" s="3" t="s">
        <v>55</v>
      </c>
      <c r="L230" s="3" t="s">
        <v>113</v>
      </c>
      <c r="M230" s="3" t="s">
        <v>72</v>
      </c>
      <c r="N230" s="3"/>
      <c r="O230" s="3" t="s">
        <v>59</v>
      </c>
      <c r="P230" s="8">
        <v>117666.87</v>
      </c>
      <c r="Q230" s="44" t="s">
        <v>60</v>
      </c>
      <c r="R230" s="57">
        <f t="shared" si="121"/>
        <v>46139</v>
      </c>
      <c r="S230" s="13" t="s">
        <v>61</v>
      </c>
      <c r="T230" s="35">
        <v>46164</v>
      </c>
      <c r="U230" s="37">
        <v>46169</v>
      </c>
      <c r="V230" s="37">
        <f t="shared" si="124"/>
        <v>46167</v>
      </c>
      <c r="W230" s="59">
        <f t="shared" si="102"/>
        <v>28</v>
      </c>
      <c r="X230" s="59">
        <f t="shared" si="103"/>
        <v>30</v>
      </c>
      <c r="Y230" s="59">
        <f t="shared" si="104"/>
        <v>-2</v>
      </c>
      <c r="Z230" s="39"/>
      <c r="AA230" s="4" t="s">
        <v>535</v>
      </c>
      <c r="AB230" s="35">
        <v>46170</v>
      </c>
      <c r="AC230" s="352">
        <v>117666.87</v>
      </c>
      <c r="AD230" s="13">
        <v>7637</v>
      </c>
      <c r="AE230" s="13" t="s">
        <v>63</v>
      </c>
      <c r="AF230" s="35">
        <v>46174</v>
      </c>
      <c r="AG230" s="3" t="str">
        <f t="shared" si="123"/>
        <v>FOB</v>
      </c>
      <c r="AH230" s="28" t="s">
        <v>587</v>
      </c>
      <c r="AI230" s="36" t="e">
        <f>#REF!</f>
        <v>#REF!</v>
      </c>
      <c r="AJ230" s="36">
        <v>0</v>
      </c>
      <c r="AK230" s="142">
        <f t="shared" si="118"/>
        <v>0</v>
      </c>
      <c r="AL230" s="47">
        <v>46170</v>
      </c>
      <c r="AM230" s="155">
        <v>46169</v>
      </c>
      <c r="AN230" s="63">
        <f t="shared" si="115"/>
        <v>-5</v>
      </c>
      <c r="AO230" s="34" t="s">
        <v>103</v>
      </c>
      <c r="AP230" s="64">
        <f t="shared" si="114"/>
        <v>46167</v>
      </c>
      <c r="AQ230" s="64">
        <f t="shared" si="122"/>
        <v>46169</v>
      </c>
      <c r="AR230" s="65">
        <f t="shared" si="106"/>
        <v>28</v>
      </c>
      <c r="AS230" s="65">
        <f t="shared" si="107"/>
        <v>30</v>
      </c>
      <c r="AT230" s="157">
        <f t="shared" si="108"/>
        <v>-2</v>
      </c>
      <c r="AU230" s="13" t="s">
        <v>475</v>
      </c>
      <c r="AV230" s="13" t="s">
        <v>116</v>
      </c>
      <c r="AW230" s="109">
        <f t="shared" si="116"/>
        <v>117666.87</v>
      </c>
      <c r="AX230" s="66">
        <f t="shared" si="119"/>
        <v>0</v>
      </c>
      <c r="AY230" s="66"/>
      <c r="AZ230" s="66">
        <f t="shared" si="120"/>
        <v>0</v>
      </c>
      <c r="BA230" s="30"/>
      <c r="BB230"/>
    </row>
    <row r="231" spans="1:54" ht="21.6" customHeight="1" x14ac:dyDescent="0.3">
      <c r="A231" s="2" t="s">
        <v>95</v>
      </c>
      <c r="B231" s="3" t="s">
        <v>96</v>
      </c>
      <c r="C231" s="3" t="s">
        <v>78</v>
      </c>
      <c r="D231" s="3" t="s">
        <v>97</v>
      </c>
      <c r="E231" s="3">
        <v>4500012539</v>
      </c>
      <c r="F231" s="3"/>
      <c r="G231" s="144">
        <v>550</v>
      </c>
      <c r="H231" s="394">
        <v>46139</v>
      </c>
      <c r="I231" s="50">
        <v>46174</v>
      </c>
      <c r="J231" s="15">
        <f t="shared" si="101"/>
        <v>35</v>
      </c>
      <c r="K231" s="3" t="s">
        <v>70</v>
      </c>
      <c r="L231" s="3" t="s">
        <v>56</v>
      </c>
      <c r="M231" s="3" t="s">
        <v>98</v>
      </c>
      <c r="N231" s="3" t="s">
        <v>99</v>
      </c>
      <c r="O231" s="3" t="s">
        <v>59</v>
      </c>
      <c r="P231" s="8">
        <v>83224.7</v>
      </c>
      <c r="Q231" s="44" t="s">
        <v>60</v>
      </c>
      <c r="R231" s="57">
        <f t="shared" si="121"/>
        <v>46139</v>
      </c>
      <c r="S231" s="13" t="s">
        <v>61</v>
      </c>
      <c r="T231" s="35">
        <v>46164</v>
      </c>
      <c r="U231" s="37">
        <v>46169</v>
      </c>
      <c r="V231" s="37">
        <f t="shared" si="124"/>
        <v>46174</v>
      </c>
      <c r="W231" s="59">
        <f t="shared" si="102"/>
        <v>35</v>
      </c>
      <c r="X231" s="59">
        <f t="shared" si="103"/>
        <v>30</v>
      </c>
      <c r="Y231" s="59">
        <f t="shared" si="104"/>
        <v>5</v>
      </c>
      <c r="Z231" s="39"/>
      <c r="AA231" s="4" t="s">
        <v>540</v>
      </c>
      <c r="AB231" s="35">
        <v>46168</v>
      </c>
      <c r="AC231" s="13">
        <v>83224.7</v>
      </c>
      <c r="AD231" s="13">
        <v>7629</v>
      </c>
      <c r="AE231" s="13" t="s">
        <v>63</v>
      </c>
      <c r="AF231" s="35">
        <v>46171</v>
      </c>
      <c r="AG231" s="3" t="str">
        <f t="shared" si="123"/>
        <v>CIF</v>
      </c>
      <c r="AH231" s="304" t="s">
        <v>588</v>
      </c>
      <c r="AI231" s="36" t="e">
        <f>#REF!</f>
        <v>#REF!</v>
      </c>
      <c r="AJ231" s="36">
        <v>0</v>
      </c>
      <c r="AK231" s="142">
        <f t="shared" si="118"/>
        <v>0</v>
      </c>
      <c r="AL231" s="47"/>
      <c r="AM231" s="153">
        <v>46171</v>
      </c>
      <c r="AN231" s="63">
        <f t="shared" si="115"/>
        <v>0</v>
      </c>
      <c r="AO231" s="34" t="s">
        <v>65</v>
      </c>
      <c r="AP231" s="64">
        <f t="shared" si="114"/>
        <v>46174</v>
      </c>
      <c r="AQ231" s="64">
        <f t="shared" si="122"/>
        <v>46171</v>
      </c>
      <c r="AR231" s="65">
        <f t="shared" si="106"/>
        <v>35</v>
      </c>
      <c r="AS231" s="65">
        <f t="shared" si="107"/>
        <v>32</v>
      </c>
      <c r="AT231" s="157">
        <f t="shared" si="108"/>
        <v>3</v>
      </c>
      <c r="AU231" s="13"/>
      <c r="AV231" s="13"/>
      <c r="AW231" s="109">
        <f t="shared" si="116"/>
        <v>83224.7</v>
      </c>
      <c r="AX231" s="66">
        <f t="shared" si="119"/>
        <v>0</v>
      </c>
      <c r="AY231" s="66"/>
      <c r="AZ231" s="66">
        <f t="shared" si="120"/>
        <v>0</v>
      </c>
      <c r="BA231" s="30"/>
      <c r="BB231" s="179"/>
    </row>
    <row r="232" spans="1:54" s="1" customFormat="1" ht="21.6" customHeight="1" x14ac:dyDescent="0.3">
      <c r="A232" s="2" t="s">
        <v>589</v>
      </c>
      <c r="B232" s="3" t="s">
        <v>163</v>
      </c>
      <c r="C232" s="3" t="s">
        <v>78</v>
      </c>
      <c r="D232" s="3"/>
      <c r="E232" s="3">
        <v>34387</v>
      </c>
      <c r="F232" s="3" t="s">
        <v>590</v>
      </c>
      <c r="G232" s="144">
        <v>551</v>
      </c>
      <c r="H232" s="394">
        <v>46140</v>
      </c>
      <c r="I232" s="50">
        <v>46172</v>
      </c>
      <c r="J232" s="15">
        <f t="shared" si="101"/>
        <v>32</v>
      </c>
      <c r="K232" s="3" t="s">
        <v>70</v>
      </c>
      <c r="L232" s="3" t="s">
        <v>56</v>
      </c>
      <c r="M232" s="3" t="s">
        <v>242</v>
      </c>
      <c r="N232" s="3" t="s">
        <v>591</v>
      </c>
      <c r="O232" s="3" t="s">
        <v>59</v>
      </c>
      <c r="P232" s="8">
        <v>27490.77</v>
      </c>
      <c r="Q232" s="44" t="s">
        <v>100</v>
      </c>
      <c r="R232" s="57">
        <f t="shared" si="121"/>
        <v>46140</v>
      </c>
      <c r="S232" s="13" t="s">
        <v>61</v>
      </c>
      <c r="T232" s="35">
        <v>46164</v>
      </c>
      <c r="U232" s="37">
        <v>46168</v>
      </c>
      <c r="V232" s="37">
        <f t="shared" si="124"/>
        <v>46172</v>
      </c>
      <c r="W232" s="59">
        <f t="shared" si="102"/>
        <v>32</v>
      </c>
      <c r="X232" s="59">
        <f t="shared" si="103"/>
        <v>28</v>
      </c>
      <c r="Y232" s="59">
        <f t="shared" si="104"/>
        <v>4</v>
      </c>
      <c r="Z232" s="39"/>
      <c r="AA232" s="4" t="s">
        <v>540</v>
      </c>
      <c r="AB232" s="35">
        <v>46168</v>
      </c>
      <c r="AC232" s="32">
        <v>27490.77</v>
      </c>
      <c r="AD232" s="32">
        <v>7627</v>
      </c>
      <c r="AE232" s="32" t="s">
        <v>63</v>
      </c>
      <c r="AF232" s="35">
        <v>46169</v>
      </c>
      <c r="AG232" s="3" t="s">
        <v>70</v>
      </c>
      <c r="AH232" s="242" t="s">
        <v>102</v>
      </c>
      <c r="AI232" s="36"/>
      <c r="AJ232" s="36"/>
      <c r="AK232" s="142"/>
      <c r="AL232" s="47"/>
      <c r="AM232" s="153">
        <v>46176</v>
      </c>
      <c r="AN232" s="63"/>
      <c r="AO232" s="34" t="s">
        <v>103</v>
      </c>
      <c r="AP232" s="64">
        <f t="shared" ref="AP232:AP258" si="125">I232</f>
        <v>46172</v>
      </c>
      <c r="AQ232" s="64">
        <f t="shared" si="122"/>
        <v>46176</v>
      </c>
      <c r="AR232" s="65">
        <f t="shared" si="106"/>
        <v>32</v>
      </c>
      <c r="AS232" s="65">
        <f t="shared" si="107"/>
        <v>36</v>
      </c>
      <c r="AT232" s="157">
        <f t="shared" si="108"/>
        <v>-4</v>
      </c>
      <c r="AU232" s="13" t="s">
        <v>475</v>
      </c>
      <c r="AV232" s="13" t="s">
        <v>116</v>
      </c>
      <c r="AW232" s="109">
        <f t="shared" si="116"/>
        <v>27490.77</v>
      </c>
      <c r="AX232" s="66"/>
      <c r="AY232" s="66"/>
      <c r="AZ232" s="66"/>
      <c r="BA232" s="30"/>
      <c r="BB232"/>
    </row>
    <row r="233" spans="1:54" ht="21.6" customHeight="1" x14ac:dyDescent="0.3">
      <c r="A233" s="2" t="s">
        <v>202</v>
      </c>
      <c r="B233" s="3" t="s">
        <v>51</v>
      </c>
      <c r="C233" s="3" t="s">
        <v>78</v>
      </c>
      <c r="D233" s="3" t="s">
        <v>53</v>
      </c>
      <c r="E233" s="3">
        <v>1954</v>
      </c>
      <c r="F233" s="3" t="s">
        <v>592</v>
      </c>
      <c r="G233" s="144">
        <v>553</v>
      </c>
      <c r="H233" s="394">
        <v>46140</v>
      </c>
      <c r="I233" s="50">
        <v>46171</v>
      </c>
      <c r="J233" s="15">
        <f t="shared" si="101"/>
        <v>31</v>
      </c>
      <c r="K233" s="3" t="s">
        <v>55</v>
      </c>
      <c r="L233" s="3" t="s">
        <v>56</v>
      </c>
      <c r="M233" s="3" t="s">
        <v>57</v>
      </c>
      <c r="N233" s="3" t="s">
        <v>315</v>
      </c>
      <c r="O233" s="3" t="s">
        <v>59</v>
      </c>
      <c r="P233" s="8">
        <v>1722.64</v>
      </c>
      <c r="Q233" s="44" t="s">
        <v>100</v>
      </c>
      <c r="R233" s="57">
        <f t="shared" si="121"/>
        <v>46140</v>
      </c>
      <c r="S233" s="13" t="s">
        <v>61</v>
      </c>
      <c r="T233" s="35">
        <v>46164</v>
      </c>
      <c r="U233" s="37">
        <v>46164</v>
      </c>
      <c r="V233" s="37">
        <f t="shared" si="124"/>
        <v>46171</v>
      </c>
      <c r="W233" s="59">
        <f t="shared" si="102"/>
        <v>31</v>
      </c>
      <c r="X233" s="59">
        <f t="shared" si="103"/>
        <v>24</v>
      </c>
      <c r="Y233" s="59">
        <f t="shared" si="104"/>
        <v>7</v>
      </c>
      <c r="Z233" s="39"/>
      <c r="AA233" s="4" t="s">
        <v>540</v>
      </c>
      <c r="AB233" s="35">
        <v>46168</v>
      </c>
      <c r="AC233" s="13">
        <v>1722.64</v>
      </c>
      <c r="AD233" s="13">
        <v>7622</v>
      </c>
      <c r="AE233" s="13" t="s">
        <v>63</v>
      </c>
      <c r="AF233" s="35">
        <v>46176</v>
      </c>
      <c r="AG233" s="3" t="str">
        <f>K233</f>
        <v>FOB</v>
      </c>
      <c r="AH233" s="242" t="s">
        <v>127</v>
      </c>
      <c r="AI233" s="36" t="e">
        <f>#REF!</f>
        <v>#REF!</v>
      </c>
      <c r="AJ233" s="36">
        <v>0</v>
      </c>
      <c r="AK233" s="142">
        <f t="shared" ref="AK233:AK256" si="126">AJ233/AC233</f>
        <v>0</v>
      </c>
      <c r="AL233" s="47">
        <v>46168</v>
      </c>
      <c r="AM233" s="153">
        <v>46168</v>
      </c>
      <c r="AN233" s="63">
        <f t="shared" ref="AN233:AN256" si="127">AM233-AF233</f>
        <v>-8</v>
      </c>
      <c r="AO233" s="34" t="s">
        <v>65</v>
      </c>
      <c r="AP233" s="64">
        <f t="shared" si="125"/>
        <v>46171</v>
      </c>
      <c r="AQ233" s="64">
        <f t="shared" si="122"/>
        <v>46168</v>
      </c>
      <c r="AR233" s="65">
        <f t="shared" si="106"/>
        <v>31</v>
      </c>
      <c r="AS233" s="65">
        <f t="shared" si="107"/>
        <v>28</v>
      </c>
      <c r="AT233" s="157">
        <f t="shared" si="108"/>
        <v>3</v>
      </c>
      <c r="AU233" s="13"/>
      <c r="AV233" s="13"/>
      <c r="AW233" s="109">
        <f t="shared" si="116"/>
        <v>1722.64</v>
      </c>
      <c r="AX233" s="66">
        <f t="shared" ref="AX233:AX256" si="128">Z233</f>
        <v>0</v>
      </c>
      <c r="AY233" s="66"/>
      <c r="AZ233" s="66">
        <f t="shared" ref="AZ233:AZ256" si="129">AJ233</f>
        <v>0</v>
      </c>
      <c r="BA233" s="30"/>
    </row>
    <row r="234" spans="1:54" ht="21.6" customHeight="1" x14ac:dyDescent="0.3">
      <c r="A234" s="2" t="s">
        <v>593</v>
      </c>
      <c r="B234" s="3" t="s">
        <v>171</v>
      </c>
      <c r="C234" s="3" t="s">
        <v>78</v>
      </c>
      <c r="D234" s="3" t="s">
        <v>53</v>
      </c>
      <c r="E234" s="3">
        <v>4500141965</v>
      </c>
      <c r="F234" s="3" t="s">
        <v>594</v>
      </c>
      <c r="G234" s="144">
        <v>554</v>
      </c>
      <c r="H234" s="394">
        <v>46141</v>
      </c>
      <c r="I234" s="50">
        <v>46157</v>
      </c>
      <c r="J234" s="15">
        <f t="shared" si="101"/>
        <v>16</v>
      </c>
      <c r="K234" s="3" t="s">
        <v>70</v>
      </c>
      <c r="L234" s="3" t="s">
        <v>56</v>
      </c>
      <c r="M234" s="3" t="s">
        <v>173</v>
      </c>
      <c r="N234" s="3" t="s">
        <v>425</v>
      </c>
      <c r="O234" s="3" t="s">
        <v>59</v>
      </c>
      <c r="P234" s="8">
        <v>4055.64</v>
      </c>
      <c r="Q234" s="44" t="s">
        <v>100</v>
      </c>
      <c r="R234" s="57">
        <f t="shared" si="121"/>
        <v>46141</v>
      </c>
      <c r="S234" s="13" t="s">
        <v>61</v>
      </c>
      <c r="T234" s="35">
        <v>46157</v>
      </c>
      <c r="U234" s="37">
        <v>46148</v>
      </c>
      <c r="V234" s="37">
        <f t="shared" si="124"/>
        <v>46157</v>
      </c>
      <c r="W234" s="59">
        <f t="shared" si="102"/>
        <v>16</v>
      </c>
      <c r="X234" s="59">
        <f t="shared" si="103"/>
        <v>7</v>
      </c>
      <c r="Y234" s="59">
        <f t="shared" si="104"/>
        <v>9</v>
      </c>
      <c r="Z234" s="39"/>
      <c r="AA234" s="4" t="s">
        <v>559</v>
      </c>
      <c r="AB234" s="35">
        <v>46148</v>
      </c>
      <c r="AC234" s="13">
        <v>4055.64</v>
      </c>
      <c r="AD234" s="13">
        <v>7581</v>
      </c>
      <c r="AE234" s="13" t="s">
        <v>63</v>
      </c>
      <c r="AF234" s="35">
        <v>46148</v>
      </c>
      <c r="AG234" s="3" t="str">
        <f>K234</f>
        <v>CIF</v>
      </c>
      <c r="AH234" s="13" t="s">
        <v>498</v>
      </c>
      <c r="AI234" s="36" t="e">
        <f>#REF!</f>
        <v>#REF!</v>
      </c>
      <c r="AJ234" s="36">
        <v>0</v>
      </c>
      <c r="AK234" s="142">
        <f t="shared" si="126"/>
        <v>0</v>
      </c>
      <c r="AL234" s="47">
        <v>46153</v>
      </c>
      <c r="AM234" s="153">
        <v>46155</v>
      </c>
      <c r="AN234" s="63">
        <f t="shared" si="127"/>
        <v>7</v>
      </c>
      <c r="AO234" s="34" t="s">
        <v>65</v>
      </c>
      <c r="AP234" s="64">
        <f t="shared" si="125"/>
        <v>46157</v>
      </c>
      <c r="AQ234" s="64">
        <f t="shared" si="122"/>
        <v>46155</v>
      </c>
      <c r="AR234" s="65">
        <f t="shared" si="106"/>
        <v>16</v>
      </c>
      <c r="AS234" s="65">
        <f t="shared" si="107"/>
        <v>14</v>
      </c>
      <c r="AT234" s="157">
        <f t="shared" si="108"/>
        <v>2</v>
      </c>
      <c r="AU234" s="13"/>
      <c r="AV234" s="13"/>
      <c r="AW234" s="109">
        <f t="shared" si="116"/>
        <v>4055.64</v>
      </c>
      <c r="AX234" s="66">
        <f t="shared" si="128"/>
        <v>0</v>
      </c>
      <c r="AY234" s="66"/>
      <c r="AZ234" s="66">
        <f t="shared" si="129"/>
        <v>0</v>
      </c>
      <c r="BA234" s="30"/>
    </row>
    <row r="235" spans="1:54" ht="21.6" customHeight="1" x14ac:dyDescent="0.45">
      <c r="A235" s="2" t="s">
        <v>307</v>
      </c>
      <c r="B235" s="3" t="s">
        <v>171</v>
      </c>
      <c r="C235" s="3" t="s">
        <v>78</v>
      </c>
      <c r="D235" s="3">
        <v>4600016155</v>
      </c>
      <c r="E235" s="3">
        <v>4501937025</v>
      </c>
      <c r="F235" s="3" t="s">
        <v>53</v>
      </c>
      <c r="G235" s="144">
        <v>555</v>
      </c>
      <c r="H235" s="394">
        <v>46141</v>
      </c>
      <c r="I235" s="50">
        <v>46199</v>
      </c>
      <c r="J235" s="15">
        <f t="shared" si="101"/>
        <v>58</v>
      </c>
      <c r="K235" s="3" t="s">
        <v>70</v>
      </c>
      <c r="L235" s="3" t="s">
        <v>56</v>
      </c>
      <c r="M235" s="3" t="s">
        <v>173</v>
      </c>
      <c r="N235" s="3" t="s">
        <v>425</v>
      </c>
      <c r="O235" s="3" t="s">
        <v>59</v>
      </c>
      <c r="P235" s="8">
        <v>8521.83</v>
      </c>
      <c r="Q235" s="44" t="s">
        <v>100</v>
      </c>
      <c r="R235" s="57">
        <f t="shared" si="121"/>
        <v>46141</v>
      </c>
      <c r="S235" s="13" t="s">
        <v>61</v>
      </c>
      <c r="T235" s="35">
        <v>46157</v>
      </c>
      <c r="U235" s="37">
        <v>46163</v>
      </c>
      <c r="V235" s="37">
        <f t="shared" si="124"/>
        <v>46199</v>
      </c>
      <c r="W235" s="59">
        <f t="shared" si="102"/>
        <v>58</v>
      </c>
      <c r="X235" s="59">
        <f t="shared" si="103"/>
        <v>22</v>
      </c>
      <c r="Y235" s="59">
        <f t="shared" si="104"/>
        <v>36</v>
      </c>
      <c r="Z235" s="39"/>
      <c r="AA235" s="4" t="s">
        <v>543</v>
      </c>
      <c r="AB235" s="35">
        <v>46163</v>
      </c>
      <c r="AC235" s="13">
        <v>8521.83</v>
      </c>
      <c r="AD235" s="13">
        <v>7618</v>
      </c>
      <c r="AE235" s="13" t="s">
        <v>63</v>
      </c>
      <c r="AF235" s="35">
        <v>46168</v>
      </c>
      <c r="AG235" s="3" t="str">
        <f>K235</f>
        <v>CIF</v>
      </c>
      <c r="AH235" s="13" t="s">
        <v>102</v>
      </c>
      <c r="AI235" s="36" t="e">
        <f>#REF!</f>
        <v>#REF!</v>
      </c>
      <c r="AJ235" s="36">
        <v>0</v>
      </c>
      <c r="AK235" s="142">
        <f t="shared" si="126"/>
        <v>0</v>
      </c>
      <c r="AL235" s="47"/>
      <c r="AM235" s="155">
        <v>46182</v>
      </c>
      <c r="AN235" s="63">
        <f t="shared" si="127"/>
        <v>14</v>
      </c>
      <c r="AO235" s="34" t="s">
        <v>65</v>
      </c>
      <c r="AP235" s="64">
        <f t="shared" si="125"/>
        <v>46199</v>
      </c>
      <c r="AQ235" s="64">
        <v>46059</v>
      </c>
      <c r="AR235" s="65">
        <f t="shared" si="106"/>
        <v>58</v>
      </c>
      <c r="AS235" s="65">
        <f t="shared" si="107"/>
        <v>41</v>
      </c>
      <c r="AT235" s="157">
        <f t="shared" si="108"/>
        <v>17</v>
      </c>
      <c r="AU235" s="13"/>
      <c r="AV235" s="13"/>
      <c r="AW235" s="109">
        <f t="shared" si="116"/>
        <v>8521.83</v>
      </c>
      <c r="AX235" s="66">
        <f t="shared" si="128"/>
        <v>0</v>
      </c>
      <c r="AY235" s="66"/>
      <c r="AZ235" s="66">
        <f t="shared" si="129"/>
        <v>0</v>
      </c>
      <c r="BA235" s="30"/>
    </row>
    <row r="236" spans="1:54" ht="21.6" customHeight="1" x14ac:dyDescent="0.3">
      <c r="A236" s="2" t="s">
        <v>307</v>
      </c>
      <c r="B236" s="3" t="s">
        <v>91</v>
      </c>
      <c r="C236" s="3" t="s">
        <v>78</v>
      </c>
      <c r="D236" s="3" t="s">
        <v>53</v>
      </c>
      <c r="E236" s="3">
        <v>4501936892</v>
      </c>
      <c r="F236" s="3" t="s">
        <v>53</v>
      </c>
      <c r="G236" s="144">
        <v>556</v>
      </c>
      <c r="H236" s="394">
        <v>46141</v>
      </c>
      <c r="I236" s="50">
        <v>46199</v>
      </c>
      <c r="J236" s="15">
        <v>4500087824</v>
      </c>
      <c r="K236" s="3" t="s">
        <v>55</v>
      </c>
      <c r="L236" s="3" t="s">
        <v>56</v>
      </c>
      <c r="M236" s="3" t="s">
        <v>92</v>
      </c>
      <c r="N236" s="3" t="s">
        <v>577</v>
      </c>
      <c r="O236" s="3" t="s">
        <v>59</v>
      </c>
      <c r="P236" s="8">
        <v>3775.2</v>
      </c>
      <c r="Q236" s="44" t="s">
        <v>100</v>
      </c>
      <c r="R236" s="57">
        <f t="shared" si="121"/>
        <v>46141</v>
      </c>
      <c r="S236" s="13" t="s">
        <v>61</v>
      </c>
      <c r="T236" s="35">
        <v>46157</v>
      </c>
      <c r="U236" s="37">
        <v>46161</v>
      </c>
      <c r="V236" s="37">
        <f t="shared" si="124"/>
        <v>46199</v>
      </c>
      <c r="W236" s="59">
        <f t="shared" si="102"/>
        <v>58</v>
      </c>
      <c r="X236" s="59">
        <f t="shared" si="103"/>
        <v>20</v>
      </c>
      <c r="Y236" s="59">
        <f t="shared" si="104"/>
        <v>38</v>
      </c>
      <c r="Z236" s="39"/>
      <c r="AA236" s="4" t="s">
        <v>543</v>
      </c>
      <c r="AB236" s="35">
        <v>46162</v>
      </c>
      <c r="AC236" s="13">
        <v>3775.2</v>
      </c>
      <c r="AD236" s="13">
        <v>7612</v>
      </c>
      <c r="AE236" s="13" t="s">
        <v>63</v>
      </c>
      <c r="AF236" s="35">
        <v>46163</v>
      </c>
      <c r="AG236" s="3" t="s">
        <v>55</v>
      </c>
      <c r="AH236" s="13" t="s">
        <v>307</v>
      </c>
      <c r="AI236" s="36" t="e">
        <f>#REF!</f>
        <v>#REF!</v>
      </c>
      <c r="AJ236" s="36">
        <v>0</v>
      </c>
      <c r="AK236" s="142">
        <f t="shared" si="126"/>
        <v>0</v>
      </c>
      <c r="AL236" s="47">
        <v>46161</v>
      </c>
      <c r="AM236" s="153">
        <v>46161</v>
      </c>
      <c r="AN236" s="63">
        <f t="shared" si="127"/>
        <v>-2</v>
      </c>
      <c r="AO236" s="34" t="s">
        <v>65</v>
      </c>
      <c r="AP236" s="64">
        <f t="shared" si="125"/>
        <v>46199</v>
      </c>
      <c r="AQ236" s="64">
        <f t="shared" ref="AQ236:AQ256" si="130">AM236</f>
        <v>46161</v>
      </c>
      <c r="AR236" s="65">
        <f t="shared" si="106"/>
        <v>58</v>
      </c>
      <c r="AS236" s="65">
        <f t="shared" si="107"/>
        <v>20</v>
      </c>
      <c r="AT236" s="157">
        <f t="shared" si="108"/>
        <v>38</v>
      </c>
      <c r="AU236" s="13"/>
      <c r="AV236" s="13"/>
      <c r="AW236" s="109">
        <f t="shared" si="116"/>
        <v>3775.2</v>
      </c>
      <c r="AX236" s="66">
        <f t="shared" si="128"/>
        <v>0</v>
      </c>
      <c r="AY236" s="66"/>
      <c r="AZ236" s="66">
        <f t="shared" si="129"/>
        <v>0</v>
      </c>
      <c r="BA236" s="30"/>
    </row>
    <row r="237" spans="1:54" ht="21.6" customHeight="1" x14ac:dyDescent="0.3">
      <c r="A237" s="2" t="s">
        <v>595</v>
      </c>
      <c r="B237" s="3" t="s">
        <v>77</v>
      </c>
      <c r="C237" s="3" t="s">
        <v>78</v>
      </c>
      <c r="D237" s="3" t="s">
        <v>53</v>
      </c>
      <c r="E237" s="3" t="s">
        <v>53</v>
      </c>
      <c r="F237" s="3" t="s">
        <v>596</v>
      </c>
      <c r="G237" s="144">
        <v>560</v>
      </c>
      <c r="H237" s="394">
        <v>46142</v>
      </c>
      <c r="I237" s="50">
        <v>46157</v>
      </c>
      <c r="J237" s="15">
        <f t="shared" ref="J237:J300" si="131">I237-H237</f>
        <v>15</v>
      </c>
      <c r="K237" s="3" t="s">
        <v>55</v>
      </c>
      <c r="L237" s="3" t="s">
        <v>56</v>
      </c>
      <c r="M237" s="3" t="s">
        <v>81</v>
      </c>
      <c r="N237" s="3" t="s">
        <v>597</v>
      </c>
      <c r="O237" s="3" t="s">
        <v>59</v>
      </c>
      <c r="P237" s="8">
        <v>21104.92</v>
      </c>
      <c r="Q237" s="44" t="s">
        <v>100</v>
      </c>
      <c r="R237" s="57">
        <f t="shared" si="121"/>
        <v>46142</v>
      </c>
      <c r="S237" s="13" t="s">
        <v>61</v>
      </c>
      <c r="T237" s="35">
        <v>46156</v>
      </c>
      <c r="U237" s="37">
        <v>46157</v>
      </c>
      <c r="V237" s="37">
        <f t="shared" si="124"/>
        <v>46157</v>
      </c>
      <c r="W237" s="59">
        <f t="shared" si="102"/>
        <v>15</v>
      </c>
      <c r="X237" s="59">
        <f t="shared" si="103"/>
        <v>15</v>
      </c>
      <c r="Y237" s="59">
        <f t="shared" si="104"/>
        <v>0</v>
      </c>
      <c r="Z237" s="39"/>
      <c r="AA237" s="4" t="s">
        <v>543</v>
      </c>
      <c r="AB237" s="35">
        <v>46167</v>
      </c>
      <c r="AC237" s="13">
        <v>21104.92</v>
      </c>
      <c r="AD237" s="13">
        <v>7624</v>
      </c>
      <c r="AE237" s="13" t="s">
        <v>63</v>
      </c>
      <c r="AF237" s="35">
        <v>46167</v>
      </c>
      <c r="AG237" s="3" t="str">
        <f t="shared" ref="AG237:AG256" si="132">K237</f>
        <v>FOB</v>
      </c>
      <c r="AH237" s="13" t="s">
        <v>598</v>
      </c>
      <c r="AI237" s="36" t="e">
        <f>#REF!</f>
        <v>#REF!</v>
      </c>
      <c r="AJ237" s="36">
        <v>0</v>
      </c>
      <c r="AK237" s="142">
        <f t="shared" si="126"/>
        <v>0</v>
      </c>
      <c r="AL237" s="47"/>
      <c r="AM237" s="153">
        <v>46157</v>
      </c>
      <c r="AN237" s="63">
        <f t="shared" si="127"/>
        <v>-10</v>
      </c>
      <c r="AO237" s="34" t="s">
        <v>65</v>
      </c>
      <c r="AP237" s="64">
        <f t="shared" si="125"/>
        <v>46157</v>
      </c>
      <c r="AQ237" s="64">
        <f t="shared" si="130"/>
        <v>46157</v>
      </c>
      <c r="AR237" s="65">
        <f t="shared" si="106"/>
        <v>15</v>
      </c>
      <c r="AS237" s="65">
        <f t="shared" si="107"/>
        <v>15</v>
      </c>
      <c r="AT237" s="157">
        <f t="shared" si="108"/>
        <v>0</v>
      </c>
      <c r="AU237" s="13"/>
      <c r="AV237" s="13"/>
      <c r="AW237" s="109">
        <f t="shared" si="116"/>
        <v>21104.92</v>
      </c>
      <c r="AX237" s="66">
        <f t="shared" si="128"/>
        <v>0</v>
      </c>
      <c r="AY237" s="66"/>
      <c r="AZ237" s="66">
        <f t="shared" si="129"/>
        <v>0</v>
      </c>
      <c r="BA237" s="30"/>
    </row>
    <row r="238" spans="1:54" ht="21.6" customHeight="1" x14ac:dyDescent="0.3">
      <c r="A238" s="2" t="s">
        <v>599</v>
      </c>
      <c r="B238" s="3" t="s">
        <v>91</v>
      </c>
      <c r="C238" s="3" t="s">
        <v>78</v>
      </c>
      <c r="D238" s="3" t="s">
        <v>53</v>
      </c>
      <c r="E238" s="3" t="s">
        <v>600</v>
      </c>
      <c r="F238" s="3" t="s">
        <v>601</v>
      </c>
      <c r="G238" s="144">
        <v>563</v>
      </c>
      <c r="H238" s="394">
        <v>46146</v>
      </c>
      <c r="I238" s="50">
        <v>46164</v>
      </c>
      <c r="J238" s="15">
        <f t="shared" si="131"/>
        <v>18</v>
      </c>
      <c r="K238" s="3" t="s">
        <v>55</v>
      </c>
      <c r="L238" s="3" t="s">
        <v>56</v>
      </c>
      <c r="M238" s="3" t="s">
        <v>92</v>
      </c>
      <c r="N238" s="3" t="s">
        <v>602</v>
      </c>
      <c r="O238" s="3" t="s">
        <v>59</v>
      </c>
      <c r="P238" s="8">
        <v>20238.189999999999</v>
      </c>
      <c r="Q238" s="44" t="s">
        <v>60</v>
      </c>
      <c r="R238" s="57">
        <f t="shared" si="121"/>
        <v>46146</v>
      </c>
      <c r="S238" s="13" t="s">
        <v>61</v>
      </c>
      <c r="T238" s="35">
        <v>46164</v>
      </c>
      <c r="U238" s="37">
        <v>46157</v>
      </c>
      <c r="V238" s="37">
        <f t="shared" si="124"/>
        <v>46164</v>
      </c>
      <c r="W238" s="59">
        <f t="shared" si="102"/>
        <v>18</v>
      </c>
      <c r="X238" s="59">
        <f t="shared" si="103"/>
        <v>11</v>
      </c>
      <c r="Y238" s="59">
        <f t="shared" si="104"/>
        <v>7</v>
      </c>
      <c r="Z238" s="39"/>
      <c r="AA238" s="4" t="s">
        <v>543</v>
      </c>
      <c r="AB238" s="35">
        <v>46157</v>
      </c>
      <c r="AC238" s="13">
        <v>20238.189999999999</v>
      </c>
      <c r="AD238" s="13">
        <v>7600</v>
      </c>
      <c r="AE238" s="13" t="s">
        <v>63</v>
      </c>
      <c r="AF238" s="35">
        <v>46157</v>
      </c>
      <c r="AG238" s="3" t="str">
        <f t="shared" si="132"/>
        <v>FOB</v>
      </c>
      <c r="AH238" s="13" t="s">
        <v>603</v>
      </c>
      <c r="AI238" s="36" t="e">
        <f>#REF!</f>
        <v>#REF!</v>
      </c>
      <c r="AJ238" s="36">
        <v>0</v>
      </c>
      <c r="AK238" s="142">
        <f t="shared" si="126"/>
        <v>0</v>
      </c>
      <c r="AL238" s="47">
        <v>46157</v>
      </c>
      <c r="AM238" s="153">
        <v>46157</v>
      </c>
      <c r="AN238" s="63">
        <f t="shared" si="127"/>
        <v>0</v>
      </c>
      <c r="AO238" s="34" t="s">
        <v>65</v>
      </c>
      <c r="AP238" s="64">
        <f t="shared" si="125"/>
        <v>46164</v>
      </c>
      <c r="AQ238" s="64">
        <f t="shared" si="130"/>
        <v>46157</v>
      </c>
      <c r="AR238" s="65">
        <f t="shared" si="106"/>
        <v>18</v>
      </c>
      <c r="AS238" s="65">
        <f t="shared" si="107"/>
        <v>11</v>
      </c>
      <c r="AT238" s="157">
        <f t="shared" si="108"/>
        <v>7</v>
      </c>
      <c r="AU238" s="13"/>
      <c r="AV238" s="13"/>
      <c r="AW238" s="109">
        <f t="shared" si="116"/>
        <v>20238.189999999999</v>
      </c>
      <c r="AX238" s="66">
        <f t="shared" si="128"/>
        <v>0</v>
      </c>
      <c r="AY238" s="66"/>
      <c r="AZ238" s="66">
        <f t="shared" si="129"/>
        <v>0</v>
      </c>
      <c r="BA238" s="33"/>
    </row>
    <row r="239" spans="1:54" ht="21.6" customHeight="1" x14ac:dyDescent="0.3">
      <c r="A239" s="2" t="s">
        <v>455</v>
      </c>
      <c r="B239" s="3" t="s">
        <v>91</v>
      </c>
      <c r="C239" s="3" t="s">
        <v>78</v>
      </c>
      <c r="D239" s="3" t="s">
        <v>53</v>
      </c>
      <c r="E239" s="3">
        <v>4500756492</v>
      </c>
      <c r="F239" s="3" t="s">
        <v>604</v>
      </c>
      <c r="G239" s="253" t="s">
        <v>605</v>
      </c>
      <c r="H239" s="394">
        <v>46147</v>
      </c>
      <c r="I239" s="50">
        <v>46157</v>
      </c>
      <c r="J239" s="15">
        <f t="shared" si="131"/>
        <v>10</v>
      </c>
      <c r="K239" s="3" t="s">
        <v>55</v>
      </c>
      <c r="L239" s="3" t="s">
        <v>56</v>
      </c>
      <c r="M239" s="3" t="s">
        <v>92</v>
      </c>
      <c r="N239" s="3" t="s">
        <v>606</v>
      </c>
      <c r="O239" s="3" t="s">
        <v>59</v>
      </c>
      <c r="P239" s="8">
        <v>4068.08</v>
      </c>
      <c r="Q239" s="44" t="s">
        <v>60</v>
      </c>
      <c r="R239" s="57">
        <f t="shared" si="121"/>
        <v>46147</v>
      </c>
      <c r="S239" s="13" t="s">
        <v>61</v>
      </c>
      <c r="T239" s="35">
        <v>46157</v>
      </c>
      <c r="U239" s="37">
        <v>46156</v>
      </c>
      <c r="V239" s="37">
        <f t="shared" si="124"/>
        <v>46157</v>
      </c>
      <c r="W239" s="59">
        <f t="shared" si="102"/>
        <v>10</v>
      </c>
      <c r="X239" s="59">
        <f t="shared" si="103"/>
        <v>9</v>
      </c>
      <c r="Y239" s="59">
        <f t="shared" si="104"/>
        <v>1</v>
      </c>
      <c r="Z239" s="39"/>
      <c r="AA239" s="4" t="s">
        <v>543</v>
      </c>
      <c r="AB239" s="35">
        <v>46167</v>
      </c>
      <c r="AC239" s="13">
        <v>4068.08</v>
      </c>
      <c r="AD239" s="13">
        <v>6830</v>
      </c>
      <c r="AE239" s="13" t="s">
        <v>63</v>
      </c>
      <c r="AF239" s="35">
        <v>46167</v>
      </c>
      <c r="AG239" s="3" t="str">
        <f t="shared" si="132"/>
        <v>FOB</v>
      </c>
      <c r="AH239" s="13"/>
      <c r="AI239" s="36" t="e">
        <f>#REF!</f>
        <v>#REF!</v>
      </c>
      <c r="AJ239" s="36">
        <v>0</v>
      </c>
      <c r="AK239" s="142">
        <f t="shared" si="126"/>
        <v>0</v>
      </c>
      <c r="AL239" s="47"/>
      <c r="AM239" s="153">
        <v>46156</v>
      </c>
      <c r="AN239" s="63">
        <f t="shared" si="127"/>
        <v>-11</v>
      </c>
      <c r="AO239" s="34" t="s">
        <v>65</v>
      </c>
      <c r="AP239" s="64">
        <f t="shared" si="125"/>
        <v>46157</v>
      </c>
      <c r="AQ239" s="64">
        <f t="shared" si="130"/>
        <v>46156</v>
      </c>
      <c r="AR239" s="65">
        <f t="shared" si="106"/>
        <v>10</v>
      </c>
      <c r="AS239" s="65">
        <f t="shared" si="107"/>
        <v>9</v>
      </c>
      <c r="AT239" s="157">
        <f t="shared" si="108"/>
        <v>1</v>
      </c>
      <c r="AU239" s="13"/>
      <c r="AV239" s="13"/>
      <c r="AW239" s="109">
        <f t="shared" ref="AW239:AW257" si="133">AC239</f>
        <v>4068.08</v>
      </c>
      <c r="AX239" s="66">
        <f t="shared" si="128"/>
        <v>0</v>
      </c>
      <c r="AY239" s="66"/>
      <c r="AZ239" s="66">
        <f t="shared" si="129"/>
        <v>0</v>
      </c>
      <c r="BA239" s="30"/>
    </row>
    <row r="240" spans="1:54" ht="21.6" customHeight="1" x14ac:dyDescent="0.3">
      <c r="A240" s="2" t="s">
        <v>607</v>
      </c>
      <c r="B240" s="3" t="s">
        <v>91</v>
      </c>
      <c r="C240" s="3" t="s">
        <v>78</v>
      </c>
      <c r="D240" s="3"/>
      <c r="E240" s="3">
        <v>858</v>
      </c>
      <c r="F240" s="3" t="s">
        <v>608</v>
      </c>
      <c r="G240" s="144">
        <v>13</v>
      </c>
      <c r="H240" s="394">
        <v>46148</v>
      </c>
      <c r="I240" s="50">
        <v>46251</v>
      </c>
      <c r="J240" s="15">
        <f t="shared" si="131"/>
        <v>103</v>
      </c>
      <c r="K240" s="3" t="s">
        <v>70</v>
      </c>
      <c r="L240" s="3" t="s">
        <v>56</v>
      </c>
      <c r="M240" s="3" t="s">
        <v>92</v>
      </c>
      <c r="N240" s="3" t="s">
        <v>609</v>
      </c>
      <c r="O240" s="3" t="s">
        <v>59</v>
      </c>
      <c r="P240" s="8">
        <v>91589.28</v>
      </c>
      <c r="Q240" s="44" t="s">
        <v>60</v>
      </c>
      <c r="R240" s="57">
        <f t="shared" si="121"/>
        <v>46148</v>
      </c>
      <c r="S240" s="13" t="s">
        <v>610</v>
      </c>
      <c r="T240" s="35">
        <v>46293</v>
      </c>
      <c r="U240" s="37"/>
      <c r="V240" s="37">
        <f t="shared" si="124"/>
        <v>46251</v>
      </c>
      <c r="W240" s="59">
        <f t="shared" si="102"/>
        <v>103</v>
      </c>
      <c r="X240" s="59">
        <f t="shared" si="103"/>
        <v>-46148</v>
      </c>
      <c r="Y240" s="59">
        <f t="shared" si="104"/>
        <v>46251</v>
      </c>
      <c r="Z240" s="39"/>
      <c r="AA240" s="4" t="s">
        <v>611</v>
      </c>
      <c r="AB240" s="35"/>
      <c r="AC240" s="13"/>
      <c r="AD240" s="13"/>
      <c r="AE240" s="13"/>
      <c r="AF240" s="35" t="s">
        <v>612</v>
      </c>
      <c r="AG240" s="3" t="str">
        <f t="shared" si="132"/>
        <v>CIF</v>
      </c>
      <c r="AH240" s="13"/>
      <c r="AI240" s="36" t="e">
        <f>#REF!</f>
        <v>#REF!</v>
      </c>
      <c r="AJ240" s="36">
        <v>0</v>
      </c>
      <c r="AK240" s="142" t="e">
        <f t="shared" si="126"/>
        <v>#DIV/0!</v>
      </c>
      <c r="AL240" s="47"/>
      <c r="AM240" s="153"/>
      <c r="AN240" s="63" t="e">
        <f t="shared" si="127"/>
        <v>#VALUE!</v>
      </c>
      <c r="AO240" s="34"/>
      <c r="AP240" s="64">
        <f t="shared" si="125"/>
        <v>46251</v>
      </c>
      <c r="AQ240" s="64">
        <f t="shared" si="130"/>
        <v>0</v>
      </c>
      <c r="AR240" s="65">
        <f t="shared" si="106"/>
        <v>103</v>
      </c>
      <c r="AS240" s="65">
        <f t="shared" si="107"/>
        <v>-46148</v>
      </c>
      <c r="AT240" s="157">
        <f t="shared" si="108"/>
        <v>46251</v>
      </c>
      <c r="AU240" s="13"/>
      <c r="AV240" s="13"/>
      <c r="AW240" s="109">
        <f t="shared" si="133"/>
        <v>0</v>
      </c>
      <c r="AX240" s="66">
        <f t="shared" si="128"/>
        <v>0</v>
      </c>
      <c r="AY240" s="66"/>
      <c r="AZ240" s="66">
        <f t="shared" si="129"/>
        <v>0</v>
      </c>
      <c r="BA240" s="30"/>
    </row>
    <row r="241" spans="1:54" ht="24.6" customHeight="1" x14ac:dyDescent="0.3">
      <c r="A241" s="2" t="s">
        <v>607</v>
      </c>
      <c r="B241" s="3" t="s">
        <v>91</v>
      </c>
      <c r="C241" s="3" t="s">
        <v>613</v>
      </c>
      <c r="D241" s="3"/>
      <c r="E241" s="3">
        <v>859</v>
      </c>
      <c r="F241" s="3" t="s">
        <v>608</v>
      </c>
      <c r="G241" s="144">
        <v>14</v>
      </c>
      <c r="H241" s="394">
        <v>46148</v>
      </c>
      <c r="I241" s="50">
        <v>46255</v>
      </c>
      <c r="J241" s="15">
        <f t="shared" si="131"/>
        <v>107</v>
      </c>
      <c r="K241" s="3" t="s">
        <v>70</v>
      </c>
      <c r="L241" s="3" t="s">
        <v>56</v>
      </c>
      <c r="M241" s="3" t="s">
        <v>92</v>
      </c>
      <c r="N241" s="3" t="s">
        <v>609</v>
      </c>
      <c r="O241" s="3" t="s">
        <v>59</v>
      </c>
      <c r="P241" s="8">
        <v>29886</v>
      </c>
      <c r="Q241" s="44" t="s">
        <v>60</v>
      </c>
      <c r="R241" s="57">
        <f t="shared" si="121"/>
        <v>46148</v>
      </c>
      <c r="S241" s="13" t="s">
        <v>610</v>
      </c>
      <c r="T241" s="35">
        <v>46293</v>
      </c>
      <c r="U241" s="37"/>
      <c r="V241" s="37">
        <f t="shared" si="124"/>
        <v>46255</v>
      </c>
      <c r="W241" s="59">
        <f t="shared" si="102"/>
        <v>107</v>
      </c>
      <c r="X241" s="59">
        <f t="shared" si="103"/>
        <v>-46148</v>
      </c>
      <c r="Y241" s="59">
        <f t="shared" si="104"/>
        <v>46255</v>
      </c>
      <c r="Z241" s="39"/>
      <c r="AA241" s="4" t="s">
        <v>611</v>
      </c>
      <c r="AB241" s="35"/>
      <c r="AC241" s="13"/>
      <c r="AD241" s="246"/>
      <c r="AE241" s="13"/>
      <c r="AF241" s="35" t="s">
        <v>612</v>
      </c>
      <c r="AG241" s="3" t="str">
        <f t="shared" si="132"/>
        <v>CIF</v>
      </c>
      <c r="AH241" s="13"/>
      <c r="AI241" s="36" t="e">
        <f>#REF!</f>
        <v>#REF!</v>
      </c>
      <c r="AJ241" s="36">
        <v>0</v>
      </c>
      <c r="AK241" s="142" t="e">
        <f t="shared" si="126"/>
        <v>#DIV/0!</v>
      </c>
      <c r="AL241" s="47"/>
      <c r="AM241" s="153"/>
      <c r="AN241" s="63" t="e">
        <f t="shared" si="127"/>
        <v>#VALUE!</v>
      </c>
      <c r="AO241" s="34"/>
      <c r="AP241" s="64">
        <f t="shared" si="125"/>
        <v>46255</v>
      </c>
      <c r="AQ241" s="64">
        <f t="shared" si="130"/>
        <v>0</v>
      </c>
      <c r="AR241" s="65">
        <f t="shared" si="106"/>
        <v>107</v>
      </c>
      <c r="AS241" s="65">
        <f t="shared" si="107"/>
        <v>-46148</v>
      </c>
      <c r="AT241" s="157">
        <f t="shared" si="108"/>
        <v>46255</v>
      </c>
      <c r="AU241" s="13"/>
      <c r="AV241" s="13"/>
      <c r="AW241" s="109">
        <f t="shared" si="133"/>
        <v>0</v>
      </c>
      <c r="AX241" s="66">
        <f t="shared" si="128"/>
        <v>0</v>
      </c>
      <c r="AY241" s="66"/>
      <c r="AZ241" s="66">
        <f t="shared" si="129"/>
        <v>0</v>
      </c>
      <c r="BA241" s="30"/>
    </row>
    <row r="242" spans="1:54" ht="21" customHeight="1" x14ac:dyDescent="0.3">
      <c r="A242" s="2" t="s">
        <v>614</v>
      </c>
      <c r="B242" s="3" t="s">
        <v>91</v>
      </c>
      <c r="C242" s="3" t="s">
        <v>78</v>
      </c>
      <c r="D242" s="3" t="s">
        <v>53</v>
      </c>
      <c r="E242" s="3">
        <v>178784</v>
      </c>
      <c r="F242" s="3" t="s">
        <v>615</v>
      </c>
      <c r="G242" s="144">
        <v>565</v>
      </c>
      <c r="H242" s="394">
        <v>46148</v>
      </c>
      <c r="I242" s="50">
        <v>46184</v>
      </c>
      <c r="J242" s="15">
        <f t="shared" si="131"/>
        <v>36</v>
      </c>
      <c r="K242" s="3" t="s">
        <v>70</v>
      </c>
      <c r="L242" s="3" t="s">
        <v>56</v>
      </c>
      <c r="M242" s="3" t="s">
        <v>92</v>
      </c>
      <c r="N242" s="3" t="s">
        <v>616</v>
      </c>
      <c r="O242" s="3" t="s">
        <v>59</v>
      </c>
      <c r="P242" s="8">
        <v>1919.42</v>
      </c>
      <c r="Q242" s="44" t="s">
        <v>100</v>
      </c>
      <c r="R242" s="57">
        <f t="shared" si="121"/>
        <v>46148</v>
      </c>
      <c r="S242" s="13" t="s">
        <v>61</v>
      </c>
      <c r="T242" s="35">
        <v>46164</v>
      </c>
      <c r="U242" s="37">
        <v>46175</v>
      </c>
      <c r="V242" s="37">
        <f t="shared" si="124"/>
        <v>46184</v>
      </c>
      <c r="W242" s="59">
        <f t="shared" si="102"/>
        <v>36</v>
      </c>
      <c r="X242" s="59">
        <f t="shared" si="103"/>
        <v>27</v>
      </c>
      <c r="Y242" s="59">
        <f t="shared" si="104"/>
        <v>9</v>
      </c>
      <c r="Z242" s="39"/>
      <c r="AA242" s="4" t="s">
        <v>535</v>
      </c>
      <c r="AB242" s="35">
        <v>46170</v>
      </c>
      <c r="AC242" s="352">
        <v>1919.42</v>
      </c>
      <c r="AD242" s="386">
        <v>7644</v>
      </c>
      <c r="AE242" s="13" t="s">
        <v>63</v>
      </c>
      <c r="AF242" s="35">
        <v>46183</v>
      </c>
      <c r="AG242" s="3" t="str">
        <f t="shared" si="132"/>
        <v>CIF</v>
      </c>
      <c r="AH242" s="28" t="s">
        <v>617</v>
      </c>
      <c r="AI242" s="36" t="e">
        <f>#REF!</f>
        <v>#REF!</v>
      </c>
      <c r="AJ242" s="36">
        <v>0</v>
      </c>
      <c r="AK242" s="142">
        <f t="shared" si="126"/>
        <v>0</v>
      </c>
      <c r="AL242" s="47">
        <v>46170</v>
      </c>
      <c r="AM242" s="153">
        <v>46184</v>
      </c>
      <c r="AN242" s="63">
        <f t="shared" si="127"/>
        <v>1</v>
      </c>
      <c r="AO242" s="34" t="s">
        <v>65</v>
      </c>
      <c r="AP242" s="64">
        <f t="shared" si="125"/>
        <v>46184</v>
      </c>
      <c r="AQ242" s="64">
        <f t="shared" si="130"/>
        <v>46184</v>
      </c>
      <c r="AR242" s="65">
        <f t="shared" si="106"/>
        <v>36</v>
      </c>
      <c r="AS242" s="65">
        <f t="shared" si="107"/>
        <v>36</v>
      </c>
      <c r="AT242" s="157">
        <f t="shared" si="108"/>
        <v>0</v>
      </c>
      <c r="AU242" s="13"/>
      <c r="AV242" s="13"/>
      <c r="AW242" s="109">
        <f t="shared" si="133"/>
        <v>1919.42</v>
      </c>
      <c r="AX242" s="66">
        <f t="shared" si="128"/>
        <v>0</v>
      </c>
      <c r="AY242" s="66"/>
      <c r="AZ242" s="66">
        <f t="shared" si="129"/>
        <v>0</v>
      </c>
      <c r="BA242" s="30"/>
    </row>
    <row r="243" spans="1:54" ht="21" customHeight="1" x14ac:dyDescent="0.3">
      <c r="A243" s="2" t="s">
        <v>307</v>
      </c>
      <c r="B243" s="3" t="s">
        <v>51</v>
      </c>
      <c r="C243" s="3" t="s">
        <v>78</v>
      </c>
      <c r="D243" s="3">
        <v>4600016155</v>
      </c>
      <c r="E243" s="3">
        <v>4501932115</v>
      </c>
      <c r="F243" s="3" t="s">
        <v>53</v>
      </c>
      <c r="G243" s="144">
        <v>566</v>
      </c>
      <c r="H243" s="394">
        <v>46148</v>
      </c>
      <c r="I243" s="50">
        <v>46207</v>
      </c>
      <c r="J243" s="15">
        <f t="shared" si="131"/>
        <v>59</v>
      </c>
      <c r="K243" s="3" t="s">
        <v>70</v>
      </c>
      <c r="L243" s="3" t="s">
        <v>56</v>
      </c>
      <c r="M243" s="3" t="s">
        <v>57</v>
      </c>
      <c r="N243" s="3" t="s">
        <v>197</v>
      </c>
      <c r="O243" s="3" t="s">
        <v>59</v>
      </c>
      <c r="P243" s="8">
        <v>2950.43</v>
      </c>
      <c r="Q243" s="44" t="s">
        <v>100</v>
      </c>
      <c r="R243" s="57">
        <f t="shared" si="121"/>
        <v>46148</v>
      </c>
      <c r="S243" s="13" t="s">
        <v>61</v>
      </c>
      <c r="T243" s="35">
        <v>46164</v>
      </c>
      <c r="U243" s="37">
        <v>46169</v>
      </c>
      <c r="V243" s="37">
        <f t="shared" si="124"/>
        <v>46207</v>
      </c>
      <c r="W243" s="59">
        <f t="shared" si="102"/>
        <v>59</v>
      </c>
      <c r="X243" s="59">
        <f t="shared" si="103"/>
        <v>21</v>
      </c>
      <c r="Y243" s="59">
        <f t="shared" si="104"/>
        <v>38</v>
      </c>
      <c r="Z243" s="39"/>
      <c r="AA243" s="4" t="s">
        <v>540</v>
      </c>
      <c r="AB243" s="35">
        <v>46168</v>
      </c>
      <c r="AC243" s="13">
        <v>2950.43</v>
      </c>
      <c r="AD243" s="13">
        <v>7628</v>
      </c>
      <c r="AE243" s="13" t="s">
        <v>63</v>
      </c>
      <c r="AF243" s="35">
        <v>46176</v>
      </c>
      <c r="AG243" s="3" t="str">
        <f t="shared" si="132"/>
        <v>CIF</v>
      </c>
      <c r="AH243" s="242" t="s">
        <v>127</v>
      </c>
      <c r="AI243" s="36" t="e">
        <f>#REF!</f>
        <v>#REF!</v>
      </c>
      <c r="AJ243" s="36">
        <v>0</v>
      </c>
      <c r="AK243" s="142">
        <f t="shared" si="126"/>
        <v>0</v>
      </c>
      <c r="AL243" s="47"/>
      <c r="AM243" s="153">
        <v>46184</v>
      </c>
      <c r="AN243" s="63">
        <f t="shared" si="127"/>
        <v>8</v>
      </c>
      <c r="AO243" s="34" t="s">
        <v>65</v>
      </c>
      <c r="AP243" s="64">
        <f t="shared" si="125"/>
        <v>46207</v>
      </c>
      <c r="AQ243" s="64">
        <f t="shared" si="130"/>
        <v>46184</v>
      </c>
      <c r="AR243" s="65">
        <f t="shared" si="106"/>
        <v>59</v>
      </c>
      <c r="AS243" s="65">
        <f t="shared" si="107"/>
        <v>36</v>
      </c>
      <c r="AT243" s="157">
        <f t="shared" si="108"/>
        <v>23</v>
      </c>
      <c r="AU243" s="13"/>
      <c r="AV243" s="13"/>
      <c r="AW243" s="109">
        <f t="shared" si="133"/>
        <v>2950.43</v>
      </c>
      <c r="AX243" s="66">
        <f t="shared" si="128"/>
        <v>0</v>
      </c>
      <c r="AY243" s="66"/>
      <c r="AZ243" s="66">
        <f t="shared" si="129"/>
        <v>0</v>
      </c>
      <c r="BA243" s="30"/>
    </row>
    <row r="244" spans="1:54" ht="21" customHeight="1" x14ac:dyDescent="0.3">
      <c r="A244" s="2" t="s">
        <v>122</v>
      </c>
      <c r="B244" s="3" t="s">
        <v>51</v>
      </c>
      <c r="C244" s="3" t="s">
        <v>78</v>
      </c>
      <c r="D244" s="3" t="s">
        <v>53</v>
      </c>
      <c r="E244" s="3">
        <v>950283063</v>
      </c>
      <c r="F244" s="3" t="s">
        <v>618</v>
      </c>
      <c r="G244" s="144">
        <v>567</v>
      </c>
      <c r="H244" s="394">
        <v>46148</v>
      </c>
      <c r="I244" s="50">
        <v>46172</v>
      </c>
      <c r="J244" s="15">
        <f t="shared" si="131"/>
        <v>24</v>
      </c>
      <c r="K244" s="3" t="s">
        <v>70</v>
      </c>
      <c r="L244" s="3" t="s">
        <v>56</v>
      </c>
      <c r="M244" s="3" t="s">
        <v>57</v>
      </c>
      <c r="N244" s="3" t="s">
        <v>432</v>
      </c>
      <c r="O244" s="3" t="s">
        <v>59</v>
      </c>
      <c r="P244" s="8">
        <v>14117.4</v>
      </c>
      <c r="Q244" s="44" t="s">
        <v>100</v>
      </c>
      <c r="R244" s="57">
        <f t="shared" si="121"/>
        <v>46148</v>
      </c>
      <c r="S244" s="13" t="s">
        <v>61</v>
      </c>
      <c r="T244" s="35">
        <v>46164</v>
      </c>
      <c r="U244" s="37">
        <v>46079</v>
      </c>
      <c r="V244" s="37">
        <v>46175</v>
      </c>
      <c r="W244" s="59">
        <f t="shared" si="102"/>
        <v>27</v>
      </c>
      <c r="X244" s="59">
        <f t="shared" si="103"/>
        <v>-69</v>
      </c>
      <c r="Y244" s="59">
        <f t="shared" si="104"/>
        <v>96</v>
      </c>
      <c r="Z244" s="39"/>
      <c r="AA244" s="4" t="s">
        <v>540</v>
      </c>
      <c r="AB244" s="35">
        <v>46170</v>
      </c>
      <c r="AC244" s="13">
        <v>9241.7999999999993</v>
      </c>
      <c r="AD244" s="13">
        <v>7641</v>
      </c>
      <c r="AE244" s="13" t="s">
        <v>63</v>
      </c>
      <c r="AF244" s="35">
        <v>46175</v>
      </c>
      <c r="AG244" s="3" t="str">
        <f t="shared" si="132"/>
        <v>CIF</v>
      </c>
      <c r="AH244" s="339" t="s">
        <v>588</v>
      </c>
      <c r="AI244" s="36" t="e">
        <f>#REF!</f>
        <v>#REF!</v>
      </c>
      <c r="AJ244" s="36">
        <v>0</v>
      </c>
      <c r="AK244" s="142">
        <f t="shared" si="126"/>
        <v>0</v>
      </c>
      <c r="AL244" s="47"/>
      <c r="AM244" s="153">
        <v>46175</v>
      </c>
      <c r="AN244" s="63">
        <f t="shared" si="127"/>
        <v>0</v>
      </c>
      <c r="AO244" s="34" t="s">
        <v>65</v>
      </c>
      <c r="AP244" s="64">
        <f t="shared" si="125"/>
        <v>46172</v>
      </c>
      <c r="AQ244" s="64">
        <f t="shared" si="130"/>
        <v>46175</v>
      </c>
      <c r="AR244" s="65">
        <f t="shared" si="106"/>
        <v>24</v>
      </c>
      <c r="AS244" s="65">
        <f t="shared" si="107"/>
        <v>27</v>
      </c>
      <c r="AT244" s="157">
        <f t="shared" si="108"/>
        <v>-3</v>
      </c>
      <c r="AU244" s="13"/>
      <c r="AV244" s="13"/>
      <c r="AW244" s="109">
        <f t="shared" si="133"/>
        <v>9241.7999999999993</v>
      </c>
      <c r="AX244" s="66">
        <f t="shared" si="128"/>
        <v>0</v>
      </c>
      <c r="AY244" s="66"/>
      <c r="AZ244" s="66">
        <f t="shared" si="129"/>
        <v>0</v>
      </c>
      <c r="BA244" s="30"/>
    </row>
    <row r="245" spans="1:54" ht="21" customHeight="1" x14ac:dyDescent="0.3">
      <c r="A245" s="2" t="s">
        <v>443</v>
      </c>
      <c r="B245" s="3" t="s">
        <v>619</v>
      </c>
      <c r="C245" s="3" t="s">
        <v>78</v>
      </c>
      <c r="D245" s="3">
        <v>4262631</v>
      </c>
      <c r="E245" s="3">
        <v>4273962</v>
      </c>
      <c r="F245" s="3" t="s">
        <v>620</v>
      </c>
      <c r="G245" s="144" t="s">
        <v>53</v>
      </c>
      <c r="H245" s="394">
        <v>46148</v>
      </c>
      <c r="I245" s="50">
        <v>46148</v>
      </c>
      <c r="J245" s="15">
        <f t="shared" si="131"/>
        <v>0</v>
      </c>
      <c r="K245" s="3" t="s">
        <v>612</v>
      </c>
      <c r="L245" s="3" t="s">
        <v>56</v>
      </c>
      <c r="M245" s="3" t="s">
        <v>57</v>
      </c>
      <c r="N245" s="3" t="s">
        <v>621</v>
      </c>
      <c r="O245" s="3" t="s">
        <v>59</v>
      </c>
      <c r="P245" s="8">
        <v>106672.32000000001</v>
      </c>
      <c r="Q245" s="44" t="s">
        <v>60</v>
      </c>
      <c r="R245" s="57">
        <f t="shared" si="121"/>
        <v>46148</v>
      </c>
      <c r="S245" s="13" t="s">
        <v>61</v>
      </c>
      <c r="T245" s="35">
        <v>46171</v>
      </c>
      <c r="U245" s="37">
        <v>46148</v>
      </c>
      <c r="V245" s="37">
        <f t="shared" ref="V245:V308" si="134">I245</f>
        <v>46148</v>
      </c>
      <c r="W245" s="59">
        <f t="shared" si="102"/>
        <v>0</v>
      </c>
      <c r="X245" s="59">
        <f t="shared" si="103"/>
        <v>0</v>
      </c>
      <c r="Y245" s="59">
        <f t="shared" si="104"/>
        <v>0</v>
      </c>
      <c r="Z245" s="39"/>
      <c r="AA245" s="4" t="s">
        <v>559</v>
      </c>
      <c r="AB245" s="35">
        <v>46162</v>
      </c>
      <c r="AC245" s="352">
        <v>106672.32000000001</v>
      </c>
      <c r="AD245" s="13">
        <v>20</v>
      </c>
      <c r="AE245" s="13" t="s">
        <v>63</v>
      </c>
      <c r="AF245" s="35"/>
      <c r="AG245" s="3" t="str">
        <f t="shared" si="132"/>
        <v>SERV</v>
      </c>
      <c r="AH245" s="28"/>
      <c r="AI245" s="36" t="e">
        <f>#REF!</f>
        <v>#REF!</v>
      </c>
      <c r="AJ245" s="36">
        <v>0</v>
      </c>
      <c r="AK245" s="142">
        <f t="shared" si="126"/>
        <v>0</v>
      </c>
      <c r="AL245" s="47">
        <v>46148</v>
      </c>
      <c r="AM245" s="153">
        <v>46148</v>
      </c>
      <c r="AN245" s="63">
        <f t="shared" si="127"/>
        <v>46148</v>
      </c>
      <c r="AO245" s="34" t="s">
        <v>65</v>
      </c>
      <c r="AP245" s="64">
        <f t="shared" si="125"/>
        <v>46148</v>
      </c>
      <c r="AQ245" s="64">
        <f t="shared" si="130"/>
        <v>46148</v>
      </c>
      <c r="AR245" s="65">
        <f t="shared" si="106"/>
        <v>0</v>
      </c>
      <c r="AS245" s="65">
        <f t="shared" si="107"/>
        <v>0</v>
      </c>
      <c r="AT245" s="157">
        <f t="shared" si="108"/>
        <v>0</v>
      </c>
      <c r="AU245" s="13"/>
      <c r="AV245" s="13"/>
      <c r="AW245" s="109">
        <f t="shared" si="133"/>
        <v>106672.32000000001</v>
      </c>
      <c r="AX245" s="66">
        <f t="shared" si="128"/>
        <v>0</v>
      </c>
      <c r="AY245" s="66"/>
      <c r="AZ245" s="66">
        <f t="shared" si="129"/>
        <v>0</v>
      </c>
      <c r="BA245" s="30"/>
    </row>
    <row r="246" spans="1:54" ht="21" customHeight="1" x14ac:dyDescent="0.3">
      <c r="A246" s="2" t="s">
        <v>622</v>
      </c>
      <c r="B246" s="3" t="s">
        <v>619</v>
      </c>
      <c r="C246" s="3" t="s">
        <v>78</v>
      </c>
      <c r="D246" s="3" t="s">
        <v>53</v>
      </c>
      <c r="E246" s="3" t="s">
        <v>623</v>
      </c>
      <c r="F246" s="3" t="s">
        <v>624</v>
      </c>
      <c r="G246" s="144" t="s">
        <v>625</v>
      </c>
      <c r="H246" s="394">
        <v>46148</v>
      </c>
      <c r="I246" s="50">
        <v>46148</v>
      </c>
      <c r="J246" s="15">
        <f t="shared" si="131"/>
        <v>0</v>
      </c>
      <c r="K246" s="3" t="s">
        <v>612</v>
      </c>
      <c r="L246" s="3" t="s">
        <v>56</v>
      </c>
      <c r="M246" s="3" t="s">
        <v>57</v>
      </c>
      <c r="N246" s="3" t="s">
        <v>502</v>
      </c>
      <c r="O246" s="3" t="s">
        <v>59</v>
      </c>
      <c r="P246" s="8">
        <v>95195.8</v>
      </c>
      <c r="Q246" s="44" t="s">
        <v>60</v>
      </c>
      <c r="R246" s="57">
        <f t="shared" si="121"/>
        <v>46148</v>
      </c>
      <c r="S246" s="13" t="s">
        <v>61</v>
      </c>
      <c r="T246" s="35">
        <v>46148</v>
      </c>
      <c r="U246" s="37">
        <v>46148</v>
      </c>
      <c r="V246" s="37">
        <f t="shared" si="134"/>
        <v>46148</v>
      </c>
      <c r="W246" s="59">
        <f t="shared" si="102"/>
        <v>0</v>
      </c>
      <c r="X246" s="59">
        <f t="shared" si="103"/>
        <v>0</v>
      </c>
      <c r="Y246" s="59">
        <f t="shared" si="104"/>
        <v>0</v>
      </c>
      <c r="Z246" s="39"/>
      <c r="AA246" s="4" t="s">
        <v>559</v>
      </c>
      <c r="AB246" s="35">
        <v>46148</v>
      </c>
      <c r="AC246" s="13">
        <v>95195.8</v>
      </c>
      <c r="AD246" s="13">
        <v>18</v>
      </c>
      <c r="AE246" s="13" t="s">
        <v>63</v>
      </c>
      <c r="AF246" s="35"/>
      <c r="AG246" s="3" t="str">
        <f t="shared" si="132"/>
        <v>SERV</v>
      </c>
      <c r="AH246" s="13"/>
      <c r="AI246" s="36" t="e">
        <f>#REF!</f>
        <v>#REF!</v>
      </c>
      <c r="AJ246" s="36">
        <v>0</v>
      </c>
      <c r="AK246" s="142">
        <f t="shared" si="126"/>
        <v>0</v>
      </c>
      <c r="AL246" s="47"/>
      <c r="AM246" s="153">
        <v>46148</v>
      </c>
      <c r="AN246" s="63">
        <f t="shared" si="127"/>
        <v>46148</v>
      </c>
      <c r="AO246" s="34" t="s">
        <v>65</v>
      </c>
      <c r="AP246" s="64">
        <f t="shared" si="125"/>
        <v>46148</v>
      </c>
      <c r="AQ246" s="64">
        <f t="shared" si="130"/>
        <v>46148</v>
      </c>
      <c r="AR246" s="65">
        <f t="shared" si="106"/>
        <v>0</v>
      </c>
      <c r="AS246" s="65">
        <f t="shared" si="107"/>
        <v>0</v>
      </c>
      <c r="AT246" s="157">
        <f t="shared" si="108"/>
        <v>0</v>
      </c>
      <c r="AU246" s="13"/>
      <c r="AV246" s="13"/>
      <c r="AW246" s="109">
        <f t="shared" si="133"/>
        <v>95195.8</v>
      </c>
      <c r="AX246" s="66">
        <f t="shared" si="128"/>
        <v>0</v>
      </c>
      <c r="AY246" s="66"/>
      <c r="AZ246" s="66">
        <f t="shared" si="129"/>
        <v>0</v>
      </c>
      <c r="BA246" s="30"/>
    </row>
    <row r="247" spans="1:54" ht="21.6" customHeight="1" x14ac:dyDescent="0.3">
      <c r="A247" s="2" t="s">
        <v>626</v>
      </c>
      <c r="B247" s="3" t="s">
        <v>67</v>
      </c>
      <c r="C247" s="3" t="s">
        <v>78</v>
      </c>
      <c r="D247" s="3"/>
      <c r="E247" s="3"/>
      <c r="F247" s="3"/>
      <c r="G247" s="144">
        <v>568</v>
      </c>
      <c r="H247" s="394">
        <v>46149</v>
      </c>
      <c r="I247" s="50">
        <v>46195</v>
      </c>
      <c r="J247" s="15">
        <f t="shared" si="131"/>
        <v>46</v>
      </c>
      <c r="K247" s="3" t="s">
        <v>55</v>
      </c>
      <c r="L247" s="3" t="s">
        <v>627</v>
      </c>
      <c r="M247" s="3" t="s">
        <v>72</v>
      </c>
      <c r="N247" s="3"/>
      <c r="O247" s="3" t="s">
        <v>59</v>
      </c>
      <c r="P247" s="8">
        <v>182457.35</v>
      </c>
      <c r="Q247" s="44" t="s">
        <v>60</v>
      </c>
      <c r="R247" s="57">
        <f t="shared" si="121"/>
        <v>46149</v>
      </c>
      <c r="S247" s="13" t="s">
        <v>610</v>
      </c>
      <c r="T247" s="35"/>
      <c r="U247" s="37"/>
      <c r="V247" s="37">
        <f t="shared" si="134"/>
        <v>46195</v>
      </c>
      <c r="W247" s="59">
        <f t="shared" si="102"/>
        <v>46</v>
      </c>
      <c r="X247" s="59">
        <f t="shared" si="103"/>
        <v>-46149</v>
      </c>
      <c r="Y247" s="59">
        <f t="shared" si="104"/>
        <v>46195</v>
      </c>
      <c r="Z247" s="39"/>
      <c r="AA247" s="4" t="s">
        <v>628</v>
      </c>
      <c r="AB247" s="35"/>
      <c r="AC247" s="13"/>
      <c r="AD247" s="13"/>
      <c r="AE247" s="13"/>
      <c r="AF247" s="35"/>
      <c r="AG247" s="3" t="str">
        <f t="shared" si="132"/>
        <v>FOB</v>
      </c>
      <c r="AH247" s="13"/>
      <c r="AI247" s="36" t="e">
        <f>#REF!</f>
        <v>#REF!</v>
      </c>
      <c r="AJ247" s="36">
        <v>0</v>
      </c>
      <c r="AK247" s="142" t="e">
        <f t="shared" si="126"/>
        <v>#DIV/0!</v>
      </c>
      <c r="AL247" s="47"/>
      <c r="AM247" s="153"/>
      <c r="AN247" s="63">
        <f t="shared" si="127"/>
        <v>0</v>
      </c>
      <c r="AO247" s="34"/>
      <c r="AP247" s="64">
        <f t="shared" si="125"/>
        <v>46195</v>
      </c>
      <c r="AQ247" s="64">
        <f t="shared" si="130"/>
        <v>0</v>
      </c>
      <c r="AR247" s="65">
        <f t="shared" si="106"/>
        <v>46</v>
      </c>
      <c r="AS247" s="65">
        <f t="shared" si="107"/>
        <v>-46149</v>
      </c>
      <c r="AT247" s="157">
        <f t="shared" si="108"/>
        <v>46195</v>
      </c>
      <c r="AU247" s="13"/>
      <c r="AV247" s="13"/>
      <c r="AW247" s="109">
        <f t="shared" si="133"/>
        <v>0</v>
      </c>
      <c r="AX247" s="66">
        <f t="shared" si="128"/>
        <v>0</v>
      </c>
      <c r="AY247" s="66"/>
      <c r="AZ247" s="66">
        <f t="shared" si="129"/>
        <v>0</v>
      </c>
      <c r="BA247" s="30"/>
    </row>
    <row r="248" spans="1:54" ht="21.6" customHeight="1" x14ac:dyDescent="0.3">
      <c r="A248" s="2" t="s">
        <v>629</v>
      </c>
      <c r="B248" s="3" t="s">
        <v>171</v>
      </c>
      <c r="C248" s="3" t="s">
        <v>78</v>
      </c>
      <c r="D248" s="3"/>
      <c r="E248" s="3">
        <v>212987</v>
      </c>
      <c r="F248" s="3" t="s">
        <v>630</v>
      </c>
      <c r="G248" s="144">
        <v>571</v>
      </c>
      <c r="H248" s="394">
        <v>46149</v>
      </c>
      <c r="I248" s="50">
        <v>46179</v>
      </c>
      <c r="J248" s="15">
        <f t="shared" si="131"/>
        <v>30</v>
      </c>
      <c r="K248" s="3" t="s">
        <v>70</v>
      </c>
      <c r="L248" s="3" t="s">
        <v>56</v>
      </c>
      <c r="M248" s="3" t="s">
        <v>186</v>
      </c>
      <c r="N248" s="3" t="s">
        <v>631</v>
      </c>
      <c r="O248" s="3" t="s">
        <v>59</v>
      </c>
      <c r="P248" s="8">
        <v>13480</v>
      </c>
      <c r="Q248" s="44" t="s">
        <v>100</v>
      </c>
      <c r="R248" s="57">
        <f t="shared" si="121"/>
        <v>46149</v>
      </c>
      <c r="S248" s="13" t="s">
        <v>61</v>
      </c>
      <c r="T248" s="35">
        <v>46167</v>
      </c>
      <c r="U248" s="37">
        <v>46168</v>
      </c>
      <c r="V248" s="37">
        <f t="shared" si="134"/>
        <v>46179</v>
      </c>
      <c r="W248" s="59">
        <f t="shared" si="102"/>
        <v>30</v>
      </c>
      <c r="X248" s="59">
        <f t="shared" si="103"/>
        <v>19</v>
      </c>
      <c r="Y248" s="59">
        <f t="shared" si="104"/>
        <v>11</v>
      </c>
      <c r="Z248" s="39"/>
      <c r="AA248" s="4" t="s">
        <v>540</v>
      </c>
      <c r="AB248" s="35">
        <v>46170</v>
      </c>
      <c r="AC248" s="13">
        <v>14356.2</v>
      </c>
      <c r="AD248" s="13">
        <v>7639</v>
      </c>
      <c r="AE248" s="13" t="s">
        <v>63</v>
      </c>
      <c r="AF248" s="35">
        <v>46174</v>
      </c>
      <c r="AG248" s="3" t="str">
        <f t="shared" si="132"/>
        <v>CIF</v>
      </c>
      <c r="AH248" s="339" t="s">
        <v>245</v>
      </c>
      <c r="AI248" s="36" t="e">
        <f>#REF!</f>
        <v>#REF!</v>
      </c>
      <c r="AJ248" s="36">
        <v>0</v>
      </c>
      <c r="AK248" s="142">
        <f t="shared" si="126"/>
        <v>0</v>
      </c>
      <c r="AL248" s="47"/>
      <c r="AM248" s="153">
        <v>46181</v>
      </c>
      <c r="AN248" s="63">
        <f t="shared" si="127"/>
        <v>7</v>
      </c>
      <c r="AO248" s="34" t="s">
        <v>103</v>
      </c>
      <c r="AP248" s="64">
        <f t="shared" si="125"/>
        <v>46179</v>
      </c>
      <c r="AQ248" s="64">
        <f t="shared" si="130"/>
        <v>46181</v>
      </c>
      <c r="AR248" s="65">
        <f t="shared" si="106"/>
        <v>30</v>
      </c>
      <c r="AS248" s="65">
        <f t="shared" si="107"/>
        <v>32</v>
      </c>
      <c r="AT248" s="157">
        <f t="shared" si="108"/>
        <v>-2</v>
      </c>
      <c r="AU248" s="13" t="s">
        <v>475</v>
      </c>
      <c r="AV248" s="13" t="s">
        <v>116</v>
      </c>
      <c r="AW248" s="109">
        <f t="shared" si="133"/>
        <v>14356.2</v>
      </c>
      <c r="AX248" s="66">
        <f t="shared" si="128"/>
        <v>0</v>
      </c>
      <c r="AY248" s="66"/>
      <c r="AZ248" s="66">
        <f t="shared" si="129"/>
        <v>0</v>
      </c>
      <c r="BA248" s="30"/>
    </row>
    <row r="249" spans="1:54" ht="21.6" customHeight="1" x14ac:dyDescent="0.3">
      <c r="A249" s="2" t="s">
        <v>122</v>
      </c>
      <c r="B249" s="3" t="s">
        <v>51</v>
      </c>
      <c r="C249" s="3" t="s">
        <v>78</v>
      </c>
      <c r="D249" s="3">
        <v>27</v>
      </c>
      <c r="E249" s="5">
        <v>555734221</v>
      </c>
      <c r="F249" s="3" t="s">
        <v>53</v>
      </c>
      <c r="G249" s="144">
        <v>572</v>
      </c>
      <c r="H249" s="394">
        <v>46149</v>
      </c>
      <c r="I249" s="50">
        <v>46202</v>
      </c>
      <c r="J249" s="15">
        <f t="shared" si="131"/>
        <v>53</v>
      </c>
      <c r="K249" s="3" t="s">
        <v>70</v>
      </c>
      <c r="L249" s="3" t="s">
        <v>56</v>
      </c>
      <c r="M249" s="3" t="s">
        <v>57</v>
      </c>
      <c r="N249" s="3" t="s">
        <v>432</v>
      </c>
      <c r="O249" s="3" t="s">
        <v>59</v>
      </c>
      <c r="P249" s="8">
        <v>176751.72</v>
      </c>
      <c r="Q249" s="44" t="s">
        <v>60</v>
      </c>
      <c r="R249" s="57">
        <f t="shared" si="121"/>
        <v>46149</v>
      </c>
      <c r="S249" s="13" t="s">
        <v>61</v>
      </c>
      <c r="T249" s="35">
        <v>46171</v>
      </c>
      <c r="U249" s="37">
        <v>46079</v>
      </c>
      <c r="V249" s="37">
        <f t="shared" si="134"/>
        <v>46202</v>
      </c>
      <c r="W249" s="59">
        <f t="shared" si="102"/>
        <v>53</v>
      </c>
      <c r="X249" s="59">
        <f t="shared" si="103"/>
        <v>-70</v>
      </c>
      <c r="Y249" s="59">
        <f t="shared" si="104"/>
        <v>123</v>
      </c>
      <c r="Z249" s="39"/>
      <c r="AA249" s="4" t="s">
        <v>535</v>
      </c>
      <c r="AB249" s="35">
        <v>46170</v>
      </c>
      <c r="AC249" s="13">
        <v>176751.72</v>
      </c>
      <c r="AD249" s="13">
        <v>7642</v>
      </c>
      <c r="AE249" s="13" t="s">
        <v>63</v>
      </c>
      <c r="AF249" s="35">
        <v>46175</v>
      </c>
      <c r="AG249" s="3" t="str">
        <f t="shared" si="132"/>
        <v>CIF</v>
      </c>
      <c r="AH249" s="339" t="s">
        <v>588</v>
      </c>
      <c r="AI249" s="36" t="e">
        <f>#REF!</f>
        <v>#REF!</v>
      </c>
      <c r="AJ249" s="36">
        <v>0</v>
      </c>
      <c r="AK249" s="142">
        <f t="shared" si="126"/>
        <v>0</v>
      </c>
      <c r="AL249" s="47"/>
      <c r="AM249" s="153">
        <v>46175</v>
      </c>
      <c r="AN249" s="63">
        <f t="shared" si="127"/>
        <v>0</v>
      </c>
      <c r="AO249" s="34" t="s">
        <v>65</v>
      </c>
      <c r="AP249" s="64">
        <f t="shared" si="125"/>
        <v>46202</v>
      </c>
      <c r="AQ249" s="64">
        <f t="shared" si="130"/>
        <v>46175</v>
      </c>
      <c r="AR249" s="65">
        <f t="shared" si="106"/>
        <v>53</v>
      </c>
      <c r="AS249" s="65">
        <f t="shared" si="107"/>
        <v>26</v>
      </c>
      <c r="AT249" s="157">
        <f t="shared" si="108"/>
        <v>27</v>
      </c>
      <c r="AU249" s="13"/>
      <c r="AV249" s="13"/>
      <c r="AW249" s="109">
        <f t="shared" si="133"/>
        <v>176751.72</v>
      </c>
      <c r="AX249" s="66">
        <f t="shared" si="128"/>
        <v>0</v>
      </c>
      <c r="AY249" s="66"/>
      <c r="AZ249" s="66">
        <f t="shared" si="129"/>
        <v>0</v>
      </c>
      <c r="BA249" s="30"/>
    </row>
    <row r="250" spans="1:54" ht="21.6" customHeight="1" x14ac:dyDescent="0.3">
      <c r="A250" s="2" t="s">
        <v>626</v>
      </c>
      <c r="B250" s="3" t="s">
        <v>67</v>
      </c>
      <c r="C250" s="3" t="s">
        <v>613</v>
      </c>
      <c r="D250" s="3"/>
      <c r="E250" s="3"/>
      <c r="F250" s="3"/>
      <c r="G250" s="144">
        <v>624</v>
      </c>
      <c r="H250" s="394">
        <v>46149</v>
      </c>
      <c r="I250" s="50">
        <v>46168</v>
      </c>
      <c r="J250" s="15">
        <f t="shared" si="131"/>
        <v>19</v>
      </c>
      <c r="K250" s="3" t="s">
        <v>55</v>
      </c>
      <c r="L250" s="3" t="s">
        <v>627</v>
      </c>
      <c r="M250" s="3" t="s">
        <v>72</v>
      </c>
      <c r="N250" s="3"/>
      <c r="O250" s="3" t="s">
        <v>59</v>
      </c>
      <c r="P250" s="8">
        <v>293382.05000000005</v>
      </c>
      <c r="Q250" s="44" t="s">
        <v>60</v>
      </c>
      <c r="R250" s="57">
        <f t="shared" ref="R250:R267" si="135">H250</f>
        <v>46149</v>
      </c>
      <c r="S250" s="13" t="s">
        <v>61</v>
      </c>
      <c r="T250" s="35">
        <v>46168</v>
      </c>
      <c r="U250" s="37">
        <v>46168</v>
      </c>
      <c r="V250" s="37">
        <f t="shared" si="134"/>
        <v>46168</v>
      </c>
      <c r="W250" s="59">
        <f t="shared" si="102"/>
        <v>19</v>
      </c>
      <c r="X250" s="59">
        <f t="shared" si="103"/>
        <v>19</v>
      </c>
      <c r="Y250" s="59">
        <f t="shared" si="104"/>
        <v>0</v>
      </c>
      <c r="Z250" s="39"/>
      <c r="AA250" s="4" t="s">
        <v>535</v>
      </c>
      <c r="AB250" s="35">
        <v>46169</v>
      </c>
      <c r="AC250" s="13">
        <v>294584.92</v>
      </c>
      <c r="AD250" s="13">
        <v>21</v>
      </c>
      <c r="AE250" s="13" t="s">
        <v>63</v>
      </c>
      <c r="AF250" s="35"/>
      <c r="AG250" s="3" t="str">
        <f t="shared" si="132"/>
        <v>FOB</v>
      </c>
      <c r="AH250" s="28"/>
      <c r="AI250" s="36" t="e">
        <f>#REF!</f>
        <v>#REF!</v>
      </c>
      <c r="AJ250" s="36">
        <v>0</v>
      </c>
      <c r="AK250" s="142">
        <f t="shared" si="126"/>
        <v>0</v>
      </c>
      <c r="AL250" s="47"/>
      <c r="AM250" s="153">
        <v>46168</v>
      </c>
      <c r="AN250" s="63">
        <f t="shared" si="127"/>
        <v>46168</v>
      </c>
      <c r="AO250" s="34" t="s">
        <v>65</v>
      </c>
      <c r="AP250" s="64">
        <f t="shared" si="125"/>
        <v>46168</v>
      </c>
      <c r="AQ250" s="64">
        <f t="shared" si="130"/>
        <v>46168</v>
      </c>
      <c r="AR250" s="65">
        <f t="shared" si="106"/>
        <v>19</v>
      </c>
      <c r="AS250" s="65">
        <f t="shared" si="107"/>
        <v>19</v>
      </c>
      <c r="AT250" s="157">
        <f t="shared" si="108"/>
        <v>0</v>
      </c>
      <c r="AU250" s="13"/>
      <c r="AV250" s="13"/>
      <c r="AW250" s="109">
        <f t="shared" si="133"/>
        <v>294584.92</v>
      </c>
      <c r="AX250" s="66">
        <f t="shared" si="128"/>
        <v>0</v>
      </c>
      <c r="AY250" s="66"/>
      <c r="AZ250" s="66">
        <f t="shared" si="129"/>
        <v>0</v>
      </c>
      <c r="BA250" s="30"/>
    </row>
    <row r="251" spans="1:54" ht="21.6" customHeight="1" x14ac:dyDescent="0.3">
      <c r="A251" s="2" t="s">
        <v>455</v>
      </c>
      <c r="B251" s="3" t="s">
        <v>91</v>
      </c>
      <c r="C251" s="3" t="s">
        <v>78</v>
      </c>
      <c r="D251" s="3"/>
      <c r="E251" s="3">
        <v>4505483489</v>
      </c>
      <c r="F251" s="3"/>
      <c r="G251" s="144" t="s">
        <v>632</v>
      </c>
      <c r="H251" s="394">
        <v>46149</v>
      </c>
      <c r="I251" s="50">
        <v>46196</v>
      </c>
      <c r="J251" s="15">
        <f t="shared" si="131"/>
        <v>47</v>
      </c>
      <c r="K251" s="3" t="s">
        <v>55</v>
      </c>
      <c r="L251" s="3" t="s">
        <v>56</v>
      </c>
      <c r="M251" s="3" t="s">
        <v>92</v>
      </c>
      <c r="N251" s="3" t="s">
        <v>363</v>
      </c>
      <c r="O251" s="3" t="s">
        <v>59</v>
      </c>
      <c r="P251" s="8">
        <v>18794.5</v>
      </c>
      <c r="Q251" s="44" t="s">
        <v>60</v>
      </c>
      <c r="R251" s="57">
        <f t="shared" si="135"/>
        <v>46149</v>
      </c>
      <c r="S251" s="13" t="s">
        <v>61</v>
      </c>
      <c r="T251" s="35">
        <v>46171</v>
      </c>
      <c r="U251" s="37">
        <v>46181</v>
      </c>
      <c r="V251" s="37">
        <f t="shared" si="134"/>
        <v>46196</v>
      </c>
      <c r="W251" s="59">
        <f t="shared" si="102"/>
        <v>47</v>
      </c>
      <c r="X251" s="59">
        <f t="shared" si="103"/>
        <v>32</v>
      </c>
      <c r="Y251" s="59">
        <f t="shared" si="104"/>
        <v>15</v>
      </c>
      <c r="Z251" s="39"/>
      <c r="AA251" s="4" t="s">
        <v>535</v>
      </c>
      <c r="AB251" s="35">
        <v>46170</v>
      </c>
      <c r="AC251" s="13">
        <v>18794.5</v>
      </c>
      <c r="AD251" s="13">
        <v>6831</v>
      </c>
      <c r="AE251" s="13" t="s">
        <v>63</v>
      </c>
      <c r="AF251" s="35">
        <v>46184</v>
      </c>
      <c r="AG251" s="3" t="str">
        <f t="shared" si="132"/>
        <v>FOB</v>
      </c>
      <c r="AH251" s="13"/>
      <c r="AI251" s="36" t="e">
        <f>#REF!</f>
        <v>#REF!</v>
      </c>
      <c r="AJ251" s="36">
        <v>0</v>
      </c>
      <c r="AK251" s="142">
        <f t="shared" si="126"/>
        <v>0</v>
      </c>
      <c r="AL251" s="47">
        <v>46181</v>
      </c>
      <c r="AM251" s="153">
        <v>46181</v>
      </c>
      <c r="AN251" s="63">
        <f t="shared" si="127"/>
        <v>-3</v>
      </c>
      <c r="AO251" s="34" t="s">
        <v>65</v>
      </c>
      <c r="AP251" s="64">
        <f t="shared" si="125"/>
        <v>46196</v>
      </c>
      <c r="AQ251" s="64">
        <f t="shared" si="130"/>
        <v>46181</v>
      </c>
      <c r="AR251" s="65">
        <f t="shared" si="106"/>
        <v>47</v>
      </c>
      <c r="AS251" s="65">
        <f t="shared" si="107"/>
        <v>32</v>
      </c>
      <c r="AT251" s="157">
        <f t="shared" si="108"/>
        <v>15</v>
      </c>
      <c r="AU251" s="13"/>
      <c r="AV251" s="13"/>
      <c r="AW251" s="109">
        <f t="shared" si="133"/>
        <v>18794.5</v>
      </c>
      <c r="AX251" s="66">
        <f t="shared" si="128"/>
        <v>0</v>
      </c>
      <c r="AY251" s="66"/>
      <c r="AZ251" s="66">
        <f t="shared" si="129"/>
        <v>0</v>
      </c>
      <c r="BA251" s="30"/>
    </row>
    <row r="252" spans="1:54" ht="21.6" customHeight="1" x14ac:dyDescent="0.3">
      <c r="A252" s="2" t="s">
        <v>455</v>
      </c>
      <c r="B252" s="3" t="s">
        <v>91</v>
      </c>
      <c r="C252" s="3" t="s">
        <v>613</v>
      </c>
      <c r="D252" s="3"/>
      <c r="E252" s="333">
        <v>4505483489</v>
      </c>
      <c r="F252" s="3"/>
      <c r="G252" s="144" t="s">
        <v>633</v>
      </c>
      <c r="H252" s="394">
        <v>46149</v>
      </c>
      <c r="I252" s="50">
        <v>46196</v>
      </c>
      <c r="J252" s="15">
        <f t="shared" si="131"/>
        <v>47</v>
      </c>
      <c r="K252" s="3" t="s">
        <v>55</v>
      </c>
      <c r="L252" s="3" t="s">
        <v>56</v>
      </c>
      <c r="M252" s="3" t="s">
        <v>92</v>
      </c>
      <c r="N252" s="3" t="s">
        <v>363</v>
      </c>
      <c r="O252" s="3" t="s">
        <v>59</v>
      </c>
      <c r="P252" s="8">
        <v>13940.86</v>
      </c>
      <c r="Q252" s="44" t="s">
        <v>60</v>
      </c>
      <c r="R252" s="57">
        <f t="shared" si="135"/>
        <v>46149</v>
      </c>
      <c r="S252" s="13" t="s">
        <v>61</v>
      </c>
      <c r="T252" s="35">
        <v>46176</v>
      </c>
      <c r="U252" s="37">
        <v>46176</v>
      </c>
      <c r="V252" s="37">
        <f t="shared" si="134"/>
        <v>46196</v>
      </c>
      <c r="W252" s="59">
        <f t="shared" si="102"/>
        <v>47</v>
      </c>
      <c r="X252" s="59">
        <f t="shared" si="103"/>
        <v>27</v>
      </c>
      <c r="Y252" s="59">
        <f t="shared" si="104"/>
        <v>20</v>
      </c>
      <c r="Z252" s="39"/>
      <c r="AA252" s="4" t="s">
        <v>634</v>
      </c>
      <c r="AB252" s="35">
        <v>46191</v>
      </c>
      <c r="AC252" s="352">
        <v>13940.96</v>
      </c>
      <c r="AD252" s="13">
        <v>518</v>
      </c>
      <c r="AE252" s="13" t="s">
        <v>63</v>
      </c>
      <c r="AF252" s="35"/>
      <c r="AG252" s="3" t="str">
        <f t="shared" si="132"/>
        <v>FOB</v>
      </c>
      <c r="AH252" s="13" t="s">
        <v>635</v>
      </c>
      <c r="AI252" s="36" t="e">
        <f>#REF!</f>
        <v>#REF!</v>
      </c>
      <c r="AJ252" s="36">
        <v>0</v>
      </c>
      <c r="AK252" s="142">
        <f t="shared" si="126"/>
        <v>0</v>
      </c>
      <c r="AL252" s="47"/>
      <c r="AM252" s="153">
        <v>46191</v>
      </c>
      <c r="AN252" s="63">
        <f t="shared" si="127"/>
        <v>46191</v>
      </c>
      <c r="AO252" s="34" t="s">
        <v>65</v>
      </c>
      <c r="AP252" s="64">
        <f t="shared" si="125"/>
        <v>46196</v>
      </c>
      <c r="AQ252" s="64">
        <f t="shared" si="130"/>
        <v>46191</v>
      </c>
      <c r="AR252" s="65">
        <f t="shared" si="106"/>
        <v>47</v>
      </c>
      <c r="AS252" s="65">
        <f t="shared" si="107"/>
        <v>42</v>
      </c>
      <c r="AT252" s="157">
        <f t="shared" si="108"/>
        <v>5</v>
      </c>
      <c r="AU252" s="13"/>
      <c r="AV252" s="13"/>
      <c r="AW252" s="109">
        <f t="shared" si="133"/>
        <v>13940.96</v>
      </c>
      <c r="AX252" s="66">
        <f t="shared" si="128"/>
        <v>0</v>
      </c>
      <c r="AY252" s="66"/>
      <c r="AZ252" s="66">
        <f t="shared" si="129"/>
        <v>0</v>
      </c>
      <c r="BA252" s="30"/>
    </row>
    <row r="253" spans="1:54" ht="21.6" customHeight="1" x14ac:dyDescent="0.3">
      <c r="A253" s="2" t="s">
        <v>137</v>
      </c>
      <c r="B253" s="3" t="s">
        <v>67</v>
      </c>
      <c r="C253" s="3" t="s">
        <v>78</v>
      </c>
      <c r="D253" s="3"/>
      <c r="E253" s="3" t="s">
        <v>636</v>
      </c>
      <c r="F253" s="3"/>
      <c r="G253" s="144">
        <v>573</v>
      </c>
      <c r="H253" s="394">
        <v>46150</v>
      </c>
      <c r="I253" s="50">
        <v>46180</v>
      </c>
      <c r="J253" s="15">
        <f t="shared" si="131"/>
        <v>30</v>
      </c>
      <c r="K253" s="3" t="s">
        <v>55</v>
      </c>
      <c r="L253" s="3" t="s">
        <v>139</v>
      </c>
      <c r="M253" s="3" t="s">
        <v>72</v>
      </c>
      <c r="N253" s="3"/>
      <c r="O253" s="3" t="s">
        <v>59</v>
      </c>
      <c r="P253" s="8">
        <v>14649.97</v>
      </c>
      <c r="Q253" s="44" t="s">
        <v>60</v>
      </c>
      <c r="R253" s="57">
        <f t="shared" si="135"/>
        <v>46150</v>
      </c>
      <c r="S253" s="13" t="s">
        <v>61</v>
      </c>
      <c r="T253" s="35">
        <v>46171</v>
      </c>
      <c r="U253" s="37">
        <v>46175</v>
      </c>
      <c r="V253" s="37">
        <f t="shared" si="134"/>
        <v>46180</v>
      </c>
      <c r="W253" s="59">
        <f t="shared" si="102"/>
        <v>30</v>
      </c>
      <c r="X253" s="59">
        <f t="shared" si="103"/>
        <v>25</v>
      </c>
      <c r="Y253" s="59">
        <f t="shared" si="104"/>
        <v>5</v>
      </c>
      <c r="Z253" s="39"/>
      <c r="AA253" s="4" t="s">
        <v>535</v>
      </c>
      <c r="AB253" s="35">
        <v>46172</v>
      </c>
      <c r="AC253" s="352">
        <v>14756.46</v>
      </c>
      <c r="AD253" s="13">
        <v>7655</v>
      </c>
      <c r="AE253" s="13" t="s">
        <v>63</v>
      </c>
      <c r="AF253" s="35">
        <v>46182</v>
      </c>
      <c r="AG253" s="3" t="str">
        <f t="shared" si="132"/>
        <v>FOB</v>
      </c>
      <c r="AH253" s="13" t="s">
        <v>545</v>
      </c>
      <c r="AI253" s="36" t="e">
        <f>#REF!</f>
        <v>#REF!</v>
      </c>
      <c r="AJ253" s="36">
        <v>0</v>
      </c>
      <c r="AK253" s="142">
        <f t="shared" si="126"/>
        <v>0</v>
      </c>
      <c r="AL253" s="47"/>
      <c r="AM253" s="153">
        <v>46175</v>
      </c>
      <c r="AN253" s="63">
        <f t="shared" si="127"/>
        <v>-7</v>
      </c>
      <c r="AO253" s="34" t="s">
        <v>65</v>
      </c>
      <c r="AP253" s="64">
        <f t="shared" si="125"/>
        <v>46180</v>
      </c>
      <c r="AQ253" s="64">
        <f t="shared" si="130"/>
        <v>46175</v>
      </c>
      <c r="AR253" s="65">
        <f t="shared" si="106"/>
        <v>30</v>
      </c>
      <c r="AS253" s="65">
        <f t="shared" si="107"/>
        <v>25</v>
      </c>
      <c r="AT253" s="157">
        <f t="shared" si="108"/>
        <v>5</v>
      </c>
      <c r="AU253" s="13"/>
      <c r="AV253" s="13"/>
      <c r="AW253" s="109">
        <f t="shared" si="133"/>
        <v>14756.46</v>
      </c>
      <c r="AX253" s="66">
        <f t="shared" si="128"/>
        <v>0</v>
      </c>
      <c r="AY253" s="66"/>
      <c r="AZ253" s="66">
        <f t="shared" si="129"/>
        <v>0</v>
      </c>
      <c r="BA253" s="30"/>
    </row>
    <row r="254" spans="1:54" s="179" customFormat="1" ht="21.6" customHeight="1" x14ac:dyDescent="0.3">
      <c r="A254" s="2" t="s">
        <v>637</v>
      </c>
      <c r="B254" s="3" t="s">
        <v>77</v>
      </c>
      <c r="C254" s="3" t="s">
        <v>78</v>
      </c>
      <c r="D254" s="3" t="s">
        <v>53</v>
      </c>
      <c r="E254" s="3" t="s">
        <v>638</v>
      </c>
      <c r="F254" s="3" t="s">
        <v>639</v>
      </c>
      <c r="G254" s="144">
        <v>552</v>
      </c>
      <c r="H254" s="394">
        <v>46153</v>
      </c>
      <c r="I254" s="50">
        <v>46184</v>
      </c>
      <c r="J254" s="15">
        <f t="shared" si="131"/>
        <v>31</v>
      </c>
      <c r="K254" s="3" t="s">
        <v>55</v>
      </c>
      <c r="L254" s="3" t="s">
        <v>56</v>
      </c>
      <c r="M254" s="3" t="s">
        <v>208</v>
      </c>
      <c r="N254" s="3" t="s">
        <v>640</v>
      </c>
      <c r="O254" s="3" t="s">
        <v>59</v>
      </c>
      <c r="P254" s="8">
        <v>220619.38</v>
      </c>
      <c r="Q254" s="44" t="s">
        <v>60</v>
      </c>
      <c r="R254" s="57">
        <f t="shared" si="135"/>
        <v>46153</v>
      </c>
      <c r="S254" s="13" t="s">
        <v>61</v>
      </c>
      <c r="T254" s="35">
        <v>46171</v>
      </c>
      <c r="U254" s="37">
        <v>46181</v>
      </c>
      <c r="V254" s="37">
        <f t="shared" si="134"/>
        <v>46184</v>
      </c>
      <c r="W254" s="59">
        <f t="shared" si="102"/>
        <v>31</v>
      </c>
      <c r="X254" s="59">
        <f t="shared" si="103"/>
        <v>28</v>
      </c>
      <c r="Y254" s="59">
        <f t="shared" si="104"/>
        <v>3</v>
      </c>
      <c r="Z254" s="39"/>
      <c r="AA254" s="4" t="s">
        <v>535</v>
      </c>
      <c r="AB254" s="35">
        <v>46171</v>
      </c>
      <c r="AC254" s="13">
        <v>220618.5</v>
      </c>
      <c r="AD254" s="13">
        <v>7651</v>
      </c>
      <c r="AE254" s="13" t="s">
        <v>63</v>
      </c>
      <c r="AF254" s="35">
        <v>46182</v>
      </c>
      <c r="AG254" s="3" t="str">
        <f t="shared" si="132"/>
        <v>FOB</v>
      </c>
      <c r="AH254" s="28" t="s">
        <v>641</v>
      </c>
      <c r="AI254" s="36" t="e">
        <f>#REF!</f>
        <v>#REF!</v>
      </c>
      <c r="AJ254" s="36">
        <v>0</v>
      </c>
      <c r="AK254" s="142">
        <f t="shared" si="126"/>
        <v>0</v>
      </c>
      <c r="AL254" s="47">
        <v>46181</v>
      </c>
      <c r="AM254" s="153">
        <v>46181</v>
      </c>
      <c r="AN254" s="63">
        <f t="shared" si="127"/>
        <v>-1</v>
      </c>
      <c r="AO254" s="34" t="s">
        <v>65</v>
      </c>
      <c r="AP254" s="64">
        <f t="shared" si="125"/>
        <v>46184</v>
      </c>
      <c r="AQ254" s="64">
        <f t="shared" si="130"/>
        <v>46181</v>
      </c>
      <c r="AR254" s="65">
        <f t="shared" si="106"/>
        <v>31</v>
      </c>
      <c r="AS254" s="65">
        <f t="shared" si="107"/>
        <v>28</v>
      </c>
      <c r="AT254" s="157">
        <f t="shared" si="108"/>
        <v>3</v>
      </c>
      <c r="AU254" s="13"/>
      <c r="AV254" s="13"/>
      <c r="AW254" s="109">
        <f t="shared" si="133"/>
        <v>220618.5</v>
      </c>
      <c r="AX254" s="66">
        <f t="shared" si="128"/>
        <v>0</v>
      </c>
      <c r="AY254" s="66"/>
      <c r="AZ254" s="66">
        <f t="shared" si="129"/>
        <v>0</v>
      </c>
      <c r="BA254" s="30"/>
      <c r="BB254" s="1"/>
    </row>
    <row r="255" spans="1:54" ht="21" customHeight="1" x14ac:dyDescent="0.45">
      <c r="A255" s="301" t="s">
        <v>90</v>
      </c>
      <c r="B255" s="3" t="s">
        <v>91</v>
      </c>
      <c r="C255" s="3" t="s">
        <v>78</v>
      </c>
      <c r="D255" s="3" t="s">
        <v>53</v>
      </c>
      <c r="E255" s="3">
        <v>4413203224</v>
      </c>
      <c r="F255" s="3" t="s">
        <v>53</v>
      </c>
      <c r="G255" s="144">
        <v>578</v>
      </c>
      <c r="H255" s="394">
        <v>46153</v>
      </c>
      <c r="I255" s="50">
        <v>46174</v>
      </c>
      <c r="J255" s="3">
        <f t="shared" si="131"/>
        <v>21</v>
      </c>
      <c r="K255" s="3" t="s">
        <v>70</v>
      </c>
      <c r="L255" s="3" t="s">
        <v>56</v>
      </c>
      <c r="M255" s="3" t="s">
        <v>92</v>
      </c>
      <c r="N255" s="3" t="s">
        <v>93</v>
      </c>
      <c r="O255" s="3" t="s">
        <v>59</v>
      </c>
      <c r="P255" s="302">
        <v>5018</v>
      </c>
      <c r="Q255" s="44" t="s">
        <v>100</v>
      </c>
      <c r="R255" s="57">
        <f t="shared" si="135"/>
        <v>46153</v>
      </c>
      <c r="S255" s="13" t="s">
        <v>61</v>
      </c>
      <c r="T255" s="35">
        <v>46170</v>
      </c>
      <c r="U255" s="37">
        <v>46170</v>
      </c>
      <c r="V255" s="37">
        <f t="shared" si="134"/>
        <v>46174</v>
      </c>
      <c r="W255" s="59">
        <f t="shared" si="102"/>
        <v>21</v>
      </c>
      <c r="X255" s="59">
        <f t="shared" si="103"/>
        <v>17</v>
      </c>
      <c r="Y255" s="59">
        <f t="shared" si="104"/>
        <v>4</v>
      </c>
      <c r="Z255" s="39"/>
      <c r="AA255" s="4" t="s">
        <v>535</v>
      </c>
      <c r="AB255" s="35">
        <v>46170</v>
      </c>
      <c r="AC255" s="13">
        <v>5018</v>
      </c>
      <c r="AD255" s="13">
        <v>7636</v>
      </c>
      <c r="AE255" s="13" t="s">
        <v>63</v>
      </c>
      <c r="AF255" s="35">
        <v>46170</v>
      </c>
      <c r="AG255" s="3" t="str">
        <f t="shared" si="132"/>
        <v>CIF</v>
      </c>
      <c r="AH255" s="374" t="s">
        <v>588</v>
      </c>
      <c r="AI255" s="36" t="e">
        <f>#REF!</f>
        <v>#REF!</v>
      </c>
      <c r="AJ255" s="36">
        <v>0</v>
      </c>
      <c r="AK255" s="142">
        <f t="shared" si="126"/>
        <v>0</v>
      </c>
      <c r="AL255" s="47"/>
      <c r="AM255" s="155">
        <v>46170</v>
      </c>
      <c r="AN255" s="63">
        <f t="shared" si="127"/>
        <v>0</v>
      </c>
      <c r="AO255" s="34" t="s">
        <v>65</v>
      </c>
      <c r="AP255" s="64">
        <f t="shared" si="125"/>
        <v>46174</v>
      </c>
      <c r="AQ255" s="64">
        <f t="shared" si="130"/>
        <v>46170</v>
      </c>
      <c r="AR255" s="65">
        <f t="shared" si="106"/>
        <v>21</v>
      </c>
      <c r="AS255" s="65">
        <f t="shared" si="107"/>
        <v>17</v>
      </c>
      <c r="AT255" s="157">
        <f t="shared" si="108"/>
        <v>4</v>
      </c>
      <c r="AU255" s="13"/>
      <c r="AV255" s="13"/>
      <c r="AW255" s="109">
        <f t="shared" si="133"/>
        <v>5018</v>
      </c>
      <c r="AX255" s="66">
        <f t="shared" si="128"/>
        <v>0</v>
      </c>
      <c r="AY255" s="66"/>
      <c r="AZ255" s="66">
        <f t="shared" si="129"/>
        <v>0</v>
      </c>
      <c r="BA255" s="30"/>
      <c r="BB255" s="179"/>
    </row>
    <row r="256" spans="1:54" ht="21.6" customHeight="1" x14ac:dyDescent="0.45">
      <c r="A256" s="14" t="s">
        <v>90</v>
      </c>
      <c r="B256" s="15" t="s">
        <v>91</v>
      </c>
      <c r="C256" s="15" t="s">
        <v>78</v>
      </c>
      <c r="D256" s="15" t="s">
        <v>53</v>
      </c>
      <c r="E256" s="15">
        <v>4413203224</v>
      </c>
      <c r="F256" s="5" t="s">
        <v>53</v>
      </c>
      <c r="G256" s="111" t="s">
        <v>642</v>
      </c>
      <c r="H256" s="393">
        <v>46153</v>
      </c>
      <c r="I256" s="51">
        <v>46181</v>
      </c>
      <c r="J256" s="15">
        <f t="shared" si="131"/>
        <v>28</v>
      </c>
      <c r="K256" s="15" t="s">
        <v>70</v>
      </c>
      <c r="L256" s="15" t="s">
        <v>56</v>
      </c>
      <c r="M256" s="15" t="s">
        <v>92</v>
      </c>
      <c r="N256" s="15" t="s">
        <v>93</v>
      </c>
      <c r="O256" s="15" t="s">
        <v>59</v>
      </c>
      <c r="P256" s="16">
        <v>8125</v>
      </c>
      <c r="Q256" s="44" t="s">
        <v>100</v>
      </c>
      <c r="R256" s="57">
        <f t="shared" si="135"/>
        <v>46153</v>
      </c>
      <c r="S256" s="13" t="s">
        <v>61</v>
      </c>
      <c r="T256" s="35">
        <v>46197</v>
      </c>
      <c r="U256" s="37">
        <v>46196</v>
      </c>
      <c r="V256" s="37">
        <f t="shared" si="134"/>
        <v>46181</v>
      </c>
      <c r="W256" s="59">
        <f t="shared" si="102"/>
        <v>28</v>
      </c>
      <c r="X256" s="59">
        <f t="shared" si="103"/>
        <v>43</v>
      </c>
      <c r="Y256" s="59">
        <f t="shared" si="104"/>
        <v>-15</v>
      </c>
      <c r="Z256" s="39"/>
      <c r="AA256" s="4" t="s">
        <v>643</v>
      </c>
      <c r="AB256" s="35">
        <v>46196</v>
      </c>
      <c r="AC256" s="352">
        <v>8125</v>
      </c>
      <c r="AD256" s="3">
        <v>7700</v>
      </c>
      <c r="AE256" s="13" t="s">
        <v>63</v>
      </c>
      <c r="AF256" s="35">
        <v>46196</v>
      </c>
      <c r="AG256" s="3" t="str">
        <f t="shared" si="132"/>
        <v>CIF</v>
      </c>
      <c r="AH256" s="358" t="s">
        <v>588</v>
      </c>
      <c r="AI256" s="36" t="e">
        <f>#REF!</f>
        <v>#REF!</v>
      </c>
      <c r="AJ256" s="36">
        <v>0</v>
      </c>
      <c r="AK256" s="142">
        <f t="shared" si="126"/>
        <v>0</v>
      </c>
      <c r="AL256" s="47"/>
      <c r="AM256" s="155">
        <v>46196</v>
      </c>
      <c r="AN256" s="63">
        <f t="shared" si="127"/>
        <v>0</v>
      </c>
      <c r="AO256" s="34" t="s">
        <v>103</v>
      </c>
      <c r="AP256" s="64">
        <f t="shared" si="125"/>
        <v>46181</v>
      </c>
      <c r="AQ256" s="64">
        <f t="shared" si="130"/>
        <v>46196</v>
      </c>
      <c r="AR256" s="65">
        <f t="shared" si="106"/>
        <v>28</v>
      </c>
      <c r="AS256" s="65">
        <f t="shared" si="107"/>
        <v>43</v>
      </c>
      <c r="AT256" s="157">
        <f t="shared" si="108"/>
        <v>-15</v>
      </c>
      <c r="AU256" s="13" t="s">
        <v>644</v>
      </c>
      <c r="AV256" s="13" t="s">
        <v>105</v>
      </c>
      <c r="AW256" s="109">
        <f t="shared" si="133"/>
        <v>8125</v>
      </c>
      <c r="AX256" s="66">
        <f t="shared" si="128"/>
        <v>0</v>
      </c>
      <c r="AY256" s="66"/>
      <c r="AZ256" s="66">
        <f t="shared" si="129"/>
        <v>0</v>
      </c>
      <c r="BA256" s="30"/>
    </row>
    <row r="257" spans="1:53" ht="21.6" customHeight="1" x14ac:dyDescent="0.45">
      <c r="A257" s="2" t="s">
        <v>356</v>
      </c>
      <c r="B257" s="3" t="s">
        <v>171</v>
      </c>
      <c r="C257" s="3" t="s">
        <v>78</v>
      </c>
      <c r="D257" s="3"/>
      <c r="E257" s="3"/>
      <c r="F257" s="3"/>
      <c r="G257" s="144">
        <v>579</v>
      </c>
      <c r="H257" s="394">
        <v>46154</v>
      </c>
      <c r="I257" s="50">
        <v>46203</v>
      </c>
      <c r="J257" s="15">
        <f t="shared" si="131"/>
        <v>49</v>
      </c>
      <c r="K257" s="3" t="s">
        <v>70</v>
      </c>
      <c r="L257" s="3" t="s">
        <v>56</v>
      </c>
      <c r="M257" s="3" t="s">
        <v>186</v>
      </c>
      <c r="N257" s="3" t="s">
        <v>190</v>
      </c>
      <c r="O257" s="3" t="s">
        <v>59</v>
      </c>
      <c r="P257" s="8">
        <v>40976.639999999999</v>
      </c>
      <c r="Q257" s="44" t="s">
        <v>60</v>
      </c>
      <c r="R257" s="57">
        <f t="shared" si="135"/>
        <v>46154</v>
      </c>
      <c r="S257" s="13" t="s">
        <v>61</v>
      </c>
      <c r="T257" s="35">
        <v>46176</v>
      </c>
      <c r="U257" s="37">
        <v>46176</v>
      </c>
      <c r="V257" s="37">
        <f t="shared" si="134"/>
        <v>46203</v>
      </c>
      <c r="W257" s="59">
        <f t="shared" si="102"/>
        <v>49</v>
      </c>
      <c r="X257" s="59">
        <f t="shared" si="103"/>
        <v>22</v>
      </c>
      <c r="Y257" s="59">
        <f t="shared" si="104"/>
        <v>27</v>
      </c>
      <c r="Z257" s="39"/>
      <c r="AA257" s="4" t="s">
        <v>634</v>
      </c>
      <c r="AB257" s="35">
        <v>46183</v>
      </c>
      <c r="AC257" s="13" t="s">
        <v>645</v>
      </c>
      <c r="AD257" s="13">
        <v>7668</v>
      </c>
      <c r="AE257" s="13" t="s">
        <v>63</v>
      </c>
      <c r="AF257" s="35">
        <v>46183</v>
      </c>
      <c r="AG257" s="3" t="s">
        <v>70</v>
      </c>
      <c r="AH257" s="377" t="s">
        <v>646</v>
      </c>
      <c r="AI257" s="36"/>
      <c r="AJ257" s="36"/>
      <c r="AK257" s="142"/>
      <c r="AL257" s="47"/>
      <c r="AM257" s="155">
        <v>46189</v>
      </c>
      <c r="AN257" s="63"/>
      <c r="AO257" s="34" t="s">
        <v>65</v>
      </c>
      <c r="AP257" s="64">
        <f t="shared" si="125"/>
        <v>46203</v>
      </c>
      <c r="AQ257" s="64" t="s">
        <v>647</v>
      </c>
      <c r="AR257" s="65">
        <f t="shared" si="106"/>
        <v>49</v>
      </c>
      <c r="AS257" s="65">
        <f t="shared" si="107"/>
        <v>35</v>
      </c>
      <c r="AT257" s="157">
        <f t="shared" si="108"/>
        <v>14</v>
      </c>
      <c r="AU257" s="13"/>
      <c r="AV257" s="13"/>
      <c r="AW257" s="109" t="str">
        <f t="shared" si="133"/>
        <v>40.976,64</v>
      </c>
      <c r="AX257" s="66"/>
      <c r="AY257" s="66"/>
      <c r="AZ257" s="66"/>
      <c r="BA257" s="30"/>
    </row>
    <row r="258" spans="1:53" ht="21.6" customHeight="1" x14ac:dyDescent="0.3">
      <c r="A258" s="2" t="s">
        <v>648</v>
      </c>
      <c r="B258" s="3" t="s">
        <v>67</v>
      </c>
      <c r="C258" s="3" t="s">
        <v>78</v>
      </c>
      <c r="D258" s="3" t="s">
        <v>53</v>
      </c>
      <c r="E258" s="3" t="s">
        <v>53</v>
      </c>
      <c r="F258" t="s">
        <v>649</v>
      </c>
      <c r="G258" s="144">
        <v>581</v>
      </c>
      <c r="H258" s="394">
        <v>46154</v>
      </c>
      <c r="I258" s="50">
        <v>46165</v>
      </c>
      <c r="J258" s="15">
        <f t="shared" si="131"/>
        <v>11</v>
      </c>
      <c r="K258" s="3" t="s">
        <v>70</v>
      </c>
      <c r="L258" s="3" t="s">
        <v>650</v>
      </c>
      <c r="M258" s="3" t="s">
        <v>72</v>
      </c>
      <c r="N258" s="3"/>
      <c r="O258" s="3" t="s">
        <v>59</v>
      </c>
      <c r="P258" s="8">
        <v>57764.76</v>
      </c>
      <c r="Q258" s="44" t="s">
        <v>60</v>
      </c>
      <c r="R258" s="57">
        <f t="shared" si="135"/>
        <v>46154</v>
      </c>
      <c r="S258" s="13" t="s">
        <v>61</v>
      </c>
      <c r="T258" s="35">
        <v>46178</v>
      </c>
      <c r="U258" s="37">
        <v>46185</v>
      </c>
      <c r="V258" s="37">
        <f t="shared" si="134"/>
        <v>46165</v>
      </c>
      <c r="W258" s="59">
        <f t="shared" ref="W258:W320" si="136">V258-R258</f>
        <v>11</v>
      </c>
      <c r="X258" s="59">
        <f t="shared" ref="X258:X320" si="137">U258-R258</f>
        <v>31</v>
      </c>
      <c r="Y258" s="59">
        <f t="shared" ref="Y258:Y320" si="138">W258-X258</f>
        <v>-20</v>
      </c>
      <c r="Z258" s="39"/>
      <c r="AA258" s="4" t="s">
        <v>634</v>
      </c>
      <c r="AB258" s="35">
        <v>46185</v>
      </c>
      <c r="AC258" s="353">
        <v>54194.61</v>
      </c>
      <c r="AD258" s="13">
        <v>7672</v>
      </c>
      <c r="AE258" s="13" t="s">
        <v>63</v>
      </c>
      <c r="AF258" s="35">
        <v>46185</v>
      </c>
      <c r="AG258" s="3" t="str">
        <f>K258</f>
        <v>CIF</v>
      </c>
      <c r="AH258" s="358" t="s">
        <v>651</v>
      </c>
      <c r="AI258" s="36"/>
      <c r="AJ258" s="36"/>
      <c r="AK258" s="142"/>
      <c r="AL258" s="47">
        <v>46193</v>
      </c>
      <c r="AM258" s="153">
        <v>46195</v>
      </c>
      <c r="AN258" s="63"/>
      <c r="AO258" s="34" t="s">
        <v>103</v>
      </c>
      <c r="AP258" s="64">
        <f t="shared" si="125"/>
        <v>46165</v>
      </c>
      <c r="AQ258" s="64">
        <f t="shared" ref="AQ258" si="139">AM258</f>
        <v>46195</v>
      </c>
      <c r="AR258" s="65">
        <f t="shared" ref="AR258:AR296" si="140">AP258-H258</f>
        <v>11</v>
      </c>
      <c r="AS258" s="65">
        <f t="shared" ref="AS258:AS296" si="141">AM258-H258</f>
        <v>41</v>
      </c>
      <c r="AT258" s="157">
        <f t="shared" ref="AT258" si="142">AR258-AS258</f>
        <v>-30</v>
      </c>
      <c r="AU258" s="13" t="s">
        <v>652</v>
      </c>
      <c r="AV258" s="13" t="s">
        <v>116</v>
      </c>
      <c r="AW258" s="109"/>
      <c r="AX258" s="66"/>
      <c r="AY258" s="66"/>
      <c r="AZ258" s="66"/>
      <c r="BA258" s="30"/>
    </row>
    <row r="259" spans="1:53" ht="21.6" customHeight="1" x14ac:dyDescent="0.3">
      <c r="A259" s="2" t="s">
        <v>307</v>
      </c>
      <c r="B259" s="3" t="s">
        <v>91</v>
      </c>
      <c r="C259" s="3" t="s">
        <v>78</v>
      </c>
      <c r="D259" s="3" t="s">
        <v>53</v>
      </c>
      <c r="E259" s="3">
        <v>4501939796</v>
      </c>
      <c r="F259" s="3" t="s">
        <v>653</v>
      </c>
      <c r="G259" s="144">
        <v>582</v>
      </c>
      <c r="H259" s="394">
        <v>46154</v>
      </c>
      <c r="I259" s="50">
        <v>46184</v>
      </c>
      <c r="J259" s="15">
        <f t="shared" si="131"/>
        <v>30</v>
      </c>
      <c r="K259" s="3" t="s">
        <v>70</v>
      </c>
      <c r="L259" s="3" t="s">
        <v>56</v>
      </c>
      <c r="M259" s="3" t="s">
        <v>92</v>
      </c>
      <c r="N259" s="3" t="s">
        <v>227</v>
      </c>
      <c r="O259" s="3" t="s">
        <v>59</v>
      </c>
      <c r="P259" s="8">
        <v>77840.789999999994</v>
      </c>
      <c r="Q259" s="44" t="s">
        <v>60</v>
      </c>
      <c r="R259" s="57">
        <f t="shared" si="135"/>
        <v>46154</v>
      </c>
      <c r="S259" s="13" t="s">
        <v>61</v>
      </c>
      <c r="T259" s="35">
        <v>46171</v>
      </c>
      <c r="U259" s="37">
        <v>46168</v>
      </c>
      <c r="V259" s="37">
        <f t="shared" si="134"/>
        <v>46184</v>
      </c>
      <c r="W259" s="59">
        <f t="shared" si="136"/>
        <v>30</v>
      </c>
      <c r="X259" s="59">
        <f t="shared" si="137"/>
        <v>14</v>
      </c>
      <c r="Y259" s="59">
        <f t="shared" si="138"/>
        <v>16</v>
      </c>
      <c r="Z259" s="39"/>
      <c r="AA259" s="4" t="s">
        <v>535</v>
      </c>
      <c r="AB259" s="35">
        <v>46168</v>
      </c>
      <c r="AC259" s="13">
        <v>77840.789999999994</v>
      </c>
      <c r="AD259" s="13">
        <v>7630</v>
      </c>
      <c r="AE259" s="13" t="s">
        <v>63</v>
      </c>
      <c r="AF259" s="35">
        <v>46169</v>
      </c>
      <c r="AG259" s="13" t="str">
        <f>K259</f>
        <v>CIF</v>
      </c>
      <c r="AH259" s="32" t="s">
        <v>64</v>
      </c>
      <c r="AI259" s="36" t="e">
        <f>#REF!</f>
        <v>#REF!</v>
      </c>
      <c r="AJ259" s="36">
        <v>0</v>
      </c>
      <c r="AK259" s="142">
        <f>AJ259/AC259</f>
        <v>0</v>
      </c>
      <c r="AL259" s="47">
        <v>46169</v>
      </c>
      <c r="AM259" s="153">
        <v>46168</v>
      </c>
      <c r="AN259" s="63">
        <f>AM259-AF259</f>
        <v>-1</v>
      </c>
      <c r="AO259" s="34" t="s">
        <v>65</v>
      </c>
      <c r="AP259" s="64">
        <f t="shared" ref="AP259:AP267" si="143">I259</f>
        <v>46184</v>
      </c>
      <c r="AQ259" s="64">
        <f t="shared" ref="AQ259:AQ267" si="144">AM259</f>
        <v>46168</v>
      </c>
      <c r="AR259" s="65">
        <f t="shared" si="140"/>
        <v>30</v>
      </c>
      <c r="AS259" s="65">
        <f t="shared" si="141"/>
        <v>14</v>
      </c>
      <c r="AT259" s="157">
        <f t="shared" ref="AT259:AT267" si="145">AR259-AS259</f>
        <v>16</v>
      </c>
      <c r="AU259" s="13"/>
      <c r="AV259" s="13"/>
      <c r="AW259" s="109">
        <f t="shared" ref="AW259:AW268" si="146">AC259</f>
        <v>77840.789999999994</v>
      </c>
      <c r="AX259" s="66">
        <f t="shared" ref="AX259:AX267" si="147">Z259</f>
        <v>0</v>
      </c>
      <c r="AY259" s="66"/>
      <c r="AZ259" s="66">
        <f t="shared" ref="AZ259:AZ267" si="148">AJ259</f>
        <v>0</v>
      </c>
      <c r="BA259" s="30"/>
    </row>
    <row r="260" spans="1:53" ht="21.6" customHeight="1" x14ac:dyDescent="0.3">
      <c r="A260" s="2" t="s">
        <v>648</v>
      </c>
      <c r="B260" s="3" t="s">
        <v>67</v>
      </c>
      <c r="C260" s="3" t="s">
        <v>78</v>
      </c>
      <c r="D260" s="3" t="s">
        <v>53</v>
      </c>
      <c r="E260" s="3" t="s">
        <v>53</v>
      </c>
      <c r="F260" s="321" t="s">
        <v>618</v>
      </c>
      <c r="G260" s="144">
        <v>583</v>
      </c>
      <c r="H260" s="394">
        <v>46154</v>
      </c>
      <c r="I260" s="50">
        <v>46165</v>
      </c>
      <c r="J260" s="15">
        <f t="shared" si="131"/>
        <v>11</v>
      </c>
      <c r="K260" s="3" t="s">
        <v>70</v>
      </c>
      <c r="L260" s="3" t="s">
        <v>650</v>
      </c>
      <c r="M260" s="3" t="s">
        <v>72</v>
      </c>
      <c r="N260" s="3"/>
      <c r="O260" s="3" t="s">
        <v>59</v>
      </c>
      <c r="P260" s="8">
        <v>70906.240000000005</v>
      </c>
      <c r="Q260" s="44" t="s">
        <v>60</v>
      </c>
      <c r="R260" s="57">
        <f t="shared" si="135"/>
        <v>46154</v>
      </c>
      <c r="S260" s="13" t="s">
        <v>61</v>
      </c>
      <c r="T260" s="35">
        <v>46178</v>
      </c>
      <c r="U260" s="37">
        <v>46185</v>
      </c>
      <c r="V260" s="37">
        <f t="shared" si="134"/>
        <v>46165</v>
      </c>
      <c r="W260" s="59">
        <f t="shared" si="136"/>
        <v>11</v>
      </c>
      <c r="X260" s="59">
        <f t="shared" si="137"/>
        <v>31</v>
      </c>
      <c r="Y260" s="59">
        <f t="shared" si="138"/>
        <v>-20</v>
      </c>
      <c r="Z260" s="39"/>
      <c r="AA260" s="4" t="s">
        <v>634</v>
      </c>
      <c r="AB260" s="35">
        <v>46185</v>
      </c>
      <c r="AC260" s="354">
        <v>74331.53</v>
      </c>
      <c r="AD260" s="13">
        <v>7673</v>
      </c>
      <c r="AE260" s="13" t="s">
        <v>63</v>
      </c>
      <c r="AF260" s="35">
        <v>46185</v>
      </c>
      <c r="AG260" s="3" t="str">
        <f>K260</f>
        <v>CIF</v>
      </c>
      <c r="AH260" s="114" t="s">
        <v>651</v>
      </c>
      <c r="AI260" s="36" t="e">
        <f>#REF!</f>
        <v>#REF!</v>
      </c>
      <c r="AJ260" s="36">
        <v>0</v>
      </c>
      <c r="AK260" s="142">
        <f>AJ260/AC260</f>
        <v>0</v>
      </c>
      <c r="AL260" s="47">
        <v>46193</v>
      </c>
      <c r="AM260" s="153">
        <v>46195</v>
      </c>
      <c r="AN260" s="63">
        <f>AM260-AF260</f>
        <v>10</v>
      </c>
      <c r="AO260" s="34" t="s">
        <v>103</v>
      </c>
      <c r="AP260" s="64">
        <f t="shared" si="143"/>
        <v>46165</v>
      </c>
      <c r="AQ260" s="64">
        <f t="shared" si="144"/>
        <v>46195</v>
      </c>
      <c r="AR260" s="65">
        <f t="shared" si="140"/>
        <v>11</v>
      </c>
      <c r="AS260" s="65">
        <f t="shared" si="141"/>
        <v>41</v>
      </c>
      <c r="AT260" s="157">
        <f t="shared" si="145"/>
        <v>-30</v>
      </c>
      <c r="AU260" s="13" t="s">
        <v>652</v>
      </c>
      <c r="AV260" s="13" t="s">
        <v>116</v>
      </c>
      <c r="AW260" s="109">
        <f t="shared" si="146"/>
        <v>74331.53</v>
      </c>
      <c r="AX260" s="66">
        <f t="shared" si="147"/>
        <v>0</v>
      </c>
      <c r="AY260" s="66"/>
      <c r="AZ260" s="66">
        <f t="shared" si="148"/>
        <v>0</v>
      </c>
      <c r="BA260" s="30"/>
    </row>
    <row r="261" spans="1:53" ht="21.6" customHeight="1" x14ac:dyDescent="0.3">
      <c r="A261" s="2" t="s">
        <v>307</v>
      </c>
      <c r="B261" s="3" t="s">
        <v>91</v>
      </c>
      <c r="C261" s="3" t="s">
        <v>78</v>
      </c>
      <c r="D261" s="3" t="s">
        <v>53</v>
      </c>
      <c r="E261" s="3">
        <v>4501939796</v>
      </c>
      <c r="F261" s="3" t="s">
        <v>653</v>
      </c>
      <c r="G261" s="144" t="s">
        <v>654</v>
      </c>
      <c r="H261" s="394">
        <v>46154</v>
      </c>
      <c r="I261" s="50">
        <v>46184</v>
      </c>
      <c r="J261" s="15">
        <f t="shared" si="131"/>
        <v>30</v>
      </c>
      <c r="K261" s="3" t="s">
        <v>70</v>
      </c>
      <c r="L261" s="3" t="s">
        <v>56</v>
      </c>
      <c r="M261" s="3" t="s">
        <v>92</v>
      </c>
      <c r="N261" s="3" t="s">
        <v>227</v>
      </c>
      <c r="O261" s="3" t="s">
        <v>59</v>
      </c>
      <c r="P261" s="8">
        <v>88379.81</v>
      </c>
      <c r="Q261" s="44" t="s">
        <v>60</v>
      </c>
      <c r="R261" s="57">
        <f t="shared" si="135"/>
        <v>46154</v>
      </c>
      <c r="S261" s="13" t="s">
        <v>61</v>
      </c>
      <c r="T261" s="35">
        <v>46171</v>
      </c>
      <c r="U261" s="362">
        <v>46178</v>
      </c>
      <c r="V261" s="37">
        <f t="shared" si="134"/>
        <v>46184</v>
      </c>
      <c r="W261" s="59">
        <f t="shared" si="136"/>
        <v>30</v>
      </c>
      <c r="X261" s="59">
        <f t="shared" si="137"/>
        <v>24</v>
      </c>
      <c r="Y261" s="59">
        <f t="shared" si="138"/>
        <v>6</v>
      </c>
      <c r="Z261" s="39"/>
      <c r="AA261" s="4" t="s">
        <v>535</v>
      </c>
      <c r="AB261" s="35">
        <v>46171</v>
      </c>
      <c r="AC261" s="13">
        <v>88379.81</v>
      </c>
      <c r="AD261" s="13">
        <v>7643</v>
      </c>
      <c r="AE261" s="13" t="s">
        <v>63</v>
      </c>
      <c r="AF261" s="35">
        <v>46171</v>
      </c>
      <c r="AG261" s="13" t="s">
        <v>70</v>
      </c>
      <c r="AH261" s="13" t="s">
        <v>588</v>
      </c>
      <c r="AI261" s="36"/>
      <c r="AJ261" s="36"/>
      <c r="AK261" s="142"/>
      <c r="AL261" s="47">
        <v>46184</v>
      </c>
      <c r="AM261" s="153">
        <v>46184</v>
      </c>
      <c r="AN261" s="63"/>
      <c r="AO261" s="34" t="s">
        <v>65</v>
      </c>
      <c r="AP261" s="64">
        <f t="shared" si="143"/>
        <v>46184</v>
      </c>
      <c r="AQ261" s="64">
        <f t="shared" si="144"/>
        <v>46184</v>
      </c>
      <c r="AR261" s="65">
        <f t="shared" si="140"/>
        <v>30</v>
      </c>
      <c r="AS261" s="65">
        <f t="shared" si="141"/>
        <v>30</v>
      </c>
      <c r="AT261" s="157">
        <f t="shared" si="145"/>
        <v>0</v>
      </c>
      <c r="AU261" s="13"/>
      <c r="AV261" s="13"/>
      <c r="AW261" s="109">
        <f t="shared" si="146"/>
        <v>88379.81</v>
      </c>
      <c r="AX261" s="66">
        <f t="shared" si="147"/>
        <v>0</v>
      </c>
      <c r="AY261" s="66"/>
      <c r="AZ261" s="66">
        <f t="shared" si="148"/>
        <v>0</v>
      </c>
      <c r="BA261" s="30"/>
    </row>
    <row r="262" spans="1:53" ht="21.6" customHeight="1" x14ac:dyDescent="0.3">
      <c r="A262" s="2" t="s">
        <v>429</v>
      </c>
      <c r="B262" s="3" t="s">
        <v>91</v>
      </c>
      <c r="C262" s="3" t="s">
        <v>78</v>
      </c>
      <c r="D262" s="3" t="s">
        <v>53</v>
      </c>
      <c r="E262" s="3">
        <v>4900193778</v>
      </c>
      <c r="F262" s="3">
        <v>27022026</v>
      </c>
      <c r="G262" s="144">
        <v>584</v>
      </c>
      <c r="H262" s="394">
        <v>46155</v>
      </c>
      <c r="I262" s="50">
        <v>46199</v>
      </c>
      <c r="J262" s="15">
        <f t="shared" si="131"/>
        <v>44</v>
      </c>
      <c r="K262" s="3" t="s">
        <v>55</v>
      </c>
      <c r="L262" s="3" t="s">
        <v>56</v>
      </c>
      <c r="M262" s="3" t="s">
        <v>255</v>
      </c>
      <c r="N262" s="3" t="s">
        <v>655</v>
      </c>
      <c r="O262" s="3" t="s">
        <v>59</v>
      </c>
      <c r="P262" s="8">
        <v>48125.85</v>
      </c>
      <c r="Q262" s="44" t="s">
        <v>60</v>
      </c>
      <c r="R262" s="57">
        <f t="shared" si="135"/>
        <v>46155</v>
      </c>
      <c r="S262" s="13" t="s">
        <v>61</v>
      </c>
      <c r="T262" s="35">
        <v>46185</v>
      </c>
      <c r="U262" s="37">
        <v>46185</v>
      </c>
      <c r="V262" s="37">
        <f t="shared" si="134"/>
        <v>46199</v>
      </c>
      <c r="W262" s="59">
        <f t="shared" si="136"/>
        <v>44</v>
      </c>
      <c r="X262" s="59">
        <f t="shared" si="137"/>
        <v>30</v>
      </c>
      <c r="Y262" s="59">
        <f t="shared" si="138"/>
        <v>14</v>
      </c>
      <c r="Z262" s="39"/>
      <c r="AA262" s="4" t="s">
        <v>585</v>
      </c>
      <c r="AB262" s="35">
        <v>46188</v>
      </c>
      <c r="AC262" s="352">
        <v>48125.85</v>
      </c>
      <c r="AD262" s="13">
        <v>7675</v>
      </c>
      <c r="AE262" s="13" t="s">
        <v>63</v>
      </c>
      <c r="AF262" s="35">
        <v>46190</v>
      </c>
      <c r="AG262" s="3" t="str">
        <f t="shared" ref="AG262:AG275" si="149">K262</f>
        <v>FOB</v>
      </c>
      <c r="AH262" s="13" t="s">
        <v>188</v>
      </c>
      <c r="AI262" s="36" t="e">
        <f>#REF!</f>
        <v>#REF!</v>
      </c>
      <c r="AJ262" s="36">
        <v>0</v>
      </c>
      <c r="AK262" s="142">
        <f t="shared" ref="AK262:AK267" si="150">AJ262/AC262</f>
        <v>0</v>
      </c>
      <c r="AL262" s="47"/>
      <c r="AM262" s="153">
        <v>46185</v>
      </c>
      <c r="AN262" s="63">
        <f t="shared" ref="AN262:AN267" si="151">AM262-AF262</f>
        <v>-5</v>
      </c>
      <c r="AO262" s="34" t="s">
        <v>65</v>
      </c>
      <c r="AP262" s="64">
        <f t="shared" si="143"/>
        <v>46199</v>
      </c>
      <c r="AQ262" s="64">
        <f t="shared" si="144"/>
        <v>46185</v>
      </c>
      <c r="AR262" s="65">
        <f t="shared" si="140"/>
        <v>44</v>
      </c>
      <c r="AS262" s="65">
        <f t="shared" si="141"/>
        <v>30</v>
      </c>
      <c r="AT262" s="157">
        <f t="shared" si="145"/>
        <v>14</v>
      </c>
      <c r="AU262" s="13"/>
      <c r="AV262" s="13"/>
      <c r="AW262" s="109">
        <f t="shared" si="146"/>
        <v>48125.85</v>
      </c>
      <c r="AX262" s="66">
        <f t="shared" si="147"/>
        <v>0</v>
      </c>
      <c r="AY262" s="66"/>
      <c r="AZ262" s="66">
        <f t="shared" si="148"/>
        <v>0</v>
      </c>
      <c r="BA262" s="30"/>
    </row>
    <row r="263" spans="1:53" ht="21.6" customHeight="1" x14ac:dyDescent="0.3">
      <c r="A263" s="2" t="s">
        <v>181</v>
      </c>
      <c r="B263" s="3" t="s">
        <v>51</v>
      </c>
      <c r="C263" s="3" t="s">
        <v>78</v>
      </c>
      <c r="D263" s="3" t="s">
        <v>53</v>
      </c>
      <c r="E263" s="5">
        <v>123030047</v>
      </c>
      <c r="F263" s="3" t="s">
        <v>656</v>
      </c>
      <c r="G263" s="144">
        <v>585</v>
      </c>
      <c r="H263" s="394">
        <v>46155</v>
      </c>
      <c r="I263" s="50">
        <v>46157</v>
      </c>
      <c r="J263" s="15">
        <f t="shared" si="131"/>
        <v>2</v>
      </c>
      <c r="K263" s="3" t="s">
        <v>55</v>
      </c>
      <c r="L263" s="3" t="s">
        <v>56</v>
      </c>
      <c r="M263" s="3" t="s">
        <v>57</v>
      </c>
      <c r="N263" s="3" t="s">
        <v>502</v>
      </c>
      <c r="O263" s="3" t="s">
        <v>59</v>
      </c>
      <c r="P263" s="8">
        <v>40560.519999999997</v>
      </c>
      <c r="Q263" s="44" t="s">
        <v>60</v>
      </c>
      <c r="R263" s="57">
        <f t="shared" si="135"/>
        <v>46155</v>
      </c>
      <c r="S263" s="13" t="s">
        <v>61</v>
      </c>
      <c r="T263" s="35">
        <v>46157</v>
      </c>
      <c r="U263" s="37">
        <v>46157</v>
      </c>
      <c r="V263" s="37">
        <f t="shared" si="134"/>
        <v>46157</v>
      </c>
      <c r="W263" s="59">
        <f t="shared" si="136"/>
        <v>2</v>
      </c>
      <c r="X263" s="59">
        <f t="shared" si="137"/>
        <v>2</v>
      </c>
      <c r="Y263" s="59">
        <f t="shared" si="138"/>
        <v>0</v>
      </c>
      <c r="Z263" s="39"/>
      <c r="AA263" s="4" t="s">
        <v>543</v>
      </c>
      <c r="AB263" s="35">
        <v>46157</v>
      </c>
      <c r="AC263" s="13">
        <v>40560.519999999997</v>
      </c>
      <c r="AD263" s="13">
        <v>7599</v>
      </c>
      <c r="AE263" s="13" t="s">
        <v>63</v>
      </c>
      <c r="AF263" s="35">
        <v>46157</v>
      </c>
      <c r="AG263" s="3" t="str">
        <f t="shared" si="149"/>
        <v>FOB</v>
      </c>
      <c r="AH263" s="13" t="s">
        <v>657</v>
      </c>
      <c r="AI263" s="36" t="e">
        <f>#REF!</f>
        <v>#REF!</v>
      </c>
      <c r="AJ263" s="36">
        <v>0</v>
      </c>
      <c r="AK263" s="142">
        <f t="shared" si="150"/>
        <v>0</v>
      </c>
      <c r="AL263" s="47">
        <v>46157</v>
      </c>
      <c r="AM263" s="153">
        <v>46157</v>
      </c>
      <c r="AN263" s="63">
        <f t="shared" si="151"/>
        <v>0</v>
      </c>
      <c r="AO263" s="34" t="s">
        <v>65</v>
      </c>
      <c r="AP263" s="64">
        <f t="shared" si="143"/>
        <v>46157</v>
      </c>
      <c r="AQ263" s="64">
        <f t="shared" si="144"/>
        <v>46157</v>
      </c>
      <c r="AR263" s="65">
        <f t="shared" si="140"/>
        <v>2</v>
      </c>
      <c r="AS263" s="65">
        <f t="shared" si="141"/>
        <v>2</v>
      </c>
      <c r="AT263" s="157">
        <f t="shared" si="145"/>
        <v>0</v>
      </c>
      <c r="AU263" s="13"/>
      <c r="AV263" s="13"/>
      <c r="AW263" s="109">
        <f t="shared" si="146"/>
        <v>40560.519999999997</v>
      </c>
      <c r="AX263" s="66">
        <f t="shared" si="147"/>
        <v>0</v>
      </c>
      <c r="AY263" s="66"/>
      <c r="AZ263" s="66">
        <f t="shared" si="148"/>
        <v>0</v>
      </c>
      <c r="BA263" s="30"/>
    </row>
    <row r="264" spans="1:53" ht="21.6" customHeight="1" x14ac:dyDescent="0.3">
      <c r="A264" s="2" t="s">
        <v>307</v>
      </c>
      <c r="B264" s="3" t="s">
        <v>51</v>
      </c>
      <c r="C264" s="3" t="s">
        <v>78</v>
      </c>
      <c r="D264" s="3">
        <v>4600016155</v>
      </c>
      <c r="E264" s="3">
        <v>4501939470</v>
      </c>
      <c r="F264" s="3" t="s">
        <v>53</v>
      </c>
      <c r="G264" s="144">
        <v>586</v>
      </c>
      <c r="H264" s="394">
        <v>46155</v>
      </c>
      <c r="I264" s="50">
        <v>46214</v>
      </c>
      <c r="J264" s="15">
        <f t="shared" si="131"/>
        <v>59</v>
      </c>
      <c r="K264" s="3" t="s">
        <v>70</v>
      </c>
      <c r="L264" s="3" t="s">
        <v>56</v>
      </c>
      <c r="M264" s="3" t="s">
        <v>57</v>
      </c>
      <c r="N264" s="3" t="s">
        <v>502</v>
      </c>
      <c r="O264" s="3" t="s">
        <v>59</v>
      </c>
      <c r="P264" s="8">
        <v>2654.84</v>
      </c>
      <c r="Q264" s="44" t="s">
        <v>100</v>
      </c>
      <c r="R264" s="57">
        <f t="shared" si="135"/>
        <v>46155</v>
      </c>
      <c r="S264" s="13" t="s">
        <v>61</v>
      </c>
      <c r="T264" s="35">
        <v>46188</v>
      </c>
      <c r="U264" s="37">
        <v>46188</v>
      </c>
      <c r="V264" s="37">
        <f t="shared" si="134"/>
        <v>46214</v>
      </c>
      <c r="W264" s="59">
        <f t="shared" si="136"/>
        <v>59</v>
      </c>
      <c r="X264" s="59">
        <f t="shared" si="137"/>
        <v>33</v>
      </c>
      <c r="Y264" s="59">
        <f t="shared" si="138"/>
        <v>26</v>
      </c>
      <c r="Z264" s="39"/>
      <c r="AA264" s="4" t="s">
        <v>585</v>
      </c>
      <c r="AB264" s="35">
        <v>46199</v>
      </c>
      <c r="AC264" s="352" t="s">
        <v>658</v>
      </c>
      <c r="AD264" s="13">
        <v>7718</v>
      </c>
      <c r="AE264" s="13" t="s">
        <v>63</v>
      </c>
      <c r="AF264" s="35">
        <v>46202</v>
      </c>
      <c r="AG264" s="3" t="str">
        <f t="shared" si="149"/>
        <v>CIF</v>
      </c>
      <c r="AH264" s="13" t="s">
        <v>127</v>
      </c>
      <c r="AI264" s="36" t="e">
        <f>#REF!</f>
        <v>#REF!</v>
      </c>
      <c r="AJ264" s="36">
        <v>0</v>
      </c>
      <c r="AK264" s="142">
        <f t="shared" si="150"/>
        <v>0</v>
      </c>
      <c r="AL264" s="47"/>
      <c r="AM264" s="167">
        <v>46205</v>
      </c>
      <c r="AN264" s="63">
        <f t="shared" si="151"/>
        <v>3</v>
      </c>
      <c r="AO264" s="34" t="s">
        <v>65</v>
      </c>
      <c r="AP264" s="64">
        <f t="shared" si="143"/>
        <v>46214</v>
      </c>
      <c r="AQ264" s="64">
        <f t="shared" si="144"/>
        <v>46205</v>
      </c>
      <c r="AR264" s="65">
        <f t="shared" si="140"/>
        <v>59</v>
      </c>
      <c r="AS264" s="65">
        <f t="shared" si="141"/>
        <v>50</v>
      </c>
      <c r="AT264" s="157">
        <f t="shared" si="145"/>
        <v>9</v>
      </c>
      <c r="AU264" s="13"/>
      <c r="AV264" s="13"/>
      <c r="AW264" s="109" t="str">
        <f t="shared" si="146"/>
        <v>2654,84</v>
      </c>
      <c r="AX264" s="66">
        <f t="shared" si="147"/>
        <v>0</v>
      </c>
      <c r="AY264" s="66"/>
      <c r="AZ264" s="66">
        <f t="shared" si="148"/>
        <v>0</v>
      </c>
      <c r="BA264" s="30"/>
    </row>
    <row r="265" spans="1:53" ht="21.6" customHeight="1" x14ac:dyDescent="0.3">
      <c r="A265" s="2" t="s">
        <v>659</v>
      </c>
      <c r="B265" s="3" t="s">
        <v>51</v>
      </c>
      <c r="C265" s="3" t="s">
        <v>78</v>
      </c>
      <c r="D265" s="3" t="s">
        <v>53</v>
      </c>
      <c r="E265" s="3">
        <v>4200328837</v>
      </c>
      <c r="F265" s="3" t="s">
        <v>660</v>
      </c>
      <c r="G265" s="144">
        <v>591</v>
      </c>
      <c r="H265" s="394">
        <v>46155</v>
      </c>
      <c r="I265" s="50">
        <v>46185</v>
      </c>
      <c r="J265" s="15">
        <f t="shared" si="131"/>
        <v>30</v>
      </c>
      <c r="K265" s="3" t="s">
        <v>70</v>
      </c>
      <c r="L265" s="3" t="s">
        <v>56</v>
      </c>
      <c r="M265" s="3" t="s">
        <v>57</v>
      </c>
      <c r="N265" s="3" t="s">
        <v>661</v>
      </c>
      <c r="O265" s="3" t="s">
        <v>59</v>
      </c>
      <c r="P265" s="8">
        <v>9604.6200000000008</v>
      </c>
      <c r="Q265" s="44" t="s">
        <v>100</v>
      </c>
      <c r="R265" s="57">
        <f t="shared" si="135"/>
        <v>46155</v>
      </c>
      <c r="S265" s="13" t="s">
        <v>61</v>
      </c>
      <c r="T265" s="35">
        <v>46171</v>
      </c>
      <c r="U265" s="37">
        <v>46181</v>
      </c>
      <c r="V265" s="37">
        <f t="shared" si="134"/>
        <v>46185</v>
      </c>
      <c r="W265" s="59">
        <f t="shared" si="136"/>
        <v>30</v>
      </c>
      <c r="X265" s="59">
        <f t="shared" si="137"/>
        <v>26</v>
      </c>
      <c r="Y265" s="59">
        <f t="shared" si="138"/>
        <v>4</v>
      </c>
      <c r="Z265" s="39"/>
      <c r="AA265" s="4" t="s">
        <v>535</v>
      </c>
      <c r="AB265" s="35">
        <v>46170</v>
      </c>
      <c r="AC265" s="13">
        <v>9604.6200000000008</v>
      </c>
      <c r="AD265" s="13">
        <v>7645</v>
      </c>
      <c r="AE265" s="13" t="s">
        <v>63</v>
      </c>
      <c r="AF265" s="35">
        <v>46183</v>
      </c>
      <c r="AG265" s="3" t="str">
        <f t="shared" si="149"/>
        <v>CIF</v>
      </c>
      <c r="AH265" s="13" t="s">
        <v>127</v>
      </c>
      <c r="AI265" s="36" t="e">
        <f>#REF!</f>
        <v>#REF!</v>
      </c>
      <c r="AJ265" s="36">
        <v>0</v>
      </c>
      <c r="AK265" s="142">
        <f t="shared" si="150"/>
        <v>0</v>
      </c>
      <c r="AL265" s="47">
        <v>46185</v>
      </c>
      <c r="AM265" s="153">
        <v>46185</v>
      </c>
      <c r="AN265" s="63">
        <f t="shared" si="151"/>
        <v>2</v>
      </c>
      <c r="AO265" s="34" t="s">
        <v>65</v>
      </c>
      <c r="AP265" s="64">
        <f t="shared" si="143"/>
        <v>46185</v>
      </c>
      <c r="AQ265" s="64">
        <f t="shared" si="144"/>
        <v>46185</v>
      </c>
      <c r="AR265" s="65">
        <f t="shared" si="140"/>
        <v>30</v>
      </c>
      <c r="AS265" s="65">
        <f t="shared" si="141"/>
        <v>30</v>
      </c>
      <c r="AT265" s="157">
        <f t="shared" si="145"/>
        <v>0</v>
      </c>
      <c r="AU265" s="13"/>
      <c r="AV265" s="13"/>
      <c r="AW265" s="109">
        <f t="shared" si="146"/>
        <v>9604.6200000000008</v>
      </c>
      <c r="AX265" s="66">
        <f t="shared" si="147"/>
        <v>0</v>
      </c>
      <c r="AY265" s="66"/>
      <c r="AZ265" s="66">
        <f t="shared" si="148"/>
        <v>0</v>
      </c>
      <c r="BA265" s="30"/>
    </row>
    <row r="266" spans="1:53" ht="21.6" customHeight="1" x14ac:dyDescent="0.3">
      <c r="A266" s="2" t="s">
        <v>662</v>
      </c>
      <c r="B266" s="3" t="s">
        <v>77</v>
      </c>
      <c r="C266" s="3" t="s">
        <v>78</v>
      </c>
      <c r="D266" s="3" t="s">
        <v>53</v>
      </c>
      <c r="E266" s="114">
        <v>13302</v>
      </c>
      <c r="F266" s="3" t="s">
        <v>663</v>
      </c>
      <c r="G266" s="144">
        <v>593</v>
      </c>
      <c r="H266" s="394">
        <v>46156</v>
      </c>
      <c r="I266" s="330">
        <v>46171</v>
      </c>
      <c r="J266" s="15">
        <f t="shared" si="131"/>
        <v>15</v>
      </c>
      <c r="K266" s="3" t="s">
        <v>55</v>
      </c>
      <c r="L266" s="3" t="s">
        <v>56</v>
      </c>
      <c r="M266" s="3" t="s">
        <v>81</v>
      </c>
      <c r="N266" s="3" t="s">
        <v>664</v>
      </c>
      <c r="O266" s="3" t="s">
        <v>59</v>
      </c>
      <c r="P266" s="8">
        <v>5000.7</v>
      </c>
      <c r="Q266" s="44" t="s">
        <v>60</v>
      </c>
      <c r="R266" s="57">
        <f t="shared" si="135"/>
        <v>46156</v>
      </c>
      <c r="S266" s="13" t="s">
        <v>61</v>
      </c>
      <c r="T266" s="35">
        <v>46170</v>
      </c>
      <c r="U266" s="37">
        <v>46171</v>
      </c>
      <c r="V266" s="37">
        <f t="shared" si="134"/>
        <v>46171</v>
      </c>
      <c r="W266" s="59">
        <f t="shared" si="136"/>
        <v>15</v>
      </c>
      <c r="X266" s="59">
        <f t="shared" si="137"/>
        <v>15</v>
      </c>
      <c r="Y266" s="59">
        <f t="shared" si="138"/>
        <v>0</v>
      </c>
      <c r="Z266" s="39"/>
      <c r="AA266" s="4" t="s">
        <v>535</v>
      </c>
      <c r="AB266" s="35">
        <v>46156</v>
      </c>
      <c r="AC266" s="118">
        <v>5000.7</v>
      </c>
      <c r="AD266" s="118">
        <v>7658</v>
      </c>
      <c r="AE266" s="118" t="s">
        <v>63</v>
      </c>
      <c r="AF266" s="119">
        <v>46176</v>
      </c>
      <c r="AG266" s="115" t="str">
        <f t="shared" si="149"/>
        <v>FOB</v>
      </c>
      <c r="AH266" s="242" t="s">
        <v>665</v>
      </c>
      <c r="AI266" s="36" t="e">
        <f>#REF!</f>
        <v>#REF!</v>
      </c>
      <c r="AJ266" s="36">
        <v>0</v>
      </c>
      <c r="AK266" s="142">
        <f t="shared" si="150"/>
        <v>0</v>
      </c>
      <c r="AL266" s="47">
        <v>46170</v>
      </c>
      <c r="AM266" s="153">
        <v>46171</v>
      </c>
      <c r="AN266" s="63">
        <f t="shared" si="151"/>
        <v>-5</v>
      </c>
      <c r="AO266" s="34" t="s">
        <v>65</v>
      </c>
      <c r="AP266" s="64">
        <f t="shared" si="143"/>
        <v>46171</v>
      </c>
      <c r="AQ266" s="64">
        <f t="shared" si="144"/>
        <v>46171</v>
      </c>
      <c r="AR266" s="65">
        <f t="shared" si="140"/>
        <v>15</v>
      </c>
      <c r="AS266" s="65">
        <f t="shared" si="141"/>
        <v>15</v>
      </c>
      <c r="AT266" s="157">
        <f t="shared" si="145"/>
        <v>0</v>
      </c>
      <c r="AU266" s="13"/>
      <c r="AV266" s="13"/>
      <c r="AW266" s="109">
        <f t="shared" si="146"/>
        <v>5000.7</v>
      </c>
      <c r="AX266" s="66">
        <f t="shared" si="147"/>
        <v>0</v>
      </c>
      <c r="AY266" s="66"/>
      <c r="AZ266" s="66">
        <f t="shared" si="148"/>
        <v>0</v>
      </c>
      <c r="BA266" s="30"/>
    </row>
    <row r="267" spans="1:53" ht="21.6" customHeight="1" x14ac:dyDescent="0.3">
      <c r="A267" s="2" t="s">
        <v>307</v>
      </c>
      <c r="B267" s="3" t="s">
        <v>51</v>
      </c>
      <c r="C267" s="3" t="s">
        <v>78</v>
      </c>
      <c r="D267" s="3">
        <v>4600016155</v>
      </c>
      <c r="E267" s="3">
        <v>4501935442</v>
      </c>
      <c r="F267" s="3" t="s">
        <v>53</v>
      </c>
      <c r="G267" s="144">
        <v>596</v>
      </c>
      <c r="H267" s="394">
        <v>46157</v>
      </c>
      <c r="I267" s="50">
        <v>46199</v>
      </c>
      <c r="J267" s="15">
        <f t="shared" si="131"/>
        <v>42</v>
      </c>
      <c r="K267" s="3" t="s">
        <v>70</v>
      </c>
      <c r="L267" s="3" t="s">
        <v>56</v>
      </c>
      <c r="M267" s="3" t="s">
        <v>57</v>
      </c>
      <c r="N267" s="3" t="s">
        <v>315</v>
      </c>
      <c r="O267" s="3" t="s">
        <v>59</v>
      </c>
      <c r="P267" s="8">
        <v>22320</v>
      </c>
      <c r="Q267" s="44" t="s">
        <v>100</v>
      </c>
      <c r="R267" s="57">
        <f t="shared" si="135"/>
        <v>46157</v>
      </c>
      <c r="S267" s="13" t="s">
        <v>61</v>
      </c>
      <c r="T267" s="35">
        <v>46192</v>
      </c>
      <c r="U267" s="37">
        <v>46189</v>
      </c>
      <c r="V267" s="37">
        <f t="shared" si="134"/>
        <v>46199</v>
      </c>
      <c r="W267" s="59">
        <f t="shared" si="136"/>
        <v>42</v>
      </c>
      <c r="X267" s="59">
        <f t="shared" si="137"/>
        <v>32</v>
      </c>
      <c r="Y267" s="59">
        <f t="shared" si="138"/>
        <v>10</v>
      </c>
      <c r="Z267" s="39"/>
      <c r="AA267" s="4" t="s">
        <v>585</v>
      </c>
      <c r="AB267" s="35">
        <v>46199</v>
      </c>
      <c r="AC267" s="358" t="s">
        <v>666</v>
      </c>
      <c r="AD267" s="113">
        <v>7716</v>
      </c>
      <c r="AE267" s="243" t="s">
        <v>63</v>
      </c>
      <c r="AF267" s="305">
        <v>46204</v>
      </c>
      <c r="AG267" s="306" t="str">
        <f t="shared" si="149"/>
        <v>CIF</v>
      </c>
      <c r="AH267" s="247" t="s">
        <v>667</v>
      </c>
      <c r="AI267" s="36" t="e">
        <f>#REF!</f>
        <v>#REF!</v>
      </c>
      <c r="AJ267" s="36">
        <v>0</v>
      </c>
      <c r="AK267" s="142">
        <f t="shared" si="150"/>
        <v>0</v>
      </c>
      <c r="AL267" s="47"/>
      <c r="AM267" s="153">
        <v>46204</v>
      </c>
      <c r="AN267" s="63">
        <f t="shared" si="151"/>
        <v>0</v>
      </c>
      <c r="AO267" s="34" t="s">
        <v>103</v>
      </c>
      <c r="AP267" s="64">
        <f t="shared" si="143"/>
        <v>46199</v>
      </c>
      <c r="AQ267" s="64">
        <f t="shared" si="144"/>
        <v>46204</v>
      </c>
      <c r="AR267" s="65">
        <f t="shared" si="140"/>
        <v>42</v>
      </c>
      <c r="AS267" s="65">
        <f t="shared" si="141"/>
        <v>47</v>
      </c>
      <c r="AT267" s="157">
        <f t="shared" si="145"/>
        <v>-5</v>
      </c>
      <c r="AU267" s="13"/>
      <c r="AV267" s="13" t="s">
        <v>116</v>
      </c>
      <c r="AW267" s="109" t="str">
        <f t="shared" si="146"/>
        <v>22.320,05</v>
      </c>
      <c r="AX267" s="66">
        <f t="shared" si="147"/>
        <v>0</v>
      </c>
      <c r="AY267" s="66"/>
      <c r="AZ267" s="66">
        <f t="shared" si="148"/>
        <v>0</v>
      </c>
      <c r="BA267" s="30"/>
    </row>
    <row r="268" spans="1:53" ht="21.6" customHeight="1" x14ac:dyDescent="0.3">
      <c r="A268" s="2" t="s">
        <v>356</v>
      </c>
      <c r="B268" s="3" t="s">
        <v>163</v>
      </c>
      <c r="C268" s="3" t="s">
        <v>78</v>
      </c>
      <c r="D268" s="3"/>
      <c r="E268" s="3" t="s">
        <v>668</v>
      </c>
      <c r="F268" s="3" t="s">
        <v>669</v>
      </c>
      <c r="G268" s="144">
        <v>597</v>
      </c>
      <c r="H268" s="394">
        <v>46160</v>
      </c>
      <c r="I268" s="50">
        <v>46193</v>
      </c>
      <c r="J268" s="15">
        <f t="shared" si="131"/>
        <v>33</v>
      </c>
      <c r="K268" s="3" t="s">
        <v>70</v>
      </c>
      <c r="L268" s="3" t="s">
        <v>56</v>
      </c>
      <c r="M268" s="3" t="s">
        <v>178</v>
      </c>
      <c r="N268" s="3" t="s">
        <v>670</v>
      </c>
      <c r="O268" s="3" t="s">
        <v>59</v>
      </c>
      <c r="P268" s="8">
        <v>5329.6</v>
      </c>
      <c r="Q268" s="44" t="s">
        <v>100</v>
      </c>
      <c r="R268" s="57">
        <v>46160</v>
      </c>
      <c r="S268" s="13" t="s">
        <v>61</v>
      </c>
      <c r="T268" s="35">
        <v>46185</v>
      </c>
      <c r="U268" s="37">
        <v>46188</v>
      </c>
      <c r="V268" s="37">
        <f t="shared" si="134"/>
        <v>46193</v>
      </c>
      <c r="W268" s="59">
        <f t="shared" si="136"/>
        <v>33</v>
      </c>
      <c r="X268" s="59">
        <f t="shared" si="137"/>
        <v>28</v>
      </c>
      <c r="Y268" s="59">
        <f t="shared" si="138"/>
        <v>5</v>
      </c>
      <c r="Z268" s="39"/>
      <c r="AA268" s="4" t="s">
        <v>585</v>
      </c>
      <c r="AB268" s="35">
        <v>46189</v>
      </c>
      <c r="AC268" s="378">
        <v>5329.6</v>
      </c>
      <c r="AD268" s="13">
        <v>7679</v>
      </c>
      <c r="AE268" s="13" t="s">
        <v>63</v>
      </c>
      <c r="AF268" s="35">
        <v>46195</v>
      </c>
      <c r="AG268" s="3" t="str">
        <f t="shared" si="149"/>
        <v>CIF</v>
      </c>
      <c r="AH268" s="13" t="s">
        <v>671</v>
      </c>
      <c r="AI268" s="36"/>
      <c r="AJ268" s="36"/>
      <c r="AK268" s="142"/>
      <c r="AL268" s="47" t="s">
        <v>672</v>
      </c>
      <c r="AM268" s="153">
        <v>46205</v>
      </c>
      <c r="AN268" s="63"/>
      <c r="AO268" s="34" t="s">
        <v>103</v>
      </c>
      <c r="AP268" s="64">
        <f t="shared" ref="AP268" si="152">I268</f>
        <v>46193</v>
      </c>
      <c r="AQ268" s="64">
        <f t="shared" ref="AQ268" si="153">AM268</f>
        <v>46205</v>
      </c>
      <c r="AR268" s="65">
        <f t="shared" si="140"/>
        <v>33</v>
      </c>
      <c r="AS268" s="65">
        <f t="shared" si="141"/>
        <v>45</v>
      </c>
      <c r="AT268" s="157">
        <f t="shared" ref="AT268" si="154">AR268-AS268</f>
        <v>-12</v>
      </c>
      <c r="AU268" s="13" t="s">
        <v>673</v>
      </c>
      <c r="AV268" s="13" t="s">
        <v>116</v>
      </c>
      <c r="AW268" s="109">
        <f t="shared" si="146"/>
        <v>5329.6</v>
      </c>
      <c r="AX268" s="66"/>
      <c r="AY268" s="66"/>
      <c r="AZ268" s="66"/>
      <c r="BA268" s="30"/>
    </row>
    <row r="269" spans="1:53" ht="21.6" customHeight="1" x14ac:dyDescent="0.3">
      <c r="A269" s="2" t="s">
        <v>674</v>
      </c>
      <c r="B269" s="3" t="s">
        <v>91</v>
      </c>
      <c r="C269" s="3" t="s">
        <v>78</v>
      </c>
      <c r="D269" s="3" t="s">
        <v>53</v>
      </c>
      <c r="E269" s="3">
        <v>4500045246</v>
      </c>
      <c r="F269" s="3" t="s">
        <v>675</v>
      </c>
      <c r="G269" s="144">
        <v>598</v>
      </c>
      <c r="H269" s="394">
        <v>46160</v>
      </c>
      <c r="I269" s="50">
        <v>46164</v>
      </c>
      <c r="J269" s="15">
        <f t="shared" si="131"/>
        <v>4</v>
      </c>
      <c r="K269" s="3" t="s">
        <v>55</v>
      </c>
      <c r="L269" s="3" t="s">
        <v>56</v>
      </c>
      <c r="M269" s="3" t="s">
        <v>92</v>
      </c>
      <c r="N269" s="3" t="s">
        <v>131</v>
      </c>
      <c r="O269" s="3" t="s">
        <v>59</v>
      </c>
      <c r="P269" s="8">
        <v>2098.12</v>
      </c>
      <c r="Q269" s="44" t="s">
        <v>60</v>
      </c>
      <c r="R269" s="57">
        <f t="shared" ref="R269:R330" si="155">H269</f>
        <v>46160</v>
      </c>
      <c r="S269" s="13" t="s">
        <v>61</v>
      </c>
      <c r="T269" s="35">
        <v>46164</v>
      </c>
      <c r="U269" s="37">
        <v>46164</v>
      </c>
      <c r="V269" s="37">
        <f t="shared" si="134"/>
        <v>46164</v>
      </c>
      <c r="W269" s="59">
        <f t="shared" si="136"/>
        <v>4</v>
      </c>
      <c r="X269" s="59">
        <f t="shared" si="137"/>
        <v>4</v>
      </c>
      <c r="Y269" s="59">
        <f t="shared" si="138"/>
        <v>0</v>
      </c>
      <c r="Z269" s="39"/>
      <c r="AA269" s="4" t="s">
        <v>540</v>
      </c>
      <c r="AB269" s="35">
        <v>46168</v>
      </c>
      <c r="AC269" s="13">
        <v>2098.12</v>
      </c>
      <c r="AD269" s="13">
        <v>7626</v>
      </c>
      <c r="AE269" s="13" t="s">
        <v>63</v>
      </c>
      <c r="AF269" s="35">
        <v>46176</v>
      </c>
      <c r="AG269" s="3" t="str">
        <f t="shared" si="149"/>
        <v>FOB</v>
      </c>
      <c r="AH269" s="242" t="s">
        <v>676</v>
      </c>
      <c r="AI269" s="36" t="e">
        <f>#REF!</f>
        <v>#REF!</v>
      </c>
      <c r="AJ269" s="36">
        <v>0</v>
      </c>
      <c r="AK269" s="142">
        <f t="shared" ref="AK269:AK275" si="156">AJ269/AC269</f>
        <v>0</v>
      </c>
      <c r="AL269" s="47">
        <v>46167</v>
      </c>
      <c r="AM269" s="153">
        <v>46164</v>
      </c>
      <c r="AN269" s="63">
        <f t="shared" ref="AN269:AN276" si="157">AM269-AF269</f>
        <v>-12</v>
      </c>
      <c r="AO269" s="34" t="s">
        <v>65</v>
      </c>
      <c r="AP269" s="64">
        <f t="shared" ref="AP269:AP276" si="158">I269</f>
        <v>46164</v>
      </c>
      <c r="AQ269" s="64">
        <f t="shared" ref="AQ269:AQ275" si="159">AM269</f>
        <v>46164</v>
      </c>
      <c r="AR269" s="65">
        <f t="shared" si="140"/>
        <v>4</v>
      </c>
      <c r="AS269" s="65">
        <f t="shared" si="141"/>
        <v>4</v>
      </c>
      <c r="AT269" s="157">
        <f t="shared" ref="AT269:AT275" si="160">AR269-AS269</f>
        <v>0</v>
      </c>
      <c r="AU269" s="13"/>
      <c r="AV269" s="13"/>
      <c r="AW269" s="109">
        <f t="shared" ref="AW269:AW276" si="161">AC269</f>
        <v>2098.12</v>
      </c>
      <c r="AX269" s="66">
        <f t="shared" ref="AX269:AX275" si="162">Z269</f>
        <v>0</v>
      </c>
      <c r="AY269" s="66"/>
      <c r="AZ269" s="66">
        <f t="shared" ref="AZ269:AZ275" si="163">AJ269</f>
        <v>0</v>
      </c>
      <c r="BA269" s="30"/>
    </row>
    <row r="270" spans="1:53" ht="21.6" customHeight="1" x14ac:dyDescent="0.3">
      <c r="A270" s="2" t="s">
        <v>570</v>
      </c>
      <c r="B270" s="3" t="s">
        <v>51</v>
      </c>
      <c r="C270" s="3" t="s">
        <v>78</v>
      </c>
      <c r="D270" s="3">
        <v>4600662235</v>
      </c>
      <c r="E270" s="3">
        <v>4515266426</v>
      </c>
      <c r="F270" s="3" t="s">
        <v>53</v>
      </c>
      <c r="G270" s="144">
        <v>601</v>
      </c>
      <c r="H270" s="394">
        <v>46161</v>
      </c>
      <c r="I270" s="50">
        <v>46225</v>
      </c>
      <c r="J270" s="15">
        <f t="shared" si="131"/>
        <v>64</v>
      </c>
      <c r="K270" s="3" t="s">
        <v>70</v>
      </c>
      <c r="L270" s="3" t="s">
        <v>56</v>
      </c>
      <c r="M270" s="3" t="s">
        <v>57</v>
      </c>
      <c r="N270" s="3" t="s">
        <v>87</v>
      </c>
      <c r="O270" s="3" t="s">
        <v>59</v>
      </c>
      <c r="P270" s="8">
        <v>19357.439999999999</v>
      </c>
      <c r="Q270" s="44" t="s">
        <v>100</v>
      </c>
      <c r="R270" s="57">
        <f t="shared" si="155"/>
        <v>46161</v>
      </c>
      <c r="S270" s="13" t="s">
        <v>61</v>
      </c>
      <c r="T270" s="35">
        <v>46185</v>
      </c>
      <c r="U270" s="37">
        <v>46191</v>
      </c>
      <c r="V270" s="37">
        <f t="shared" si="134"/>
        <v>46225</v>
      </c>
      <c r="W270" s="59">
        <f t="shared" si="136"/>
        <v>64</v>
      </c>
      <c r="X270" s="59">
        <f t="shared" si="137"/>
        <v>30</v>
      </c>
      <c r="Y270" s="59">
        <f t="shared" si="138"/>
        <v>34</v>
      </c>
      <c r="Z270" s="39"/>
      <c r="AA270" s="4" t="s">
        <v>585</v>
      </c>
      <c r="AB270" s="35">
        <v>46188</v>
      </c>
      <c r="AC270" s="352">
        <v>19357.47</v>
      </c>
      <c r="AD270" s="13">
        <v>7676</v>
      </c>
      <c r="AE270" s="13" t="s">
        <v>677</v>
      </c>
      <c r="AF270" s="35" t="s">
        <v>678</v>
      </c>
      <c r="AG270" s="3" t="str">
        <f t="shared" si="149"/>
        <v>CIF</v>
      </c>
      <c r="AH270" s="13" t="s">
        <v>127</v>
      </c>
      <c r="AI270" s="36" t="e">
        <f>#REF!</f>
        <v>#REF!</v>
      </c>
      <c r="AJ270" s="36">
        <v>0</v>
      </c>
      <c r="AK270" s="142">
        <f t="shared" si="156"/>
        <v>0</v>
      </c>
      <c r="AL270" s="47"/>
      <c r="AM270" s="167">
        <v>46225</v>
      </c>
      <c r="AN270" s="63">
        <f t="shared" si="157"/>
        <v>7</v>
      </c>
      <c r="AO270" s="34" t="s">
        <v>65</v>
      </c>
      <c r="AP270" s="64">
        <f t="shared" si="158"/>
        <v>46225</v>
      </c>
      <c r="AQ270" s="64">
        <f t="shared" si="159"/>
        <v>46225</v>
      </c>
      <c r="AR270" s="65">
        <f t="shared" si="140"/>
        <v>64</v>
      </c>
      <c r="AS270" s="65">
        <f t="shared" si="141"/>
        <v>64</v>
      </c>
      <c r="AT270" s="157">
        <f t="shared" si="160"/>
        <v>0</v>
      </c>
      <c r="AU270" s="13"/>
      <c r="AV270" s="13"/>
      <c r="AW270" s="109">
        <f t="shared" si="161"/>
        <v>19357.47</v>
      </c>
      <c r="AX270" s="66">
        <f t="shared" si="162"/>
        <v>0</v>
      </c>
      <c r="AY270" s="66"/>
      <c r="AZ270" s="66">
        <f t="shared" si="163"/>
        <v>0</v>
      </c>
      <c r="BA270" s="30"/>
    </row>
    <row r="271" spans="1:53" ht="21.6" customHeight="1" x14ac:dyDescent="0.3">
      <c r="A271" s="2" t="s">
        <v>679</v>
      </c>
      <c r="B271" s="3" t="s">
        <v>51</v>
      </c>
      <c r="C271" s="3" t="s">
        <v>78</v>
      </c>
      <c r="D271" s="3" t="s">
        <v>53</v>
      </c>
      <c r="E271" s="3" t="s">
        <v>680</v>
      </c>
      <c r="F271" s="3" t="s">
        <v>681</v>
      </c>
      <c r="G271" s="144">
        <v>602</v>
      </c>
      <c r="H271" s="394">
        <v>46161</v>
      </c>
      <c r="I271" s="50">
        <v>46204</v>
      </c>
      <c r="J271" s="15">
        <f t="shared" si="131"/>
        <v>43</v>
      </c>
      <c r="K271" s="3" t="s">
        <v>55</v>
      </c>
      <c r="L271" s="3" t="s">
        <v>56</v>
      </c>
      <c r="M271" s="3" t="s">
        <v>57</v>
      </c>
      <c r="N271" s="3" t="s">
        <v>58</v>
      </c>
      <c r="O271" s="3" t="s">
        <v>59</v>
      </c>
      <c r="P271" s="8">
        <v>31888.880000000001</v>
      </c>
      <c r="Q271" s="44" t="s">
        <v>100</v>
      </c>
      <c r="R271" s="57">
        <f t="shared" si="155"/>
        <v>46161</v>
      </c>
      <c r="S271" s="13" t="s">
        <v>61</v>
      </c>
      <c r="T271" s="35">
        <v>46192</v>
      </c>
      <c r="U271" s="37">
        <v>46195</v>
      </c>
      <c r="V271" s="37">
        <f t="shared" si="134"/>
        <v>46204</v>
      </c>
      <c r="W271" s="59">
        <f t="shared" si="136"/>
        <v>43</v>
      </c>
      <c r="X271" s="59">
        <f t="shared" si="137"/>
        <v>34</v>
      </c>
      <c r="Y271" s="59">
        <f t="shared" si="138"/>
        <v>9</v>
      </c>
      <c r="Z271" s="39"/>
      <c r="AA271" s="4" t="s">
        <v>682</v>
      </c>
      <c r="AB271" s="35">
        <v>46196</v>
      </c>
      <c r="AC271" s="352">
        <v>31888.880000000001</v>
      </c>
      <c r="AD271" s="13">
        <v>7697</v>
      </c>
      <c r="AE271" s="13" t="s">
        <v>63</v>
      </c>
      <c r="AF271" s="35">
        <v>46196</v>
      </c>
      <c r="AG271" s="3" t="str">
        <f t="shared" si="149"/>
        <v>FOB</v>
      </c>
      <c r="AH271" s="13" t="s">
        <v>683</v>
      </c>
      <c r="AI271" s="36" t="e">
        <f>#REF!</f>
        <v>#REF!</v>
      </c>
      <c r="AJ271" s="36">
        <v>0</v>
      </c>
      <c r="AK271" s="142">
        <f t="shared" si="156"/>
        <v>0</v>
      </c>
      <c r="AL271" s="47">
        <v>46195</v>
      </c>
      <c r="AM271" s="153">
        <v>46195</v>
      </c>
      <c r="AN271" s="63">
        <f t="shared" si="157"/>
        <v>-1</v>
      </c>
      <c r="AO271" s="34" t="s">
        <v>65</v>
      </c>
      <c r="AP271" s="64">
        <f t="shared" si="158"/>
        <v>46204</v>
      </c>
      <c r="AQ271" s="64">
        <f t="shared" si="159"/>
        <v>46195</v>
      </c>
      <c r="AR271" s="65">
        <f t="shared" si="140"/>
        <v>43</v>
      </c>
      <c r="AS271" s="65">
        <f t="shared" si="141"/>
        <v>34</v>
      </c>
      <c r="AT271" s="157">
        <f t="shared" si="160"/>
        <v>9</v>
      </c>
      <c r="AU271" s="13"/>
      <c r="AV271" s="13"/>
      <c r="AW271" s="109">
        <f t="shared" si="161"/>
        <v>31888.880000000001</v>
      </c>
      <c r="AX271" s="66">
        <f t="shared" si="162"/>
        <v>0</v>
      </c>
      <c r="AY271" s="66"/>
      <c r="AZ271" s="66">
        <f t="shared" si="163"/>
        <v>0</v>
      </c>
      <c r="BA271" s="30"/>
    </row>
    <row r="272" spans="1:53" ht="21.6" customHeight="1" x14ac:dyDescent="0.3">
      <c r="A272" s="2" t="s">
        <v>202</v>
      </c>
      <c r="B272" s="3" t="s">
        <v>51</v>
      </c>
      <c r="C272" s="3" t="s">
        <v>78</v>
      </c>
      <c r="D272" s="3" t="s">
        <v>53</v>
      </c>
      <c r="E272" s="3">
        <v>1998</v>
      </c>
      <c r="F272" s="3" t="s">
        <v>684</v>
      </c>
      <c r="G272" s="144">
        <v>603</v>
      </c>
      <c r="H272" s="394">
        <v>46161</v>
      </c>
      <c r="I272" s="50">
        <v>46192</v>
      </c>
      <c r="J272" s="15">
        <f t="shared" si="131"/>
        <v>31</v>
      </c>
      <c r="K272" s="3" t="s">
        <v>55</v>
      </c>
      <c r="L272" s="3" t="s">
        <v>56</v>
      </c>
      <c r="M272" s="3" t="s">
        <v>57</v>
      </c>
      <c r="N272" s="3" t="s">
        <v>315</v>
      </c>
      <c r="O272" s="3" t="s">
        <v>59</v>
      </c>
      <c r="P272" s="8">
        <v>10621.28</v>
      </c>
      <c r="Q272" s="44" t="s">
        <v>100</v>
      </c>
      <c r="R272" s="57">
        <f t="shared" si="155"/>
        <v>46161</v>
      </c>
      <c r="S272" s="13" t="s">
        <v>61</v>
      </c>
      <c r="T272" s="35">
        <v>46192</v>
      </c>
      <c r="U272" s="37">
        <v>46192</v>
      </c>
      <c r="V272" s="37">
        <f t="shared" si="134"/>
        <v>46192</v>
      </c>
      <c r="W272" s="59">
        <f t="shared" si="136"/>
        <v>31</v>
      </c>
      <c r="X272" s="59">
        <f t="shared" si="137"/>
        <v>31</v>
      </c>
      <c r="Y272" s="59">
        <f t="shared" si="138"/>
        <v>0</v>
      </c>
      <c r="Z272" s="39"/>
      <c r="AA272" s="4" t="s">
        <v>682</v>
      </c>
      <c r="AB272" s="35">
        <v>46192</v>
      </c>
      <c r="AC272" s="354">
        <v>10621.28</v>
      </c>
      <c r="AD272" s="363">
        <v>7689</v>
      </c>
      <c r="AE272" s="13" t="s">
        <v>63</v>
      </c>
      <c r="AF272" s="35">
        <v>46199</v>
      </c>
      <c r="AG272" s="3" t="str">
        <f t="shared" si="149"/>
        <v>FOB</v>
      </c>
      <c r="AH272" s="174" t="s">
        <v>127</v>
      </c>
      <c r="AI272" s="36" t="e">
        <f>#REF!</f>
        <v>#REF!</v>
      </c>
      <c r="AJ272" s="36">
        <v>0</v>
      </c>
      <c r="AK272" s="142">
        <f t="shared" si="156"/>
        <v>0</v>
      </c>
      <c r="AL272" s="47">
        <v>46196</v>
      </c>
      <c r="AM272" s="153">
        <v>46192</v>
      </c>
      <c r="AN272" s="63">
        <f t="shared" si="157"/>
        <v>-7</v>
      </c>
      <c r="AO272" s="34" t="s">
        <v>65</v>
      </c>
      <c r="AP272" s="64">
        <f t="shared" si="158"/>
        <v>46192</v>
      </c>
      <c r="AQ272" s="64">
        <f t="shared" si="159"/>
        <v>46192</v>
      </c>
      <c r="AR272" s="65">
        <f t="shared" si="140"/>
        <v>31</v>
      </c>
      <c r="AS272" s="65">
        <f t="shared" si="141"/>
        <v>31</v>
      </c>
      <c r="AT272" s="157">
        <f t="shared" si="160"/>
        <v>0</v>
      </c>
      <c r="AU272" s="13"/>
      <c r="AV272" s="13"/>
      <c r="AW272" s="109">
        <f t="shared" si="161"/>
        <v>10621.28</v>
      </c>
      <c r="AX272" s="66">
        <f t="shared" si="162"/>
        <v>0</v>
      </c>
      <c r="AY272" s="66"/>
      <c r="AZ272" s="66">
        <f t="shared" si="163"/>
        <v>0</v>
      </c>
      <c r="BA272" s="30"/>
    </row>
    <row r="273" spans="1:53" ht="21.6" customHeight="1" x14ac:dyDescent="0.3">
      <c r="A273" s="2" t="s">
        <v>137</v>
      </c>
      <c r="B273" s="3" t="s">
        <v>67</v>
      </c>
      <c r="C273" s="3" t="s">
        <v>78</v>
      </c>
      <c r="D273" s="3"/>
      <c r="E273" s="3">
        <v>69</v>
      </c>
      <c r="F273" s="3"/>
      <c r="G273" s="144">
        <v>605</v>
      </c>
      <c r="H273" s="394">
        <v>46162</v>
      </c>
      <c r="I273" s="50">
        <v>46195</v>
      </c>
      <c r="J273" s="15">
        <f t="shared" si="131"/>
        <v>33</v>
      </c>
      <c r="K273" s="3" t="s">
        <v>55</v>
      </c>
      <c r="L273" s="3" t="s">
        <v>139</v>
      </c>
      <c r="M273" s="3" t="s">
        <v>72</v>
      </c>
      <c r="N273" s="3"/>
      <c r="O273" s="3" t="s">
        <v>59</v>
      </c>
      <c r="P273" s="8">
        <v>11851</v>
      </c>
      <c r="Q273" s="44" t="s">
        <v>60</v>
      </c>
      <c r="R273" s="57">
        <f t="shared" si="155"/>
        <v>46162</v>
      </c>
      <c r="S273" s="13" t="s">
        <v>61</v>
      </c>
      <c r="T273" s="35">
        <v>46192</v>
      </c>
      <c r="U273" s="37">
        <v>46195</v>
      </c>
      <c r="V273" s="37">
        <f t="shared" si="134"/>
        <v>46195</v>
      </c>
      <c r="W273" s="59">
        <f t="shared" si="136"/>
        <v>33</v>
      </c>
      <c r="X273" s="59">
        <f t="shared" si="137"/>
        <v>33</v>
      </c>
      <c r="Y273" s="59">
        <f t="shared" si="138"/>
        <v>0</v>
      </c>
      <c r="Z273" s="39"/>
      <c r="AA273" s="4" t="s">
        <v>682</v>
      </c>
      <c r="AB273" s="35">
        <v>46199</v>
      </c>
      <c r="AC273" s="358" t="s">
        <v>685</v>
      </c>
      <c r="AD273" s="113">
        <v>7719</v>
      </c>
      <c r="AE273" s="13" t="s">
        <v>63</v>
      </c>
      <c r="AF273" s="35">
        <v>46060</v>
      </c>
      <c r="AG273" s="3" t="str">
        <f t="shared" si="149"/>
        <v>FOB</v>
      </c>
      <c r="AH273" s="171" t="s">
        <v>686</v>
      </c>
      <c r="AI273" s="36" t="e">
        <f>#REF!</f>
        <v>#REF!</v>
      </c>
      <c r="AJ273" s="36">
        <v>0</v>
      </c>
      <c r="AK273" s="142">
        <f t="shared" si="156"/>
        <v>0</v>
      </c>
      <c r="AL273" s="47"/>
      <c r="AM273" s="153">
        <v>46195</v>
      </c>
      <c r="AN273" s="63">
        <f t="shared" si="157"/>
        <v>135</v>
      </c>
      <c r="AO273" s="34" t="s">
        <v>65</v>
      </c>
      <c r="AP273" s="64">
        <f t="shared" si="158"/>
        <v>46195</v>
      </c>
      <c r="AQ273" s="64">
        <f t="shared" si="159"/>
        <v>46195</v>
      </c>
      <c r="AR273" s="65">
        <f t="shared" si="140"/>
        <v>33</v>
      </c>
      <c r="AS273" s="65">
        <f t="shared" si="141"/>
        <v>33</v>
      </c>
      <c r="AT273" s="157">
        <f t="shared" si="160"/>
        <v>0</v>
      </c>
      <c r="AU273" s="13"/>
      <c r="AV273" s="13"/>
      <c r="AW273" s="109" t="str">
        <f t="shared" si="161"/>
        <v>12.251,33</v>
      </c>
      <c r="AX273" s="66">
        <f t="shared" si="162"/>
        <v>0</v>
      </c>
      <c r="AY273" s="66"/>
      <c r="AZ273" s="66">
        <f t="shared" si="163"/>
        <v>0</v>
      </c>
      <c r="BA273" s="30"/>
    </row>
    <row r="274" spans="1:53" ht="21.6" customHeight="1" x14ac:dyDescent="0.3">
      <c r="A274" s="2" t="s">
        <v>687</v>
      </c>
      <c r="B274" s="3" t="s">
        <v>91</v>
      </c>
      <c r="C274" s="3" t="s">
        <v>78</v>
      </c>
      <c r="D274" s="3" t="s">
        <v>53</v>
      </c>
      <c r="E274" s="3">
        <v>13334</v>
      </c>
      <c r="F274" s="3" t="s">
        <v>688</v>
      </c>
      <c r="G274" s="144">
        <v>607</v>
      </c>
      <c r="H274" s="394">
        <v>46162</v>
      </c>
      <c r="I274" s="50">
        <v>46176</v>
      </c>
      <c r="J274" s="15">
        <f t="shared" si="131"/>
        <v>14</v>
      </c>
      <c r="K274" s="3" t="s">
        <v>55</v>
      </c>
      <c r="L274" s="3" t="s">
        <v>56</v>
      </c>
      <c r="M274" s="3" t="s">
        <v>92</v>
      </c>
      <c r="N274" s="3" t="s">
        <v>689</v>
      </c>
      <c r="O274" s="3" t="s">
        <v>59</v>
      </c>
      <c r="P274" s="8">
        <v>2335</v>
      </c>
      <c r="Q274" s="44" t="s">
        <v>100</v>
      </c>
      <c r="R274" s="57">
        <f t="shared" si="155"/>
        <v>46162</v>
      </c>
      <c r="S274" s="13" t="s">
        <v>61</v>
      </c>
      <c r="T274" s="35">
        <v>46171</v>
      </c>
      <c r="U274" s="37">
        <v>46175</v>
      </c>
      <c r="V274" s="37">
        <f t="shared" si="134"/>
        <v>46176</v>
      </c>
      <c r="W274" s="59">
        <f t="shared" si="136"/>
        <v>14</v>
      </c>
      <c r="X274" s="59">
        <f t="shared" si="137"/>
        <v>13</v>
      </c>
      <c r="Y274" s="59">
        <f t="shared" si="138"/>
        <v>1</v>
      </c>
      <c r="Z274" s="39"/>
      <c r="AA274" s="4" t="s">
        <v>535</v>
      </c>
      <c r="AB274" s="35">
        <v>46170</v>
      </c>
      <c r="AC274" s="32">
        <v>2335</v>
      </c>
      <c r="AD274" s="13">
        <v>7646</v>
      </c>
      <c r="AE274" s="13" t="s">
        <v>63</v>
      </c>
      <c r="AF274" s="35">
        <v>46182</v>
      </c>
      <c r="AG274" s="3" t="str">
        <f t="shared" si="149"/>
        <v>FOB</v>
      </c>
      <c r="AH274" s="3" t="s">
        <v>687</v>
      </c>
      <c r="AI274" s="36" t="e">
        <f>#REF!</f>
        <v>#REF!</v>
      </c>
      <c r="AJ274" s="36">
        <v>0</v>
      </c>
      <c r="AK274" s="142">
        <f t="shared" si="156"/>
        <v>0</v>
      </c>
      <c r="AL274" s="47">
        <v>46171</v>
      </c>
      <c r="AM274" s="153">
        <v>46175</v>
      </c>
      <c r="AN274" s="63">
        <f t="shared" si="157"/>
        <v>-7</v>
      </c>
      <c r="AO274" s="34" t="s">
        <v>65</v>
      </c>
      <c r="AP274" s="64">
        <f t="shared" si="158"/>
        <v>46176</v>
      </c>
      <c r="AQ274" s="64">
        <f t="shared" si="159"/>
        <v>46175</v>
      </c>
      <c r="AR274" s="65">
        <f t="shared" si="140"/>
        <v>14</v>
      </c>
      <c r="AS274" s="65">
        <f t="shared" si="141"/>
        <v>13</v>
      </c>
      <c r="AT274" s="157">
        <f t="shared" si="160"/>
        <v>1</v>
      </c>
      <c r="AU274" s="13"/>
      <c r="AV274" s="13"/>
      <c r="AW274" s="109">
        <f t="shared" si="161"/>
        <v>2335</v>
      </c>
      <c r="AX274" s="66">
        <f t="shared" si="162"/>
        <v>0</v>
      </c>
      <c r="AY274" s="66"/>
      <c r="AZ274" s="66">
        <f t="shared" si="163"/>
        <v>0</v>
      </c>
      <c r="BA274" s="30"/>
    </row>
    <row r="275" spans="1:53" ht="21.6" customHeight="1" x14ac:dyDescent="0.45">
      <c r="A275" s="2" t="s">
        <v>307</v>
      </c>
      <c r="B275" s="3" t="s">
        <v>171</v>
      </c>
      <c r="C275" s="3" t="s">
        <v>78</v>
      </c>
      <c r="D275" s="3"/>
      <c r="E275" s="3">
        <v>4501941140</v>
      </c>
      <c r="F275" s="3"/>
      <c r="G275" s="144">
        <v>608</v>
      </c>
      <c r="H275" s="394">
        <v>46162</v>
      </c>
      <c r="I275" s="50">
        <v>46221</v>
      </c>
      <c r="J275" s="15">
        <f t="shared" si="131"/>
        <v>59</v>
      </c>
      <c r="K275" s="3" t="s">
        <v>70</v>
      </c>
      <c r="L275" s="3" t="s">
        <v>56</v>
      </c>
      <c r="M275" s="3" t="s">
        <v>186</v>
      </c>
      <c r="N275" s="3" t="s">
        <v>190</v>
      </c>
      <c r="O275" s="3" t="s">
        <v>59</v>
      </c>
      <c r="P275" s="8">
        <v>10130.879999999999</v>
      </c>
      <c r="Q275" s="44" t="s">
        <v>100</v>
      </c>
      <c r="R275" s="57">
        <f t="shared" si="155"/>
        <v>46162</v>
      </c>
      <c r="S275" s="13" t="s">
        <v>61</v>
      </c>
      <c r="T275" s="35">
        <v>46192</v>
      </c>
      <c r="U275" s="37">
        <v>46203</v>
      </c>
      <c r="V275" s="37">
        <f t="shared" si="134"/>
        <v>46221</v>
      </c>
      <c r="W275" s="59">
        <f t="shared" si="136"/>
        <v>59</v>
      </c>
      <c r="X275" s="59">
        <f t="shared" si="137"/>
        <v>41</v>
      </c>
      <c r="Y275" s="59">
        <f t="shared" si="138"/>
        <v>18</v>
      </c>
      <c r="Z275" s="39"/>
      <c r="AA275" s="4" t="s">
        <v>682</v>
      </c>
      <c r="AB275" s="35">
        <v>46199</v>
      </c>
      <c r="AC275" s="358" t="s">
        <v>690</v>
      </c>
      <c r="AD275" s="113">
        <v>7717</v>
      </c>
      <c r="AE275" s="13" t="s">
        <v>63</v>
      </c>
      <c r="AF275" s="35">
        <v>46203</v>
      </c>
      <c r="AG275" s="3" t="str">
        <f t="shared" si="149"/>
        <v>CIF</v>
      </c>
      <c r="AH275" s="358" t="s">
        <v>188</v>
      </c>
      <c r="AI275" s="36" t="e">
        <f>#REF!</f>
        <v>#REF!</v>
      </c>
      <c r="AJ275" s="36">
        <v>0</v>
      </c>
      <c r="AK275" s="142">
        <f t="shared" si="156"/>
        <v>0</v>
      </c>
      <c r="AL275" s="47" t="s">
        <v>691</v>
      </c>
      <c r="AM275" s="155">
        <v>46210</v>
      </c>
      <c r="AN275" s="63">
        <f t="shared" si="157"/>
        <v>7</v>
      </c>
      <c r="AO275" s="34" t="s">
        <v>65</v>
      </c>
      <c r="AP275" s="64">
        <f t="shared" si="158"/>
        <v>46221</v>
      </c>
      <c r="AQ275" s="64">
        <f t="shared" si="159"/>
        <v>46210</v>
      </c>
      <c r="AR275" s="65">
        <f t="shared" si="140"/>
        <v>59</v>
      </c>
      <c r="AS275" s="65">
        <f t="shared" si="141"/>
        <v>48</v>
      </c>
      <c r="AT275" s="157">
        <f t="shared" si="160"/>
        <v>11</v>
      </c>
      <c r="AU275" s="13"/>
      <c r="AV275" s="13"/>
      <c r="AW275" s="109" t="str">
        <f t="shared" si="161"/>
        <v>10.679,83</v>
      </c>
      <c r="AX275" s="66">
        <f t="shared" si="162"/>
        <v>0</v>
      </c>
      <c r="AY275" s="66"/>
      <c r="AZ275" s="66">
        <f t="shared" si="163"/>
        <v>0</v>
      </c>
      <c r="BA275" s="30"/>
    </row>
    <row r="276" spans="1:53" ht="21.6" customHeight="1" x14ac:dyDescent="0.45">
      <c r="A276" s="2" t="s">
        <v>692</v>
      </c>
      <c r="B276" s="3" t="s">
        <v>96</v>
      </c>
      <c r="C276" s="3" t="s">
        <v>78</v>
      </c>
      <c r="D276" s="3" t="s">
        <v>53</v>
      </c>
      <c r="E276" s="3">
        <v>11849</v>
      </c>
      <c r="F276" s="3" t="s">
        <v>693</v>
      </c>
      <c r="G276" s="144">
        <v>606</v>
      </c>
      <c r="H276" s="394">
        <v>46163</v>
      </c>
      <c r="I276" s="50">
        <v>46188</v>
      </c>
      <c r="J276" s="15">
        <f t="shared" si="131"/>
        <v>25</v>
      </c>
      <c r="K276" s="3" t="s">
        <v>55</v>
      </c>
      <c r="L276" s="3" t="s">
        <v>56</v>
      </c>
      <c r="M276" s="3"/>
      <c r="N276" s="3"/>
      <c r="O276" s="3" t="s">
        <v>59</v>
      </c>
      <c r="P276" s="8">
        <v>5150.7</v>
      </c>
      <c r="Q276" s="44" t="s">
        <v>100</v>
      </c>
      <c r="R276" s="57">
        <f t="shared" si="155"/>
        <v>46163</v>
      </c>
      <c r="S276" s="13" t="s">
        <v>61</v>
      </c>
      <c r="T276" s="35">
        <v>46185</v>
      </c>
      <c r="U276" s="37">
        <v>46176</v>
      </c>
      <c r="V276" s="37">
        <f t="shared" si="134"/>
        <v>46188</v>
      </c>
      <c r="W276" s="59">
        <f t="shared" si="136"/>
        <v>25</v>
      </c>
      <c r="X276" s="59">
        <f t="shared" si="137"/>
        <v>13</v>
      </c>
      <c r="Y276" s="59">
        <f t="shared" si="138"/>
        <v>12</v>
      </c>
      <c r="Z276" s="39"/>
      <c r="AA276" s="4" t="s">
        <v>634</v>
      </c>
      <c r="AB276" s="35">
        <v>46181</v>
      </c>
      <c r="AC276" s="375">
        <v>5150.7</v>
      </c>
      <c r="AD276" s="13">
        <v>7666</v>
      </c>
      <c r="AE276" s="13" t="s">
        <v>63</v>
      </c>
      <c r="AF276" s="35">
        <v>46183</v>
      </c>
      <c r="AG276" s="3" t="s">
        <v>70</v>
      </c>
      <c r="AH276" s="32" t="s">
        <v>525</v>
      </c>
      <c r="AI276" s="36"/>
      <c r="AJ276" s="36"/>
      <c r="AK276" s="142"/>
      <c r="AL276" s="47"/>
      <c r="AM276" s="155">
        <v>46176</v>
      </c>
      <c r="AN276" s="63">
        <f t="shared" si="157"/>
        <v>-7</v>
      </c>
      <c r="AO276" s="34" t="s">
        <v>65</v>
      </c>
      <c r="AP276" s="64">
        <f t="shared" si="158"/>
        <v>46188</v>
      </c>
      <c r="AQ276" s="64" t="s">
        <v>647</v>
      </c>
      <c r="AR276" s="65">
        <f t="shared" si="140"/>
        <v>25</v>
      </c>
      <c r="AS276" s="65">
        <f t="shared" si="141"/>
        <v>13</v>
      </c>
      <c r="AT276" s="157">
        <f t="shared" ref="AT276" si="164">AR276-AS276</f>
        <v>12</v>
      </c>
      <c r="AU276" s="13"/>
      <c r="AV276" s="13"/>
      <c r="AW276" s="109">
        <f t="shared" si="161"/>
        <v>5150.7</v>
      </c>
      <c r="AX276" s="66"/>
      <c r="AY276" s="66"/>
      <c r="AZ276" s="66"/>
      <c r="BA276" s="30"/>
    </row>
    <row r="277" spans="1:53" ht="21.6" customHeight="1" x14ac:dyDescent="0.3">
      <c r="A277" s="2" t="s">
        <v>694</v>
      </c>
      <c r="B277" s="3" t="s">
        <v>292</v>
      </c>
      <c r="C277" s="3" t="s">
        <v>78</v>
      </c>
      <c r="D277" s="3"/>
      <c r="E277" s="3">
        <v>4500252627</v>
      </c>
      <c r="F277" s="3"/>
      <c r="G277" s="144">
        <v>609</v>
      </c>
      <c r="H277" s="394">
        <v>46163</v>
      </c>
      <c r="I277" s="50">
        <v>46207</v>
      </c>
      <c r="J277" s="15">
        <f t="shared" si="131"/>
        <v>44</v>
      </c>
      <c r="K277" s="3" t="s">
        <v>55</v>
      </c>
      <c r="L277" s="3" t="s">
        <v>56</v>
      </c>
      <c r="M277" s="3" t="s">
        <v>486</v>
      </c>
      <c r="N277" s="3" t="s">
        <v>695</v>
      </c>
      <c r="O277" s="3" t="s">
        <v>59</v>
      </c>
      <c r="P277" s="8">
        <v>7279.85</v>
      </c>
      <c r="Q277" s="44" t="s">
        <v>100</v>
      </c>
      <c r="R277" s="57">
        <f t="shared" si="155"/>
        <v>46163</v>
      </c>
      <c r="S277" s="13" t="s">
        <v>61</v>
      </c>
      <c r="T277" s="35">
        <v>46192</v>
      </c>
      <c r="U277" s="37">
        <v>46191</v>
      </c>
      <c r="V277" s="37">
        <f t="shared" si="134"/>
        <v>46207</v>
      </c>
      <c r="W277" s="59">
        <f t="shared" si="136"/>
        <v>44</v>
      </c>
      <c r="X277" s="59">
        <f t="shared" si="137"/>
        <v>28</v>
      </c>
      <c r="Y277" s="59">
        <f t="shared" si="138"/>
        <v>16</v>
      </c>
      <c r="Z277" s="39"/>
      <c r="AA277" s="4" t="s">
        <v>682</v>
      </c>
      <c r="AB277" s="35">
        <v>46198</v>
      </c>
      <c r="AC277" s="352" t="s">
        <v>696</v>
      </c>
      <c r="AD277" s="13">
        <v>7706</v>
      </c>
      <c r="AE277" s="13" t="s">
        <v>63</v>
      </c>
      <c r="AF277" s="35">
        <v>46204</v>
      </c>
      <c r="AG277" s="3" t="str">
        <f>K277</f>
        <v>FOB</v>
      </c>
      <c r="AH277" s="13" t="s">
        <v>510</v>
      </c>
      <c r="AI277" s="36"/>
      <c r="AJ277" s="36"/>
      <c r="AK277" s="142"/>
      <c r="AL277" s="47"/>
      <c r="AM277" s="153">
        <v>46191</v>
      </c>
      <c r="AN277" s="63"/>
      <c r="AO277" s="34" t="s">
        <v>65</v>
      </c>
      <c r="AP277" s="64">
        <f t="shared" ref="AP277:AP279" si="165">I277</f>
        <v>46207</v>
      </c>
      <c r="AQ277" s="64" t="s">
        <v>647</v>
      </c>
      <c r="AR277" s="65">
        <f t="shared" si="140"/>
        <v>44</v>
      </c>
      <c r="AS277" s="65">
        <f t="shared" si="141"/>
        <v>28</v>
      </c>
      <c r="AT277" s="157">
        <f t="shared" ref="AT277:AT279" si="166">AR277-AS277</f>
        <v>16</v>
      </c>
      <c r="AU277" s="13"/>
      <c r="AV277" s="13"/>
      <c r="AW277" s="109"/>
      <c r="AX277" s="66"/>
      <c r="AY277" s="66"/>
      <c r="AZ277" s="66"/>
      <c r="BA277" s="30"/>
    </row>
    <row r="278" spans="1:53" ht="21.6" customHeight="1" x14ac:dyDescent="0.3">
      <c r="A278" s="2" t="s">
        <v>694</v>
      </c>
      <c r="B278" s="3" t="s">
        <v>292</v>
      </c>
      <c r="C278" s="3" t="s">
        <v>78</v>
      </c>
      <c r="D278" s="3"/>
      <c r="E278" s="3">
        <v>4500252454</v>
      </c>
      <c r="F278" s="3" t="s">
        <v>53</v>
      </c>
      <c r="G278" s="144">
        <v>610</v>
      </c>
      <c r="H278" s="394">
        <v>46163</v>
      </c>
      <c r="I278" s="50">
        <v>46209</v>
      </c>
      <c r="J278" s="15">
        <f t="shared" si="131"/>
        <v>46</v>
      </c>
      <c r="K278" s="3" t="s">
        <v>55</v>
      </c>
      <c r="L278" s="3" t="s">
        <v>56</v>
      </c>
      <c r="M278" s="3" t="s">
        <v>486</v>
      </c>
      <c r="N278" s="3" t="s">
        <v>695</v>
      </c>
      <c r="O278" s="3" t="s">
        <v>59</v>
      </c>
      <c r="P278" s="8">
        <v>18868</v>
      </c>
      <c r="Q278" s="44" t="s">
        <v>100</v>
      </c>
      <c r="R278" s="57">
        <f t="shared" si="155"/>
        <v>46163</v>
      </c>
      <c r="S278" s="13" t="s">
        <v>61</v>
      </c>
      <c r="T278" s="35">
        <v>46192</v>
      </c>
      <c r="U278" s="37">
        <v>46191</v>
      </c>
      <c r="V278" s="37">
        <f t="shared" si="134"/>
        <v>46209</v>
      </c>
      <c r="W278" s="59">
        <f t="shared" si="136"/>
        <v>46</v>
      </c>
      <c r="X278" s="59">
        <f t="shared" si="137"/>
        <v>28</v>
      </c>
      <c r="Y278" s="59">
        <f t="shared" si="138"/>
        <v>18</v>
      </c>
      <c r="Z278" s="39"/>
      <c r="AA278" s="4" t="s">
        <v>682</v>
      </c>
      <c r="AB278" s="35">
        <v>46198</v>
      </c>
      <c r="AC278" s="352" t="s">
        <v>697</v>
      </c>
      <c r="AD278" s="13">
        <v>7708</v>
      </c>
      <c r="AE278" s="13" t="s">
        <v>63</v>
      </c>
      <c r="AF278" s="35">
        <v>46204</v>
      </c>
      <c r="AG278" s="3" t="str">
        <f>K278</f>
        <v>FOB</v>
      </c>
      <c r="AH278" s="13" t="s">
        <v>510</v>
      </c>
      <c r="AI278" s="36"/>
      <c r="AJ278" s="36"/>
      <c r="AK278" s="142"/>
      <c r="AL278" s="47"/>
      <c r="AM278" s="153">
        <v>46191</v>
      </c>
      <c r="AN278" s="63"/>
      <c r="AO278" s="34" t="s">
        <v>65</v>
      </c>
      <c r="AP278" s="64">
        <f t="shared" si="165"/>
        <v>46209</v>
      </c>
      <c r="AQ278" s="64" t="s">
        <v>647</v>
      </c>
      <c r="AR278" s="65">
        <f t="shared" si="140"/>
        <v>46</v>
      </c>
      <c r="AS278" s="65">
        <f t="shared" si="141"/>
        <v>28</v>
      </c>
      <c r="AT278" s="157">
        <f t="shared" si="166"/>
        <v>18</v>
      </c>
      <c r="AU278" s="13"/>
      <c r="AV278" s="13"/>
      <c r="AW278" s="109"/>
      <c r="AX278" s="66"/>
      <c r="AY278" s="66"/>
      <c r="AZ278" s="66"/>
      <c r="BA278" s="30"/>
    </row>
    <row r="279" spans="1:53" ht="21.6" customHeight="1" x14ac:dyDescent="0.3">
      <c r="A279" s="2" t="s">
        <v>95</v>
      </c>
      <c r="B279" s="3" t="s">
        <v>96</v>
      </c>
      <c r="C279" s="3" t="s">
        <v>78</v>
      </c>
      <c r="D279" s="3"/>
      <c r="E279" s="3">
        <v>4500013067</v>
      </c>
      <c r="F279" s="3"/>
      <c r="G279" s="144">
        <v>611</v>
      </c>
      <c r="H279" s="394">
        <v>46163</v>
      </c>
      <c r="I279" s="50">
        <v>46197</v>
      </c>
      <c r="J279" s="15">
        <f t="shared" si="131"/>
        <v>34</v>
      </c>
      <c r="K279" s="3" t="s">
        <v>70</v>
      </c>
      <c r="L279" s="3" t="s">
        <v>56</v>
      </c>
      <c r="M279" s="3" t="s">
        <v>98</v>
      </c>
      <c r="N279" s="3" t="s">
        <v>99</v>
      </c>
      <c r="O279" s="3" t="s">
        <v>59</v>
      </c>
      <c r="P279" s="8">
        <v>24175</v>
      </c>
      <c r="Q279" s="44" t="s">
        <v>100</v>
      </c>
      <c r="R279" s="57">
        <f t="shared" si="155"/>
        <v>46163</v>
      </c>
      <c r="S279" s="13" t="s">
        <v>61</v>
      </c>
      <c r="T279" s="35">
        <v>46192</v>
      </c>
      <c r="U279" s="37">
        <v>46196</v>
      </c>
      <c r="V279" s="37">
        <f t="shared" si="134"/>
        <v>46197</v>
      </c>
      <c r="W279" s="59">
        <f t="shared" si="136"/>
        <v>34</v>
      </c>
      <c r="X279" s="59">
        <f t="shared" si="137"/>
        <v>33</v>
      </c>
      <c r="Y279" s="59">
        <f t="shared" si="138"/>
        <v>1</v>
      </c>
      <c r="Z279" s="39"/>
      <c r="AA279" s="4" t="s">
        <v>682</v>
      </c>
      <c r="AB279" s="35">
        <v>46196</v>
      </c>
      <c r="AC279" s="354">
        <v>24175</v>
      </c>
      <c r="AD279" s="13">
        <v>7696</v>
      </c>
      <c r="AE279" s="13" t="s">
        <v>63</v>
      </c>
      <c r="AF279" s="35">
        <v>46197</v>
      </c>
      <c r="AG279" s="3" t="s">
        <v>70</v>
      </c>
      <c r="AH279" s="247" t="s">
        <v>667</v>
      </c>
      <c r="AI279" s="36"/>
      <c r="AJ279" s="36"/>
      <c r="AK279" s="142"/>
      <c r="AL279" s="47">
        <v>46197</v>
      </c>
      <c r="AM279" s="153">
        <v>46197</v>
      </c>
      <c r="AN279" s="63"/>
      <c r="AO279" s="34" t="s">
        <v>65</v>
      </c>
      <c r="AP279" s="64">
        <f t="shared" si="165"/>
        <v>46197</v>
      </c>
      <c r="AQ279" s="64">
        <f t="shared" ref="AQ279" si="167">AM279</f>
        <v>46197</v>
      </c>
      <c r="AR279" s="65">
        <f t="shared" si="140"/>
        <v>34</v>
      </c>
      <c r="AS279" s="65">
        <f t="shared" si="141"/>
        <v>34</v>
      </c>
      <c r="AT279" s="157">
        <f t="shared" si="166"/>
        <v>0</v>
      </c>
      <c r="AU279" s="13"/>
      <c r="AV279" s="13"/>
      <c r="AW279" s="109"/>
      <c r="AX279" s="66"/>
      <c r="AY279" s="66"/>
      <c r="AZ279" s="66"/>
      <c r="BA279" s="30"/>
    </row>
    <row r="280" spans="1:53" ht="21.6" customHeight="1" x14ac:dyDescent="0.3">
      <c r="A280" s="2" t="s">
        <v>122</v>
      </c>
      <c r="B280" s="3" t="s">
        <v>51</v>
      </c>
      <c r="C280" s="3" t="s">
        <v>78</v>
      </c>
      <c r="D280" s="3" t="s">
        <v>53</v>
      </c>
      <c r="E280" s="3">
        <v>555734618</v>
      </c>
      <c r="F280" s="3" t="s">
        <v>53</v>
      </c>
      <c r="G280" s="144">
        <v>612</v>
      </c>
      <c r="H280" s="394">
        <v>46163</v>
      </c>
      <c r="I280" s="50">
        <v>46206</v>
      </c>
      <c r="J280" s="15">
        <f t="shared" si="131"/>
        <v>43</v>
      </c>
      <c r="K280" s="3" t="s">
        <v>70</v>
      </c>
      <c r="L280" s="3" t="s">
        <v>56</v>
      </c>
      <c r="M280" s="3" t="s">
        <v>57</v>
      </c>
      <c r="N280" s="3" t="s">
        <v>432</v>
      </c>
      <c r="O280" s="3" t="s">
        <v>59</v>
      </c>
      <c r="P280" s="8">
        <v>115398.23</v>
      </c>
      <c r="Q280" s="44" t="s">
        <v>100</v>
      </c>
      <c r="R280" s="57">
        <f t="shared" si="155"/>
        <v>46163</v>
      </c>
      <c r="S280" s="13" t="s">
        <v>61</v>
      </c>
      <c r="T280" s="35">
        <v>46192</v>
      </c>
      <c r="U280" s="37">
        <v>46202</v>
      </c>
      <c r="V280" s="37">
        <f t="shared" si="134"/>
        <v>46206</v>
      </c>
      <c r="W280" s="59">
        <f t="shared" si="136"/>
        <v>43</v>
      </c>
      <c r="X280" s="59">
        <f t="shared" si="137"/>
        <v>39</v>
      </c>
      <c r="Y280" s="59">
        <f t="shared" si="138"/>
        <v>4</v>
      </c>
      <c r="Z280" s="39"/>
      <c r="AA280" s="4" t="s">
        <v>682</v>
      </c>
      <c r="AB280" s="35">
        <v>46202</v>
      </c>
      <c r="AC280" s="13" t="s">
        <v>698</v>
      </c>
      <c r="AD280" s="13">
        <v>7725</v>
      </c>
      <c r="AE280" s="13" t="s">
        <v>63</v>
      </c>
      <c r="AF280" s="35">
        <v>46204</v>
      </c>
      <c r="AG280" s="3" t="str">
        <f>K280</f>
        <v>CIF</v>
      </c>
      <c r="AH280" s="13" t="s">
        <v>667</v>
      </c>
      <c r="AI280" s="36" t="e">
        <f>#REF!</f>
        <v>#REF!</v>
      </c>
      <c r="AJ280" s="36">
        <v>0</v>
      </c>
      <c r="AK280" s="142">
        <f>AJ280/AC280</f>
        <v>0</v>
      </c>
      <c r="AL280" s="47"/>
      <c r="AM280" s="153">
        <v>46204</v>
      </c>
      <c r="AN280" s="63">
        <f>AM280-AF280</f>
        <v>0</v>
      </c>
      <c r="AO280" s="34" t="s">
        <v>65</v>
      </c>
      <c r="AP280" s="64">
        <f>I280</f>
        <v>46206</v>
      </c>
      <c r="AQ280" s="64">
        <f>AM280</f>
        <v>46204</v>
      </c>
      <c r="AR280" s="65">
        <f t="shared" si="140"/>
        <v>43</v>
      </c>
      <c r="AS280" s="65">
        <f t="shared" si="141"/>
        <v>41</v>
      </c>
      <c r="AT280" s="157">
        <f>AR280-AS280</f>
        <v>2</v>
      </c>
      <c r="AU280" s="13" t="s">
        <v>699</v>
      </c>
      <c r="AV280" s="13"/>
      <c r="AW280" s="109" t="str">
        <f t="shared" ref="AW280" si="168">AC280</f>
        <v>115.398,23</v>
      </c>
      <c r="AX280" s="66">
        <f>Z280</f>
        <v>0</v>
      </c>
      <c r="AY280" s="66"/>
      <c r="AZ280" s="66">
        <f>AJ280</f>
        <v>0</v>
      </c>
      <c r="BA280" s="30"/>
    </row>
    <row r="281" spans="1:53" ht="21.6" customHeight="1" x14ac:dyDescent="0.3">
      <c r="A281" s="2">
        <v>84</v>
      </c>
      <c r="B281" s="3" t="s">
        <v>51</v>
      </c>
      <c r="C281" s="3" t="s">
        <v>613</v>
      </c>
      <c r="D281" s="3" t="s">
        <v>53</v>
      </c>
      <c r="E281" s="3" t="s">
        <v>700</v>
      </c>
      <c r="F281" s="3" t="s">
        <v>701</v>
      </c>
      <c r="G281" s="150" t="s">
        <v>53</v>
      </c>
      <c r="H281" s="394">
        <v>46163</v>
      </c>
      <c r="I281" s="50">
        <v>46199</v>
      </c>
      <c r="J281" s="15">
        <f t="shared" si="131"/>
        <v>36</v>
      </c>
      <c r="K281" s="3" t="s">
        <v>612</v>
      </c>
      <c r="L281" s="3" t="s">
        <v>56</v>
      </c>
      <c r="M281" s="3" t="s">
        <v>57</v>
      </c>
      <c r="N281" s="3" t="s">
        <v>87</v>
      </c>
      <c r="O281" s="3" t="s">
        <v>59</v>
      </c>
      <c r="P281" s="8">
        <v>139993.82999999999</v>
      </c>
      <c r="Q281" s="44" t="s">
        <v>100</v>
      </c>
      <c r="R281" s="57">
        <f t="shared" si="155"/>
        <v>46163</v>
      </c>
      <c r="S281" s="13" t="s">
        <v>61</v>
      </c>
      <c r="T281" s="35">
        <v>46234</v>
      </c>
      <c r="U281" s="37">
        <v>46199</v>
      </c>
      <c r="V281" s="37">
        <f t="shared" si="134"/>
        <v>46199</v>
      </c>
      <c r="W281" s="59">
        <f t="shared" si="136"/>
        <v>36</v>
      </c>
      <c r="X281" s="59">
        <f t="shared" si="137"/>
        <v>36</v>
      </c>
      <c r="Y281" s="59">
        <f t="shared" si="138"/>
        <v>0</v>
      </c>
      <c r="Z281" s="39"/>
      <c r="AA281" s="4" t="s">
        <v>702</v>
      </c>
      <c r="AB281" s="35">
        <v>46227</v>
      </c>
      <c r="AC281" s="13">
        <v>139993.82999999999</v>
      </c>
      <c r="AD281" s="13"/>
      <c r="AE281" s="13"/>
      <c r="AF281" s="35"/>
      <c r="AG281" s="3" t="str">
        <f>K281</f>
        <v>SERV</v>
      </c>
      <c r="AH281" s="13"/>
      <c r="AI281" s="36" t="e">
        <f>#REF!</f>
        <v>#REF!</v>
      </c>
      <c r="AJ281" s="36">
        <v>0</v>
      </c>
      <c r="AK281" s="142">
        <f>AJ281/AC281</f>
        <v>0</v>
      </c>
      <c r="AL281" s="47"/>
      <c r="AM281" s="153">
        <v>46199</v>
      </c>
      <c r="AN281" s="63">
        <f>AM281-AF281</f>
        <v>46199</v>
      </c>
      <c r="AO281" s="34" t="s">
        <v>65</v>
      </c>
      <c r="AP281" s="64">
        <f>I281</f>
        <v>46199</v>
      </c>
      <c r="AQ281" s="64">
        <f>AM281</f>
        <v>46199</v>
      </c>
      <c r="AR281" s="65">
        <f t="shared" si="140"/>
        <v>36</v>
      </c>
      <c r="AS281" s="65">
        <f t="shared" si="141"/>
        <v>36</v>
      </c>
      <c r="AT281" s="157">
        <f>AR281-AS281</f>
        <v>0</v>
      </c>
      <c r="AU281" s="13"/>
      <c r="AV281" s="13"/>
      <c r="AW281" s="109">
        <f>AC281</f>
        <v>139993.82999999999</v>
      </c>
      <c r="AX281" s="66">
        <f>Z281</f>
        <v>0</v>
      </c>
      <c r="AY281" s="66"/>
      <c r="AZ281" s="66">
        <f>AJ281</f>
        <v>0</v>
      </c>
      <c r="BA281" s="30"/>
    </row>
    <row r="282" spans="1:53" ht="21.6" customHeight="1" x14ac:dyDescent="0.3">
      <c r="A282" s="2" t="s">
        <v>76</v>
      </c>
      <c r="B282" s="3" t="s">
        <v>619</v>
      </c>
      <c r="C282" s="3" t="s">
        <v>613</v>
      </c>
      <c r="D282" s="3" t="s">
        <v>53</v>
      </c>
      <c r="E282" s="3">
        <v>3100038640</v>
      </c>
      <c r="F282" s="3" t="s">
        <v>703</v>
      </c>
      <c r="G282" s="150" t="s">
        <v>53</v>
      </c>
      <c r="H282" s="394">
        <v>46163</v>
      </c>
      <c r="I282" s="50">
        <v>46174</v>
      </c>
      <c r="J282" s="15">
        <f t="shared" si="131"/>
        <v>11</v>
      </c>
      <c r="K282" s="3" t="s">
        <v>612</v>
      </c>
      <c r="L282" s="3" t="s">
        <v>56</v>
      </c>
      <c r="M282" s="3" t="s">
        <v>57</v>
      </c>
      <c r="N282" s="3" t="s">
        <v>432</v>
      </c>
      <c r="O282" s="3" t="s">
        <v>59</v>
      </c>
      <c r="P282" s="8">
        <v>16330.81</v>
      </c>
      <c r="Q282" s="44" t="s">
        <v>100</v>
      </c>
      <c r="R282" s="57">
        <f t="shared" si="155"/>
        <v>46163</v>
      </c>
      <c r="S282" s="13" t="s">
        <v>61</v>
      </c>
      <c r="T282" s="35">
        <v>46174</v>
      </c>
      <c r="U282" s="37">
        <v>46174</v>
      </c>
      <c r="V282" s="37">
        <f t="shared" si="134"/>
        <v>46174</v>
      </c>
      <c r="W282" s="59">
        <f t="shared" si="136"/>
        <v>11</v>
      </c>
      <c r="X282" s="59">
        <f t="shared" si="137"/>
        <v>11</v>
      </c>
      <c r="Y282" s="59">
        <f t="shared" si="138"/>
        <v>0</v>
      </c>
      <c r="Z282" s="39"/>
      <c r="AA282" s="4" t="s">
        <v>634</v>
      </c>
      <c r="AB282" s="35">
        <v>46191</v>
      </c>
      <c r="AC282" s="352">
        <v>16330.81</v>
      </c>
      <c r="AD282" s="13"/>
      <c r="AE282" s="13" t="s">
        <v>63</v>
      </c>
      <c r="AF282" s="35"/>
      <c r="AG282" s="3" t="str">
        <f>K282</f>
        <v>SERV</v>
      </c>
      <c r="AH282" s="13"/>
      <c r="AI282" s="36" t="e">
        <f>#REF!</f>
        <v>#REF!</v>
      </c>
      <c r="AJ282" s="36">
        <v>0</v>
      </c>
      <c r="AK282" s="142">
        <f>AJ282/AC282</f>
        <v>0</v>
      </c>
      <c r="AL282" s="47"/>
      <c r="AM282" s="153">
        <v>46174</v>
      </c>
      <c r="AN282" s="63">
        <f>AM282-AF282</f>
        <v>46174</v>
      </c>
      <c r="AO282" s="34" t="s">
        <v>65</v>
      </c>
      <c r="AP282" s="64">
        <f>I282</f>
        <v>46174</v>
      </c>
      <c r="AQ282" s="64">
        <f>AM282</f>
        <v>46174</v>
      </c>
      <c r="AR282" s="65">
        <f t="shared" si="140"/>
        <v>11</v>
      </c>
      <c r="AS282" s="65">
        <f t="shared" si="141"/>
        <v>11</v>
      </c>
      <c r="AT282" s="157">
        <f>AR282-AS282</f>
        <v>0</v>
      </c>
      <c r="AU282" s="13" t="s">
        <v>704</v>
      </c>
      <c r="AV282" s="13"/>
      <c r="AW282" s="109">
        <f>AC282</f>
        <v>16330.81</v>
      </c>
      <c r="AX282" s="66">
        <f>Z282</f>
        <v>0</v>
      </c>
      <c r="AY282" s="66"/>
      <c r="AZ282" s="66">
        <f>AJ282</f>
        <v>0</v>
      </c>
      <c r="BA282" s="30"/>
    </row>
    <row r="283" spans="1:53" ht="21.6" customHeight="1" x14ac:dyDescent="0.3">
      <c r="A283" s="2" t="s">
        <v>570</v>
      </c>
      <c r="B283" s="3" t="s">
        <v>51</v>
      </c>
      <c r="C283" s="3" t="s">
        <v>78</v>
      </c>
      <c r="D283" s="3" t="s">
        <v>53</v>
      </c>
      <c r="E283" s="3">
        <v>4515272713</v>
      </c>
      <c r="F283" s="3" t="s">
        <v>705</v>
      </c>
      <c r="G283" s="144">
        <v>613</v>
      </c>
      <c r="H283" s="394">
        <v>46164</v>
      </c>
      <c r="I283" s="50">
        <v>46226</v>
      </c>
      <c r="J283" s="15">
        <f t="shared" si="131"/>
        <v>62</v>
      </c>
      <c r="K283" s="3" t="s">
        <v>70</v>
      </c>
      <c r="L283" s="3" t="s">
        <v>56</v>
      </c>
      <c r="M283" s="3" t="s">
        <v>57</v>
      </c>
      <c r="N283" s="3" t="s">
        <v>87</v>
      </c>
      <c r="O283" s="3" t="s">
        <v>59</v>
      </c>
      <c r="P283" s="8">
        <v>7877.69</v>
      </c>
      <c r="Q283" s="44" t="s">
        <v>100</v>
      </c>
      <c r="R283" s="57">
        <f t="shared" si="155"/>
        <v>46164</v>
      </c>
      <c r="S283" s="13" t="s">
        <v>61</v>
      </c>
      <c r="T283" s="35">
        <v>46199</v>
      </c>
      <c r="U283" s="37">
        <v>46199</v>
      </c>
      <c r="V283" s="37">
        <f t="shared" si="134"/>
        <v>46226</v>
      </c>
      <c r="W283" s="59">
        <f t="shared" si="136"/>
        <v>62</v>
      </c>
      <c r="X283" s="59">
        <f t="shared" si="137"/>
        <v>35</v>
      </c>
      <c r="Y283" s="59">
        <f t="shared" si="138"/>
        <v>27</v>
      </c>
      <c r="Z283" s="39"/>
      <c r="AA283" s="4" t="s">
        <v>643</v>
      </c>
      <c r="AB283" s="35">
        <v>46203</v>
      </c>
      <c r="AC283" s="13" t="s">
        <v>706</v>
      </c>
      <c r="AD283" s="13">
        <v>7727</v>
      </c>
      <c r="AE283" s="13" t="s">
        <v>63</v>
      </c>
      <c r="AF283" s="35">
        <v>46204</v>
      </c>
      <c r="AG283" s="3" t="str">
        <f>K283</f>
        <v>CIF</v>
      </c>
      <c r="AH283" s="13" t="s">
        <v>707</v>
      </c>
      <c r="AI283" s="36" t="e">
        <f>#REF!</f>
        <v>#REF!</v>
      </c>
      <c r="AJ283" s="36">
        <v>0</v>
      </c>
      <c r="AK283" s="142">
        <f>AJ283/AC283</f>
        <v>0</v>
      </c>
      <c r="AL283" s="47"/>
      <c r="AM283" s="153">
        <v>46206</v>
      </c>
      <c r="AN283" s="63">
        <f>AM283-AF283</f>
        <v>2</v>
      </c>
      <c r="AO283" s="34" t="s">
        <v>65</v>
      </c>
      <c r="AP283" s="64">
        <f>I283</f>
        <v>46226</v>
      </c>
      <c r="AQ283" s="64">
        <v>46088</v>
      </c>
      <c r="AR283" s="65">
        <f t="shared" si="140"/>
        <v>62</v>
      </c>
      <c r="AS283" s="65">
        <f t="shared" si="141"/>
        <v>42</v>
      </c>
      <c r="AT283" s="157">
        <f>AR283-AS283</f>
        <v>20</v>
      </c>
      <c r="AU283" s="13"/>
      <c r="AV283" s="13"/>
      <c r="AW283" s="109" t="str">
        <f t="shared" ref="AW283:AW284" si="169">AC283</f>
        <v>7877,69</v>
      </c>
      <c r="AX283" s="66">
        <f>Z283</f>
        <v>0</v>
      </c>
      <c r="AY283" s="66"/>
      <c r="AZ283" s="66">
        <f>AJ283</f>
        <v>0</v>
      </c>
      <c r="BA283" s="30"/>
    </row>
    <row r="284" spans="1:53" ht="21.6" customHeight="1" x14ac:dyDescent="0.3">
      <c r="A284" s="2" t="s">
        <v>439</v>
      </c>
      <c r="B284" s="3" t="s">
        <v>77</v>
      </c>
      <c r="C284" s="3" t="s">
        <v>78</v>
      </c>
      <c r="D284" s="3" t="s">
        <v>53</v>
      </c>
      <c r="E284" s="3" t="s">
        <v>708</v>
      </c>
      <c r="F284" s="3" t="s">
        <v>709</v>
      </c>
      <c r="G284" s="144">
        <v>614</v>
      </c>
      <c r="H284" s="394">
        <v>46164</v>
      </c>
      <c r="I284" s="50">
        <v>46181</v>
      </c>
      <c r="J284" s="15">
        <f t="shared" si="131"/>
        <v>17</v>
      </c>
      <c r="K284" s="3" t="s">
        <v>70</v>
      </c>
      <c r="L284" s="3" t="s">
        <v>56</v>
      </c>
      <c r="M284" s="3" t="s">
        <v>81</v>
      </c>
      <c r="N284" s="3" t="s">
        <v>497</v>
      </c>
      <c r="O284" s="3" t="s">
        <v>59</v>
      </c>
      <c r="P284" s="8">
        <v>3281.25</v>
      </c>
      <c r="Q284" s="44" t="s">
        <v>100</v>
      </c>
      <c r="R284" s="57">
        <f t="shared" si="155"/>
        <v>46164</v>
      </c>
      <c r="S284" s="13" t="s">
        <v>61</v>
      </c>
      <c r="T284" s="35">
        <v>46178</v>
      </c>
      <c r="U284" s="37">
        <v>46176</v>
      </c>
      <c r="V284" s="37">
        <f t="shared" si="134"/>
        <v>46181</v>
      </c>
      <c r="W284" s="59">
        <f t="shared" si="136"/>
        <v>17</v>
      </c>
      <c r="X284" s="59">
        <f t="shared" si="137"/>
        <v>12</v>
      </c>
      <c r="Y284" s="59">
        <f t="shared" si="138"/>
        <v>5</v>
      </c>
      <c r="Z284" s="39"/>
      <c r="AA284" s="4" t="s">
        <v>634</v>
      </c>
      <c r="AB284" s="35">
        <v>46176</v>
      </c>
      <c r="AC284" s="352">
        <v>3281.25</v>
      </c>
      <c r="AD284" s="13">
        <v>7663</v>
      </c>
      <c r="AE284" s="13" t="s">
        <v>63</v>
      </c>
      <c r="AF284" s="35">
        <v>46176</v>
      </c>
      <c r="AG284" s="3" t="str">
        <f>K284</f>
        <v>CIF</v>
      </c>
      <c r="AH284" s="13" t="s">
        <v>102</v>
      </c>
      <c r="AI284" s="36" t="e">
        <f>#REF!</f>
        <v>#REF!</v>
      </c>
      <c r="AJ284" s="36">
        <v>0</v>
      </c>
      <c r="AK284" s="142">
        <f>AJ284/AC284</f>
        <v>0</v>
      </c>
      <c r="AL284" s="47">
        <v>46189</v>
      </c>
      <c r="AM284" s="153">
        <v>46206</v>
      </c>
      <c r="AN284" s="63">
        <f>AM284-AF284</f>
        <v>30</v>
      </c>
      <c r="AO284" s="34" t="s">
        <v>103</v>
      </c>
      <c r="AP284" s="64">
        <f>I284</f>
        <v>46181</v>
      </c>
      <c r="AQ284" s="64">
        <f>AM284</f>
        <v>46206</v>
      </c>
      <c r="AR284" s="65">
        <f t="shared" si="140"/>
        <v>17</v>
      </c>
      <c r="AS284" s="65">
        <f t="shared" si="141"/>
        <v>42</v>
      </c>
      <c r="AT284" s="157">
        <f>AR284-AS284</f>
        <v>-25</v>
      </c>
      <c r="AU284" s="13" t="s">
        <v>575</v>
      </c>
      <c r="AV284" s="13" t="s">
        <v>116</v>
      </c>
      <c r="AW284" s="109">
        <f t="shared" si="169"/>
        <v>3281.25</v>
      </c>
      <c r="AX284" s="66">
        <f>Z284</f>
        <v>0</v>
      </c>
      <c r="AY284" s="66"/>
      <c r="AZ284" s="66">
        <f>AJ284</f>
        <v>0</v>
      </c>
      <c r="BA284" s="30"/>
    </row>
    <row r="285" spans="1:53" ht="21.6" customHeight="1" x14ac:dyDescent="0.3">
      <c r="A285" s="2" t="s">
        <v>192</v>
      </c>
      <c r="B285" s="3" t="s">
        <v>171</v>
      </c>
      <c r="C285" s="3" t="s">
        <v>78</v>
      </c>
      <c r="D285" s="3"/>
      <c r="E285" s="3">
        <v>4500087825</v>
      </c>
      <c r="F285" s="3"/>
      <c r="G285" s="144">
        <v>617</v>
      </c>
      <c r="H285" s="394">
        <v>46167</v>
      </c>
      <c r="I285" s="50">
        <v>46198</v>
      </c>
      <c r="J285" s="15">
        <f t="shared" si="131"/>
        <v>31</v>
      </c>
      <c r="K285" s="3" t="s">
        <v>55</v>
      </c>
      <c r="L285" s="3" t="s">
        <v>56</v>
      </c>
      <c r="M285" s="3" t="s">
        <v>186</v>
      </c>
      <c r="N285" s="3" t="s">
        <v>710</v>
      </c>
      <c r="O285" s="3" t="s">
        <v>59</v>
      </c>
      <c r="P285" s="8">
        <v>6097.04</v>
      </c>
      <c r="Q285" s="44" t="s">
        <v>100</v>
      </c>
      <c r="R285" s="57">
        <f t="shared" si="155"/>
        <v>46167</v>
      </c>
      <c r="S285" s="13" t="s">
        <v>61</v>
      </c>
      <c r="T285" s="35">
        <v>46192</v>
      </c>
      <c r="U285" s="37">
        <v>46198</v>
      </c>
      <c r="V285" s="37">
        <f t="shared" si="134"/>
        <v>46198</v>
      </c>
      <c r="W285" s="59">
        <f t="shared" si="136"/>
        <v>31</v>
      </c>
      <c r="X285" s="59">
        <f t="shared" si="137"/>
        <v>31</v>
      </c>
      <c r="Y285" s="59">
        <f t="shared" si="138"/>
        <v>0</v>
      </c>
      <c r="Z285" s="39"/>
      <c r="AA285" s="4" t="s">
        <v>682</v>
      </c>
      <c r="AB285" s="35">
        <v>46198</v>
      </c>
      <c r="AC285" s="358" t="s">
        <v>711</v>
      </c>
      <c r="AD285" s="13">
        <v>7704</v>
      </c>
      <c r="AE285" s="13" t="s">
        <v>63</v>
      </c>
      <c r="AF285" s="35" t="s">
        <v>678</v>
      </c>
      <c r="AG285" s="3" t="s">
        <v>55</v>
      </c>
      <c r="AH285" s="358" t="s">
        <v>404</v>
      </c>
      <c r="AI285" s="36"/>
      <c r="AJ285" s="36"/>
      <c r="AK285" s="142"/>
      <c r="AL285" s="47"/>
      <c r="AM285" s="153">
        <v>46198</v>
      </c>
      <c r="AN285" s="63"/>
      <c r="AO285" s="34" t="s">
        <v>65</v>
      </c>
      <c r="AP285" s="64">
        <f t="shared" ref="AP285" si="170">I285</f>
        <v>46198</v>
      </c>
      <c r="AQ285" s="64" t="s">
        <v>647</v>
      </c>
      <c r="AR285" s="65">
        <f t="shared" si="140"/>
        <v>31</v>
      </c>
      <c r="AS285" s="65">
        <f t="shared" si="141"/>
        <v>31</v>
      </c>
      <c r="AT285" s="157">
        <f t="shared" ref="AT285" si="171">AR285-AS285</f>
        <v>0</v>
      </c>
      <c r="AU285" s="13"/>
      <c r="AV285" s="13"/>
      <c r="AW285" s="109"/>
      <c r="AX285" s="66"/>
      <c r="AY285" s="66"/>
      <c r="AZ285" s="66"/>
      <c r="BA285" s="30"/>
    </row>
    <row r="286" spans="1:53" ht="21.6" customHeight="1" x14ac:dyDescent="0.3">
      <c r="A286" s="2" t="s">
        <v>181</v>
      </c>
      <c r="B286" s="3" t="s">
        <v>51</v>
      </c>
      <c r="C286" s="3" t="s">
        <v>78</v>
      </c>
      <c r="D286" s="3" t="s">
        <v>53</v>
      </c>
      <c r="E286" s="3" t="s">
        <v>53</v>
      </c>
      <c r="F286" s="3" t="s">
        <v>712</v>
      </c>
      <c r="G286" s="144">
        <v>618</v>
      </c>
      <c r="H286" s="394">
        <v>46167</v>
      </c>
      <c r="I286" s="50">
        <v>46172</v>
      </c>
      <c r="J286" s="15">
        <f t="shared" si="131"/>
        <v>5</v>
      </c>
      <c r="K286" s="3" t="s">
        <v>55</v>
      </c>
      <c r="L286" s="3" t="s">
        <v>56</v>
      </c>
      <c r="M286" s="3" t="s">
        <v>57</v>
      </c>
      <c r="N286" s="3" t="s">
        <v>87</v>
      </c>
      <c r="O286" s="3" t="s">
        <v>59</v>
      </c>
      <c r="P286" s="8">
        <v>77355</v>
      </c>
      <c r="Q286" s="44" t="s">
        <v>60</v>
      </c>
      <c r="R286" s="57">
        <f t="shared" si="155"/>
        <v>46167</v>
      </c>
      <c r="S286" s="13" t="s">
        <v>61</v>
      </c>
      <c r="T286" s="35">
        <v>46171</v>
      </c>
      <c r="U286" s="37">
        <v>46172</v>
      </c>
      <c r="V286" s="37">
        <f t="shared" si="134"/>
        <v>46172</v>
      </c>
      <c r="W286" s="59">
        <f t="shared" si="136"/>
        <v>5</v>
      </c>
      <c r="X286" s="59">
        <f t="shared" si="137"/>
        <v>5</v>
      </c>
      <c r="Y286" s="59">
        <f t="shared" si="138"/>
        <v>0</v>
      </c>
      <c r="Z286" s="39"/>
      <c r="AA286" s="4" t="s">
        <v>535</v>
      </c>
      <c r="AB286" s="35">
        <v>46170</v>
      </c>
      <c r="AC286" s="32">
        <v>77355</v>
      </c>
      <c r="AD286" s="341">
        <v>7647</v>
      </c>
      <c r="AE286" s="13" t="s">
        <v>63</v>
      </c>
      <c r="AF286" s="35">
        <v>46172</v>
      </c>
      <c r="AG286" s="3" t="str">
        <f t="shared" ref="AG286:AG291" si="172">K286</f>
        <v>FOB</v>
      </c>
      <c r="AH286" s="364" t="s">
        <v>398</v>
      </c>
      <c r="AI286" s="36" t="e">
        <f>#REF!</f>
        <v>#REF!</v>
      </c>
      <c r="AJ286" s="36">
        <v>0</v>
      </c>
      <c r="AK286" s="142">
        <f>AJ286/AC286</f>
        <v>0</v>
      </c>
      <c r="AL286" s="47">
        <v>46171</v>
      </c>
      <c r="AM286" s="153">
        <v>46172</v>
      </c>
      <c r="AN286" s="63">
        <f>AM286-AF286</f>
        <v>0</v>
      </c>
      <c r="AO286" s="34" t="s">
        <v>65</v>
      </c>
      <c r="AP286" s="64">
        <f>I286</f>
        <v>46172</v>
      </c>
      <c r="AQ286" s="64">
        <f>AM286</f>
        <v>46172</v>
      </c>
      <c r="AR286" s="65">
        <f t="shared" si="140"/>
        <v>5</v>
      </c>
      <c r="AS286" s="65">
        <f t="shared" si="141"/>
        <v>5</v>
      </c>
      <c r="AT286" s="157">
        <f t="shared" ref="AT286:AT291" si="173">AR286-AS286</f>
        <v>0</v>
      </c>
      <c r="AU286" s="13"/>
      <c r="AV286" s="13"/>
      <c r="AW286" s="109">
        <f>AC286</f>
        <v>77355</v>
      </c>
      <c r="AX286" s="66">
        <f>Z286</f>
        <v>0</v>
      </c>
      <c r="AY286" s="66"/>
      <c r="AZ286" s="66">
        <f>AJ286</f>
        <v>0</v>
      </c>
      <c r="BA286" s="30"/>
    </row>
    <row r="287" spans="1:53" ht="21.6" customHeight="1" x14ac:dyDescent="0.3">
      <c r="A287" s="2" t="s">
        <v>192</v>
      </c>
      <c r="B287" s="3" t="s">
        <v>171</v>
      </c>
      <c r="C287" s="3" t="s">
        <v>78</v>
      </c>
      <c r="D287" s="3"/>
      <c r="E287" s="3">
        <v>4500087824</v>
      </c>
      <c r="F287" s="3"/>
      <c r="G287" s="144">
        <v>619</v>
      </c>
      <c r="H287" s="394">
        <v>46168</v>
      </c>
      <c r="I287" s="50">
        <v>46198</v>
      </c>
      <c r="J287" s="15">
        <f t="shared" si="131"/>
        <v>30</v>
      </c>
      <c r="K287" s="3" t="s">
        <v>55</v>
      </c>
      <c r="L287" s="3" t="s">
        <v>56</v>
      </c>
      <c r="M287" s="3" t="s">
        <v>186</v>
      </c>
      <c r="N287" s="3" t="s">
        <v>710</v>
      </c>
      <c r="O287" s="3" t="s">
        <v>59</v>
      </c>
      <c r="P287" s="8">
        <v>81174.37</v>
      </c>
      <c r="Q287" s="44" t="s">
        <v>60</v>
      </c>
      <c r="R287" s="57">
        <f t="shared" si="155"/>
        <v>46168</v>
      </c>
      <c r="S287" s="13" t="s">
        <v>61</v>
      </c>
      <c r="T287" s="35">
        <v>46192</v>
      </c>
      <c r="U287" s="37">
        <v>46202</v>
      </c>
      <c r="V287" s="37">
        <f t="shared" si="134"/>
        <v>46198</v>
      </c>
      <c r="W287" s="59">
        <f t="shared" si="136"/>
        <v>30</v>
      </c>
      <c r="X287" s="59">
        <f t="shared" si="137"/>
        <v>34</v>
      </c>
      <c r="Y287" s="59">
        <f t="shared" si="138"/>
        <v>-4</v>
      </c>
      <c r="Z287" s="39"/>
      <c r="AA287" s="4" t="s">
        <v>682</v>
      </c>
      <c r="AB287" s="35">
        <v>46198</v>
      </c>
      <c r="AC287" s="358" t="s">
        <v>713</v>
      </c>
      <c r="AD287" s="341">
        <v>7705</v>
      </c>
      <c r="AE287" s="13" t="s">
        <v>677</v>
      </c>
      <c r="AF287" s="35" t="s">
        <v>714</v>
      </c>
      <c r="AG287" s="3" t="str">
        <f t="shared" si="172"/>
        <v>FOB</v>
      </c>
      <c r="AH287" s="358" t="s">
        <v>404</v>
      </c>
      <c r="AI287" s="36" t="e">
        <f>#REF!</f>
        <v>#REF!</v>
      </c>
      <c r="AJ287" s="36">
        <v>0</v>
      </c>
      <c r="AK287" s="142">
        <f>AJ287/AC287</f>
        <v>0</v>
      </c>
      <c r="AL287" s="47">
        <v>46334</v>
      </c>
      <c r="AM287" s="153">
        <v>46202</v>
      </c>
      <c r="AN287" s="63">
        <f>AM287-AF287</f>
        <v>-25</v>
      </c>
      <c r="AO287" s="34" t="s">
        <v>103</v>
      </c>
      <c r="AP287" s="64">
        <f>I287</f>
        <v>46198</v>
      </c>
      <c r="AQ287" s="64">
        <f>AM287</f>
        <v>46202</v>
      </c>
      <c r="AR287" s="65">
        <f t="shared" si="140"/>
        <v>30</v>
      </c>
      <c r="AS287" s="65">
        <f t="shared" si="141"/>
        <v>34</v>
      </c>
      <c r="AT287" s="157">
        <f t="shared" si="173"/>
        <v>-4</v>
      </c>
      <c r="AU287" s="13" t="s">
        <v>715</v>
      </c>
      <c r="AV287" s="13" t="s">
        <v>116</v>
      </c>
      <c r="AW287" s="109" t="str">
        <f>AC287</f>
        <v>81.174,30</v>
      </c>
      <c r="AX287" s="66">
        <f>Z287</f>
        <v>0</v>
      </c>
      <c r="AY287" s="66"/>
      <c r="AZ287" s="66">
        <f>AJ287</f>
        <v>0</v>
      </c>
      <c r="BA287" s="30"/>
    </row>
    <row r="288" spans="1:53" ht="21.6" customHeight="1" x14ac:dyDescent="0.45">
      <c r="A288" s="2" t="s">
        <v>157</v>
      </c>
      <c r="B288" s="3" t="s">
        <v>96</v>
      </c>
      <c r="C288" s="3" t="s">
        <v>78</v>
      </c>
      <c r="D288" s="3"/>
      <c r="E288" s="3">
        <v>4600476</v>
      </c>
      <c r="F288" s="3"/>
      <c r="G288" s="144">
        <v>621</v>
      </c>
      <c r="H288" s="394">
        <v>46168</v>
      </c>
      <c r="I288" s="50">
        <v>46199</v>
      </c>
      <c r="J288" s="15">
        <f t="shared" si="131"/>
        <v>31</v>
      </c>
      <c r="K288" s="3" t="s">
        <v>70</v>
      </c>
      <c r="L288" s="3" t="s">
        <v>56</v>
      </c>
      <c r="M288" s="3" t="s">
        <v>159</v>
      </c>
      <c r="N288" s="3" t="s">
        <v>160</v>
      </c>
      <c r="O288" s="3" t="s">
        <v>59</v>
      </c>
      <c r="P288" s="8">
        <v>8353.2000000000007</v>
      </c>
      <c r="Q288" s="44" t="s">
        <v>100</v>
      </c>
      <c r="R288" s="57">
        <f t="shared" si="155"/>
        <v>46168</v>
      </c>
      <c r="S288" s="13" t="s">
        <v>61</v>
      </c>
      <c r="T288" s="35">
        <v>46190</v>
      </c>
      <c r="U288" s="37">
        <v>46195</v>
      </c>
      <c r="V288" s="37">
        <f t="shared" si="134"/>
        <v>46199</v>
      </c>
      <c r="W288" s="59">
        <f t="shared" si="136"/>
        <v>31</v>
      </c>
      <c r="X288" s="59">
        <f t="shared" si="137"/>
        <v>27</v>
      </c>
      <c r="Y288" s="59">
        <f t="shared" si="138"/>
        <v>4</v>
      </c>
      <c r="Z288" s="39"/>
      <c r="AA288" s="4" t="s">
        <v>682</v>
      </c>
      <c r="AB288" s="35">
        <v>46195</v>
      </c>
      <c r="AC288" s="355">
        <v>8353.2000000000007</v>
      </c>
      <c r="AD288" s="341">
        <v>7692</v>
      </c>
      <c r="AE288" s="13" t="s">
        <v>63</v>
      </c>
      <c r="AF288" s="35">
        <v>46198</v>
      </c>
      <c r="AG288" s="3" t="str">
        <f t="shared" si="172"/>
        <v>CIF</v>
      </c>
      <c r="AH288" s="341" t="s">
        <v>102</v>
      </c>
      <c r="AI288" s="36"/>
      <c r="AJ288" s="36"/>
      <c r="AK288" s="142"/>
      <c r="AL288" s="47">
        <v>46210</v>
      </c>
      <c r="AM288" s="155">
        <v>46210</v>
      </c>
      <c r="AN288" s="63"/>
      <c r="AO288" s="34" t="s">
        <v>103</v>
      </c>
      <c r="AP288" s="64">
        <f>I288</f>
        <v>46199</v>
      </c>
      <c r="AQ288" s="64">
        <f>AM288</f>
        <v>46210</v>
      </c>
      <c r="AR288" s="65">
        <f t="shared" si="140"/>
        <v>31</v>
      </c>
      <c r="AS288" s="65">
        <f t="shared" si="141"/>
        <v>42</v>
      </c>
      <c r="AT288" s="157">
        <f t="shared" si="173"/>
        <v>-11</v>
      </c>
      <c r="AU288" s="13" t="s">
        <v>575</v>
      </c>
      <c r="AV288" s="13" t="s">
        <v>116</v>
      </c>
      <c r="AW288" s="109">
        <f t="shared" ref="AW288" si="174">AC288</f>
        <v>8353.2000000000007</v>
      </c>
      <c r="AX288" s="66"/>
      <c r="AY288" s="66"/>
      <c r="AZ288" s="66"/>
      <c r="BA288" s="30"/>
    </row>
    <row r="289" spans="1:53" ht="21.6" customHeight="1" x14ac:dyDescent="0.45">
      <c r="A289" s="2" t="s">
        <v>716</v>
      </c>
      <c r="B289" s="3" t="s">
        <v>91</v>
      </c>
      <c r="C289" s="3" t="s">
        <v>52</v>
      </c>
      <c r="D289" s="3" t="s">
        <v>53</v>
      </c>
      <c r="E289" s="3">
        <v>4996622473</v>
      </c>
      <c r="F289" s="3" t="s">
        <v>717</v>
      </c>
      <c r="G289" s="144">
        <v>622</v>
      </c>
      <c r="H289" s="394">
        <v>46168</v>
      </c>
      <c r="I289" s="50">
        <v>46203</v>
      </c>
      <c r="J289" s="15">
        <f t="shared" si="131"/>
        <v>35</v>
      </c>
      <c r="K289" s="3" t="s">
        <v>55</v>
      </c>
      <c r="L289" s="3" t="s">
        <v>56</v>
      </c>
      <c r="M289" s="3" t="s">
        <v>92</v>
      </c>
      <c r="N289" s="3" t="s">
        <v>718</v>
      </c>
      <c r="O289" s="3" t="s">
        <v>59</v>
      </c>
      <c r="P289" s="8">
        <v>11747.34</v>
      </c>
      <c r="Q289" s="44" t="s">
        <v>60</v>
      </c>
      <c r="R289" s="57">
        <f t="shared" si="155"/>
        <v>46168</v>
      </c>
      <c r="S289" s="13" t="s">
        <v>61</v>
      </c>
      <c r="T289" s="35">
        <v>46176</v>
      </c>
      <c r="U289" s="37">
        <v>46176</v>
      </c>
      <c r="V289" s="37">
        <f t="shared" si="134"/>
        <v>46203</v>
      </c>
      <c r="W289" s="59">
        <f t="shared" si="136"/>
        <v>35</v>
      </c>
      <c r="X289" s="59">
        <f t="shared" si="137"/>
        <v>8</v>
      </c>
      <c r="Y289" s="59">
        <f t="shared" si="138"/>
        <v>27</v>
      </c>
      <c r="Z289" s="39"/>
      <c r="AA289" s="4" t="s">
        <v>634</v>
      </c>
      <c r="AB289" s="327">
        <v>46176</v>
      </c>
      <c r="AC289" s="375">
        <v>11747.34</v>
      </c>
      <c r="AD289" s="386">
        <v>7661</v>
      </c>
      <c r="AE289" s="13" t="s">
        <v>63</v>
      </c>
      <c r="AF289" s="35">
        <v>46199</v>
      </c>
      <c r="AG289" s="3" t="str">
        <f t="shared" si="172"/>
        <v>FOB</v>
      </c>
      <c r="AH289" s="13" t="s">
        <v>719</v>
      </c>
      <c r="AI289" s="36" t="e">
        <f>#REF!</f>
        <v>#REF!</v>
      </c>
      <c r="AJ289" s="36">
        <v>0</v>
      </c>
      <c r="AK289" s="142">
        <f>AJ289/AC289</f>
        <v>0</v>
      </c>
      <c r="AL289" s="47"/>
      <c r="AM289" s="155">
        <v>46189</v>
      </c>
      <c r="AN289" s="63">
        <f>AM289-AF289</f>
        <v>-10</v>
      </c>
      <c r="AO289" s="34" t="s">
        <v>65</v>
      </c>
      <c r="AP289" s="64">
        <f>I289</f>
        <v>46203</v>
      </c>
      <c r="AQ289" s="64">
        <f>AM289</f>
        <v>46189</v>
      </c>
      <c r="AR289" s="65">
        <f t="shared" si="140"/>
        <v>35</v>
      </c>
      <c r="AS289" s="65">
        <f t="shared" si="141"/>
        <v>21</v>
      </c>
      <c r="AT289" s="157">
        <f t="shared" si="173"/>
        <v>14</v>
      </c>
      <c r="AU289" s="13"/>
      <c r="AV289" s="13"/>
      <c r="AW289" s="109">
        <f>AC289</f>
        <v>11747.34</v>
      </c>
      <c r="AX289" s="66">
        <f>Z289</f>
        <v>0</v>
      </c>
      <c r="AY289" s="66"/>
      <c r="AZ289" s="66">
        <f>AJ289</f>
        <v>0</v>
      </c>
      <c r="BA289" s="30"/>
    </row>
    <row r="290" spans="1:53" ht="21.6" customHeight="1" x14ac:dyDescent="0.45">
      <c r="A290" s="2" t="s">
        <v>213</v>
      </c>
      <c r="B290" s="3" t="s">
        <v>77</v>
      </c>
      <c r="C290" s="3" t="s">
        <v>78</v>
      </c>
      <c r="D290" s="3" t="s">
        <v>53</v>
      </c>
      <c r="E290" s="3">
        <v>4491</v>
      </c>
      <c r="F290" s="3" t="s">
        <v>720</v>
      </c>
      <c r="G290" s="144">
        <v>623</v>
      </c>
      <c r="H290" s="394">
        <v>46168</v>
      </c>
      <c r="I290" s="50">
        <v>46198</v>
      </c>
      <c r="J290" s="15">
        <f t="shared" si="131"/>
        <v>30</v>
      </c>
      <c r="K290" s="3" t="s">
        <v>70</v>
      </c>
      <c r="L290" s="3" t="s">
        <v>56</v>
      </c>
      <c r="M290" s="3" t="s">
        <v>81</v>
      </c>
      <c r="N290" s="3" t="s">
        <v>215</v>
      </c>
      <c r="O290" s="3" t="s">
        <v>59</v>
      </c>
      <c r="P290" s="8">
        <v>4846.24</v>
      </c>
      <c r="Q290" s="44" t="s">
        <v>100</v>
      </c>
      <c r="R290" s="57">
        <f t="shared" si="155"/>
        <v>46168</v>
      </c>
      <c r="S290" s="13" t="s">
        <v>61</v>
      </c>
      <c r="T290" s="35">
        <v>46190</v>
      </c>
      <c r="U290" s="37">
        <v>46192</v>
      </c>
      <c r="V290" s="37">
        <f t="shared" si="134"/>
        <v>46198</v>
      </c>
      <c r="W290" s="59">
        <f t="shared" si="136"/>
        <v>30</v>
      </c>
      <c r="X290" s="59">
        <f t="shared" si="137"/>
        <v>24</v>
      </c>
      <c r="Y290" s="59">
        <f t="shared" si="138"/>
        <v>6</v>
      </c>
      <c r="Z290" s="39"/>
      <c r="AA290" s="4" t="s">
        <v>682</v>
      </c>
      <c r="AB290" s="35">
        <v>46195</v>
      </c>
      <c r="AC290" s="352">
        <v>4846.24</v>
      </c>
      <c r="AD290" s="13">
        <v>7691</v>
      </c>
      <c r="AE290" s="13" t="s">
        <v>63</v>
      </c>
      <c r="AF290" s="35">
        <v>46195</v>
      </c>
      <c r="AG290" s="3" t="str">
        <f t="shared" si="172"/>
        <v>CIF</v>
      </c>
      <c r="AH290" s="13" t="s">
        <v>201</v>
      </c>
      <c r="AI290" s="36" t="e">
        <f>#REF!</f>
        <v>#REF!</v>
      </c>
      <c r="AJ290" s="36">
        <v>0</v>
      </c>
      <c r="AK290" s="142">
        <f>AJ290/AC290</f>
        <v>0</v>
      </c>
      <c r="AL290" s="47">
        <v>46205</v>
      </c>
      <c r="AM290" s="155">
        <v>46203</v>
      </c>
      <c r="AN290" s="63">
        <f>AM290-AF290</f>
        <v>8</v>
      </c>
      <c r="AO290" s="34" t="s">
        <v>103</v>
      </c>
      <c r="AP290" s="64">
        <f>I290</f>
        <v>46198</v>
      </c>
      <c r="AQ290" s="64">
        <f>AM290</f>
        <v>46203</v>
      </c>
      <c r="AR290" s="65">
        <f t="shared" si="140"/>
        <v>30</v>
      </c>
      <c r="AS290" s="65">
        <f t="shared" si="141"/>
        <v>35</v>
      </c>
      <c r="AT290" s="157">
        <f t="shared" si="173"/>
        <v>-5</v>
      </c>
      <c r="AU290" s="13" t="s">
        <v>673</v>
      </c>
      <c r="AV290" s="13" t="s">
        <v>116</v>
      </c>
      <c r="AW290" s="109">
        <f>AC290</f>
        <v>4846.24</v>
      </c>
      <c r="AX290" s="66">
        <f>Z290</f>
        <v>0</v>
      </c>
      <c r="AY290" s="66"/>
      <c r="AZ290" s="66">
        <f>AJ290</f>
        <v>0</v>
      </c>
      <c r="BA290" s="30"/>
    </row>
    <row r="291" spans="1:53" ht="21.6" customHeight="1" x14ac:dyDescent="0.3">
      <c r="A291" s="2" t="s">
        <v>276</v>
      </c>
      <c r="B291" s="3" t="s">
        <v>91</v>
      </c>
      <c r="C291" s="3" t="s">
        <v>78</v>
      </c>
      <c r="D291" s="3" t="s">
        <v>53</v>
      </c>
      <c r="E291" s="3">
        <v>638280</v>
      </c>
      <c r="F291" s="3" t="s">
        <v>721</v>
      </c>
      <c r="G291" s="144">
        <v>629</v>
      </c>
      <c r="H291" s="394">
        <v>46169</v>
      </c>
      <c r="I291" s="50">
        <v>46199</v>
      </c>
      <c r="J291" s="15">
        <f t="shared" si="131"/>
        <v>30</v>
      </c>
      <c r="K291" s="3" t="s">
        <v>70</v>
      </c>
      <c r="L291" s="3" t="s">
        <v>56</v>
      </c>
      <c r="M291" s="3" t="s">
        <v>92</v>
      </c>
      <c r="N291" s="3" t="s">
        <v>278</v>
      </c>
      <c r="O291" s="3" t="s">
        <v>59</v>
      </c>
      <c r="P291" s="8">
        <v>3040</v>
      </c>
      <c r="Q291" s="44" t="s">
        <v>100</v>
      </c>
      <c r="R291" s="57">
        <f t="shared" si="155"/>
        <v>46169</v>
      </c>
      <c r="S291" s="13" t="s">
        <v>61</v>
      </c>
      <c r="T291" s="35">
        <v>46185</v>
      </c>
      <c r="U291" s="37">
        <v>46189</v>
      </c>
      <c r="V291" s="37">
        <f t="shared" si="134"/>
        <v>46199</v>
      </c>
      <c r="W291" s="59">
        <f t="shared" si="136"/>
        <v>30</v>
      </c>
      <c r="X291" s="59">
        <f t="shared" si="137"/>
        <v>20</v>
      </c>
      <c r="Y291" s="59">
        <f t="shared" si="138"/>
        <v>10</v>
      </c>
      <c r="Z291" s="39"/>
      <c r="AA291" s="4" t="s">
        <v>585</v>
      </c>
      <c r="AB291" s="35">
        <v>46190</v>
      </c>
      <c r="AC291" s="380">
        <v>3040</v>
      </c>
      <c r="AD291" s="13">
        <v>7680</v>
      </c>
      <c r="AE291" s="13" t="s">
        <v>63</v>
      </c>
      <c r="AF291" s="35">
        <v>46190</v>
      </c>
      <c r="AG291" s="3" t="str">
        <f t="shared" si="172"/>
        <v>CIF</v>
      </c>
      <c r="AH291" s="247" t="s">
        <v>667</v>
      </c>
      <c r="AI291" s="36" t="e">
        <f>#REF!</f>
        <v>#REF!</v>
      </c>
      <c r="AJ291" s="36">
        <v>0</v>
      </c>
      <c r="AK291" s="142">
        <f>AJ291/AC291</f>
        <v>0</v>
      </c>
      <c r="AL291" s="47">
        <v>46190</v>
      </c>
      <c r="AM291" s="153">
        <v>46190</v>
      </c>
      <c r="AN291" s="63">
        <f>AM291-AF291</f>
        <v>0</v>
      </c>
      <c r="AO291" s="34" t="s">
        <v>65</v>
      </c>
      <c r="AP291" s="64">
        <f t="shared" ref="AP291" si="175">I291</f>
        <v>46199</v>
      </c>
      <c r="AQ291" s="64">
        <f t="shared" ref="AQ291" si="176">AM291</f>
        <v>46190</v>
      </c>
      <c r="AR291" s="65">
        <f t="shared" si="140"/>
        <v>30</v>
      </c>
      <c r="AS291" s="65">
        <f t="shared" si="141"/>
        <v>21</v>
      </c>
      <c r="AT291" s="157">
        <f t="shared" si="173"/>
        <v>9</v>
      </c>
      <c r="AU291" s="13"/>
      <c r="AV291" s="13"/>
      <c r="AW291" s="109">
        <f>AC291</f>
        <v>3040</v>
      </c>
      <c r="AX291" s="66">
        <f>Z291</f>
        <v>0</v>
      </c>
      <c r="AY291" s="66"/>
      <c r="AZ291" s="66">
        <f>AJ291</f>
        <v>0</v>
      </c>
      <c r="BA291" s="30"/>
    </row>
    <row r="292" spans="1:53" ht="21.6" customHeight="1" x14ac:dyDescent="0.3">
      <c r="A292" s="314" t="s">
        <v>137</v>
      </c>
      <c r="B292" s="115" t="s">
        <v>67</v>
      </c>
      <c r="C292" s="3" t="s">
        <v>78</v>
      </c>
      <c r="D292" s="3"/>
      <c r="E292" s="3">
        <v>70</v>
      </c>
      <c r="F292" s="115"/>
      <c r="G292" s="315">
        <v>630</v>
      </c>
      <c r="H292" s="396">
        <v>46169</v>
      </c>
      <c r="I292" s="116">
        <v>46198</v>
      </c>
      <c r="J292" s="5">
        <f t="shared" si="131"/>
        <v>29</v>
      </c>
      <c r="K292" s="115" t="s">
        <v>55</v>
      </c>
      <c r="L292" s="115" t="s">
        <v>139</v>
      </c>
      <c r="M292" s="115" t="s">
        <v>72</v>
      </c>
      <c r="N292" s="115"/>
      <c r="O292" s="115" t="s">
        <v>59</v>
      </c>
      <c r="P292" s="316">
        <v>72867</v>
      </c>
      <c r="Q292" s="117" t="s">
        <v>60</v>
      </c>
      <c r="R292" s="162">
        <f t="shared" si="155"/>
        <v>46169</v>
      </c>
      <c r="S292" s="118" t="s">
        <v>61</v>
      </c>
      <c r="T292" s="119">
        <v>46199</v>
      </c>
      <c r="U292" s="120">
        <v>46198</v>
      </c>
      <c r="V292" s="120">
        <f t="shared" si="134"/>
        <v>46198</v>
      </c>
      <c r="W292" s="307">
        <f t="shared" si="136"/>
        <v>29</v>
      </c>
      <c r="X292" s="307">
        <f t="shared" si="137"/>
        <v>29</v>
      </c>
      <c r="Y292" s="307">
        <f t="shared" si="138"/>
        <v>0</v>
      </c>
      <c r="Z292" s="121"/>
      <c r="AA292" s="122" t="s">
        <v>643</v>
      </c>
      <c r="AB292" s="35">
        <v>46199</v>
      </c>
      <c r="AC292" s="379" t="s">
        <v>722</v>
      </c>
      <c r="AD292" s="5">
        <v>7722</v>
      </c>
      <c r="AE292" s="118"/>
      <c r="AF292" s="119">
        <v>46060</v>
      </c>
      <c r="AG292" s="115"/>
      <c r="AH292" s="118" t="s">
        <v>686</v>
      </c>
      <c r="AI292" s="123"/>
      <c r="AJ292" s="123"/>
      <c r="AK292" s="365"/>
      <c r="AL292" s="124"/>
      <c r="AM292" s="154">
        <v>46198</v>
      </c>
      <c r="AO292" s="125" t="s">
        <v>65</v>
      </c>
      <c r="AP292" s="64">
        <f t="shared" ref="AP292:AP293" si="177">I292</f>
        <v>46198</v>
      </c>
      <c r="AQ292" s="64">
        <f t="shared" ref="AQ292:AQ293" si="178">AM292</f>
        <v>46198</v>
      </c>
      <c r="AR292" s="65">
        <f t="shared" si="140"/>
        <v>29</v>
      </c>
      <c r="AS292" s="65">
        <f t="shared" si="141"/>
        <v>29</v>
      </c>
      <c r="AT292" s="157">
        <f t="shared" ref="AT292:AT293" si="179">AR292-AS292</f>
        <v>0</v>
      </c>
      <c r="AU292" s="118"/>
      <c r="AV292" s="118"/>
      <c r="AW292" s="126"/>
      <c r="AX292" s="164"/>
      <c r="AY292" s="164"/>
      <c r="AZ292" s="164"/>
      <c r="BA292" s="30"/>
    </row>
    <row r="293" spans="1:53" s="321" customFormat="1" ht="21.6" customHeight="1" x14ac:dyDescent="0.3">
      <c r="A293" s="301" t="s">
        <v>137</v>
      </c>
      <c r="B293" s="318" t="s">
        <v>67</v>
      </c>
      <c r="C293" s="3" t="s">
        <v>78</v>
      </c>
      <c r="D293" s="3"/>
      <c r="E293" s="3">
        <v>71</v>
      </c>
      <c r="F293" s="301"/>
      <c r="G293" s="144">
        <v>631</v>
      </c>
      <c r="H293" s="394">
        <v>46169</v>
      </c>
      <c r="I293" s="50">
        <v>46200</v>
      </c>
      <c r="J293" s="3">
        <f t="shared" si="131"/>
        <v>31</v>
      </c>
      <c r="K293" s="3" t="s">
        <v>55</v>
      </c>
      <c r="L293" s="3" t="s">
        <v>139</v>
      </c>
      <c r="M293" s="3" t="s">
        <v>72</v>
      </c>
      <c r="N293" s="3"/>
      <c r="O293" s="3" t="s">
        <v>59</v>
      </c>
      <c r="P293" s="8">
        <v>5504.15</v>
      </c>
      <c r="Q293" s="44" t="s">
        <v>60</v>
      </c>
      <c r="R293" s="35">
        <f t="shared" si="155"/>
        <v>46169</v>
      </c>
      <c r="S293" s="13" t="s">
        <v>61</v>
      </c>
      <c r="T293" s="35">
        <v>46168</v>
      </c>
      <c r="U293" s="37">
        <v>46198</v>
      </c>
      <c r="V293" s="37">
        <f t="shared" si="134"/>
        <v>46200</v>
      </c>
      <c r="W293" s="253">
        <f t="shared" si="136"/>
        <v>31</v>
      </c>
      <c r="X293" s="253">
        <f t="shared" si="137"/>
        <v>29</v>
      </c>
      <c r="Y293" s="253">
        <f t="shared" si="138"/>
        <v>2</v>
      </c>
      <c r="Z293" s="39"/>
      <c r="AA293" s="4" t="s">
        <v>643</v>
      </c>
      <c r="AB293" s="35">
        <v>46199</v>
      </c>
      <c r="AC293" s="331" t="s">
        <v>723</v>
      </c>
      <c r="AD293" s="387">
        <v>7720</v>
      </c>
      <c r="AE293" s="13"/>
      <c r="AF293" s="35">
        <v>46060</v>
      </c>
      <c r="AG293" s="3"/>
      <c r="AH293" s="340" t="s">
        <v>686</v>
      </c>
      <c r="AI293" s="36"/>
      <c r="AJ293" s="36"/>
      <c r="AK293" s="319"/>
      <c r="AL293" s="47"/>
      <c r="AM293" s="153">
        <v>46198</v>
      </c>
      <c r="AN293" s="320"/>
      <c r="AO293" s="34" t="s">
        <v>65</v>
      </c>
      <c r="AP293" s="64">
        <f t="shared" si="177"/>
        <v>46200</v>
      </c>
      <c r="AQ293" s="64">
        <f t="shared" si="178"/>
        <v>46198</v>
      </c>
      <c r="AR293" s="65">
        <f t="shared" si="140"/>
        <v>31</v>
      </c>
      <c r="AS293" s="65">
        <f t="shared" si="141"/>
        <v>29</v>
      </c>
      <c r="AT293" s="157">
        <f t="shared" si="179"/>
        <v>2</v>
      </c>
      <c r="AU293" s="13"/>
      <c r="AV293" s="13"/>
      <c r="AW293" s="109"/>
      <c r="AX293" s="129"/>
      <c r="AY293" s="129"/>
      <c r="AZ293" s="129"/>
      <c r="BA293" s="4"/>
    </row>
    <row r="294" spans="1:53" ht="21.6" customHeight="1" x14ac:dyDescent="0.3">
      <c r="A294" s="14" t="s">
        <v>724</v>
      </c>
      <c r="B294" s="15" t="s">
        <v>91</v>
      </c>
      <c r="C294" s="3" t="s">
        <v>78</v>
      </c>
      <c r="D294" s="3" t="s">
        <v>53</v>
      </c>
      <c r="E294" s="3">
        <v>14393</v>
      </c>
      <c r="F294" s="15" t="s">
        <v>725</v>
      </c>
      <c r="G294" s="111">
        <v>633</v>
      </c>
      <c r="H294" s="393">
        <v>46170</v>
      </c>
      <c r="I294" s="51">
        <v>46199</v>
      </c>
      <c r="J294" s="15">
        <f t="shared" si="131"/>
        <v>29</v>
      </c>
      <c r="K294" s="15" t="s">
        <v>70</v>
      </c>
      <c r="L294" s="15" t="s">
        <v>56</v>
      </c>
      <c r="M294" s="15" t="s">
        <v>92</v>
      </c>
      <c r="N294" s="15" t="s">
        <v>212</v>
      </c>
      <c r="O294" s="15" t="s">
        <v>59</v>
      </c>
      <c r="P294" s="16">
        <v>9180</v>
      </c>
      <c r="Q294" s="84" t="s">
        <v>100</v>
      </c>
      <c r="R294" s="57">
        <f t="shared" si="155"/>
        <v>46170</v>
      </c>
      <c r="S294" s="32" t="s">
        <v>61</v>
      </c>
      <c r="T294" s="57">
        <v>46206</v>
      </c>
      <c r="U294" s="58">
        <v>46205</v>
      </c>
      <c r="V294" s="58">
        <f t="shared" si="134"/>
        <v>46199</v>
      </c>
      <c r="W294" s="59">
        <f t="shared" si="136"/>
        <v>29</v>
      </c>
      <c r="X294" s="59">
        <f t="shared" si="137"/>
        <v>35</v>
      </c>
      <c r="Y294" s="59">
        <f t="shared" si="138"/>
        <v>-6</v>
      </c>
      <c r="Z294" s="60"/>
      <c r="AA294" s="33" t="s">
        <v>726</v>
      </c>
      <c r="AB294" s="57">
        <v>46206</v>
      </c>
      <c r="AC294" s="358" t="s">
        <v>727</v>
      </c>
      <c r="AD294" s="113">
        <v>7747</v>
      </c>
      <c r="AE294" s="32" t="s">
        <v>63</v>
      </c>
      <c r="AF294" s="57">
        <v>46088</v>
      </c>
      <c r="AG294" s="15" t="str">
        <f>K294</f>
        <v>CIF</v>
      </c>
      <c r="AH294" s="358" t="s">
        <v>588</v>
      </c>
      <c r="AI294" s="61" t="e">
        <f>#REF!</f>
        <v>#REF!</v>
      </c>
      <c r="AJ294" s="61">
        <v>0</v>
      </c>
      <c r="AK294" s="142">
        <f>AJ294/AC294</f>
        <v>0</v>
      </c>
      <c r="AL294" s="62"/>
      <c r="AM294" s="152">
        <v>46206</v>
      </c>
      <c r="AN294" s="63">
        <f>AM294-AF294</f>
        <v>118</v>
      </c>
      <c r="AO294" s="317" t="s">
        <v>103</v>
      </c>
      <c r="AP294" s="64">
        <f>I294</f>
        <v>46199</v>
      </c>
      <c r="AQ294" s="64">
        <f>AM294</f>
        <v>46206</v>
      </c>
      <c r="AR294" s="65">
        <f t="shared" si="140"/>
        <v>29</v>
      </c>
      <c r="AS294" s="65">
        <f t="shared" si="141"/>
        <v>36</v>
      </c>
      <c r="AT294" s="157">
        <f>AR294-AS294</f>
        <v>-7</v>
      </c>
      <c r="AU294" s="32"/>
      <c r="AV294" s="32"/>
      <c r="AW294" s="108" t="str">
        <f>AC294</f>
        <v>9.180,00</v>
      </c>
      <c r="AX294" s="66">
        <f>Z294</f>
        <v>0</v>
      </c>
      <c r="AY294" s="66"/>
      <c r="AZ294" s="66">
        <f>AJ294</f>
        <v>0</v>
      </c>
      <c r="BA294" s="30"/>
    </row>
    <row r="295" spans="1:53" ht="21.6" customHeight="1" x14ac:dyDescent="0.3">
      <c r="A295" s="314" t="s">
        <v>637</v>
      </c>
      <c r="B295" s="115" t="s">
        <v>619</v>
      </c>
      <c r="C295" s="3" t="s">
        <v>613</v>
      </c>
      <c r="D295" s="3" t="s">
        <v>53</v>
      </c>
      <c r="E295" s="3" t="s">
        <v>728</v>
      </c>
      <c r="F295" s="115" t="s">
        <v>729</v>
      </c>
      <c r="G295" s="315">
        <v>635</v>
      </c>
      <c r="H295" s="396">
        <v>46174</v>
      </c>
      <c r="I295" s="116">
        <v>46203</v>
      </c>
      <c r="J295" s="15">
        <f t="shared" si="131"/>
        <v>29</v>
      </c>
      <c r="K295" s="115" t="s">
        <v>55</v>
      </c>
      <c r="L295" s="115" t="s">
        <v>56</v>
      </c>
      <c r="M295" s="115" t="s">
        <v>208</v>
      </c>
      <c r="N295" s="115" t="s">
        <v>640</v>
      </c>
      <c r="O295" s="115" t="s">
        <v>59</v>
      </c>
      <c r="P295" s="316">
        <v>34500</v>
      </c>
      <c r="Q295" s="117" t="s">
        <v>100</v>
      </c>
      <c r="R295" s="57">
        <f t="shared" si="155"/>
        <v>46174</v>
      </c>
      <c r="S295" s="118" t="s">
        <v>61</v>
      </c>
      <c r="T295" s="119">
        <v>46197</v>
      </c>
      <c r="U295" s="120">
        <v>46197</v>
      </c>
      <c r="V295" s="58">
        <f t="shared" si="134"/>
        <v>46203</v>
      </c>
      <c r="W295" s="59">
        <f t="shared" si="136"/>
        <v>29</v>
      </c>
      <c r="X295" s="59">
        <f t="shared" si="137"/>
        <v>23</v>
      </c>
      <c r="Y295" s="59">
        <f t="shared" si="138"/>
        <v>6</v>
      </c>
      <c r="Z295" s="121"/>
      <c r="AA295" s="122" t="s">
        <v>643</v>
      </c>
      <c r="AB295" s="119"/>
      <c r="AC295" s="28"/>
      <c r="AD295" s="28"/>
      <c r="AE295" s="118"/>
      <c r="AF295" s="119"/>
      <c r="AG295" s="115" t="str">
        <f>K295</f>
        <v>FOB</v>
      </c>
      <c r="AH295" s="28"/>
      <c r="AI295" s="123" t="e">
        <f>#REF!</f>
        <v>#REF!</v>
      </c>
      <c r="AJ295" s="123">
        <v>0</v>
      </c>
      <c r="AK295" s="365" t="e">
        <f>AJ295/AC295</f>
        <v>#DIV/0!</v>
      </c>
      <c r="AL295" s="124"/>
      <c r="AM295" s="154"/>
      <c r="AN295" s="49">
        <f>AM295-AF295</f>
        <v>0</v>
      </c>
      <c r="AO295" s="125"/>
      <c r="AP295" s="163">
        <f>I295</f>
        <v>46203</v>
      </c>
      <c r="AQ295" s="163">
        <f>AM295</f>
        <v>0</v>
      </c>
      <c r="AR295" s="366">
        <f t="shared" si="140"/>
        <v>29</v>
      </c>
      <c r="AS295" s="366">
        <f t="shared" si="141"/>
        <v>-46174</v>
      </c>
      <c r="AT295" s="309">
        <f>AR295-AS295</f>
        <v>46203</v>
      </c>
      <c r="AU295" s="118"/>
      <c r="AV295" s="118"/>
      <c r="AW295" s="126">
        <f>AC295</f>
        <v>0</v>
      </c>
      <c r="AX295" s="164">
        <f>Z295</f>
        <v>0</v>
      </c>
      <c r="AY295" s="164"/>
      <c r="AZ295" s="164">
        <f>AJ295</f>
        <v>0</v>
      </c>
      <c r="BA295" s="30"/>
    </row>
    <row r="296" spans="1:53" ht="21.6" customHeight="1" x14ac:dyDescent="0.3">
      <c r="A296" s="2" t="s">
        <v>730</v>
      </c>
      <c r="B296" s="3" t="s">
        <v>77</v>
      </c>
      <c r="C296" s="3" t="s">
        <v>78</v>
      </c>
      <c r="D296" s="3" t="s">
        <v>53</v>
      </c>
      <c r="E296" s="3">
        <v>52125</v>
      </c>
      <c r="F296" s="3" t="s">
        <v>731</v>
      </c>
      <c r="G296" s="144">
        <v>636</v>
      </c>
      <c r="H296" s="394">
        <v>46174</v>
      </c>
      <c r="I296" s="50">
        <v>46203</v>
      </c>
      <c r="J296" s="15">
        <f t="shared" si="131"/>
        <v>29</v>
      </c>
      <c r="K296" s="3" t="s">
        <v>55</v>
      </c>
      <c r="L296" s="3" t="s">
        <v>56</v>
      </c>
      <c r="M296" s="3" t="s">
        <v>208</v>
      </c>
      <c r="N296" s="3" t="s">
        <v>732</v>
      </c>
      <c r="O296" s="3" t="s">
        <v>59</v>
      </c>
      <c r="P296" s="8">
        <v>2582.7600000000002</v>
      </c>
      <c r="Q296" s="44" t="s">
        <v>100</v>
      </c>
      <c r="R296" s="57">
        <f t="shared" si="155"/>
        <v>46174</v>
      </c>
      <c r="S296" s="13" t="s">
        <v>61</v>
      </c>
      <c r="T296" s="35">
        <v>46192</v>
      </c>
      <c r="U296" s="37">
        <v>46203</v>
      </c>
      <c r="V296" s="37">
        <f t="shared" si="134"/>
        <v>46203</v>
      </c>
      <c r="W296" s="59">
        <f t="shared" si="136"/>
        <v>29</v>
      </c>
      <c r="X296" s="59">
        <f t="shared" si="137"/>
        <v>29</v>
      </c>
      <c r="Y296" s="59">
        <f t="shared" si="138"/>
        <v>0</v>
      </c>
      <c r="Z296" s="39"/>
      <c r="AA296" s="4" t="s">
        <v>643</v>
      </c>
      <c r="AB296" s="410">
        <v>46205</v>
      </c>
      <c r="AC296" s="13" t="s">
        <v>733</v>
      </c>
      <c r="AD296" s="13">
        <v>7745</v>
      </c>
      <c r="AE296" s="13" t="s">
        <v>677</v>
      </c>
      <c r="AF296" s="35">
        <v>46206</v>
      </c>
      <c r="AG296" s="3" t="str">
        <f>K296</f>
        <v>FOB</v>
      </c>
      <c r="AH296" s="13" t="s">
        <v>707</v>
      </c>
      <c r="AI296" s="36" t="e">
        <f>#REF!</f>
        <v>#REF!</v>
      </c>
      <c r="AJ296" s="36">
        <v>0</v>
      </c>
      <c r="AK296" s="142">
        <f>AJ296/AC296</f>
        <v>0</v>
      </c>
      <c r="AL296" s="47"/>
      <c r="AM296" s="153">
        <v>46203</v>
      </c>
      <c r="AN296" s="63">
        <f>AM296-AF296</f>
        <v>-3</v>
      </c>
      <c r="AO296" s="34" t="s">
        <v>65</v>
      </c>
      <c r="AP296" s="64">
        <f>I296</f>
        <v>46203</v>
      </c>
      <c r="AQ296" s="64">
        <f>AM296</f>
        <v>46203</v>
      </c>
      <c r="AR296" s="65">
        <f t="shared" si="140"/>
        <v>29</v>
      </c>
      <c r="AS296" s="65">
        <f t="shared" si="141"/>
        <v>29</v>
      </c>
      <c r="AT296" s="157">
        <f>AR296-AS296</f>
        <v>0</v>
      </c>
      <c r="AU296" s="13"/>
      <c r="AV296" s="13"/>
      <c r="AW296" s="109" t="str">
        <f>AC296</f>
        <v>2580,76</v>
      </c>
      <c r="AX296" s="66">
        <f>Z296</f>
        <v>0</v>
      </c>
      <c r="AY296" s="66"/>
      <c r="AZ296" s="66">
        <f>AJ296</f>
        <v>0</v>
      </c>
      <c r="BA296" s="30"/>
    </row>
    <row r="297" spans="1:53" ht="21.6" customHeight="1" x14ac:dyDescent="0.3">
      <c r="A297" s="2" t="s">
        <v>349</v>
      </c>
      <c r="B297" s="114" t="s">
        <v>96</v>
      </c>
      <c r="C297" s="114" t="s">
        <v>78</v>
      </c>
      <c r="D297" s="114"/>
      <c r="E297" s="114">
        <v>4500865289</v>
      </c>
      <c r="F297" s="114" t="s">
        <v>734</v>
      </c>
      <c r="G297" s="144">
        <v>637</v>
      </c>
      <c r="H297" s="398">
        <v>46174</v>
      </c>
      <c r="I297" s="334">
        <v>46233</v>
      </c>
      <c r="J297" s="15">
        <f t="shared" si="131"/>
        <v>59</v>
      </c>
      <c r="K297" s="114" t="s">
        <v>70</v>
      </c>
      <c r="L297" s="114" t="s">
        <v>56</v>
      </c>
      <c r="M297" s="114" t="s">
        <v>98</v>
      </c>
      <c r="N297" s="114" t="s">
        <v>351</v>
      </c>
      <c r="O297" s="114" t="s">
        <v>59</v>
      </c>
      <c r="P297" s="82">
        <v>5952.32</v>
      </c>
      <c r="Q297" s="335" t="s">
        <v>100</v>
      </c>
      <c r="R297" s="57">
        <f t="shared" si="155"/>
        <v>46174</v>
      </c>
      <c r="S297" s="174" t="s">
        <v>61</v>
      </c>
      <c r="T297" s="336">
        <v>46206</v>
      </c>
      <c r="U297" s="337">
        <v>46211</v>
      </c>
      <c r="V297" s="37">
        <f t="shared" si="134"/>
        <v>46233</v>
      </c>
      <c r="W297" s="59">
        <f t="shared" si="136"/>
        <v>59</v>
      </c>
      <c r="X297" s="59">
        <f t="shared" si="137"/>
        <v>37</v>
      </c>
      <c r="Y297" s="59">
        <f t="shared" si="138"/>
        <v>22</v>
      </c>
      <c r="Z297" s="338"/>
      <c r="AA297" s="33" t="s">
        <v>735</v>
      </c>
      <c r="AB297" s="410">
        <v>46211</v>
      </c>
      <c r="AC297" s="358" t="s">
        <v>736</v>
      </c>
      <c r="AD297" s="13">
        <v>7758</v>
      </c>
      <c r="AE297" s="174" t="s">
        <v>63</v>
      </c>
      <c r="AF297" s="35" t="s">
        <v>737</v>
      </c>
      <c r="AG297" s="114"/>
      <c r="AH297" s="358" t="s">
        <v>245</v>
      </c>
      <c r="AI297" s="342"/>
      <c r="AJ297" s="342"/>
      <c r="AK297" s="343"/>
      <c r="AL297" s="344"/>
      <c r="AM297" s="152">
        <v>46230</v>
      </c>
      <c r="AN297" s="345"/>
      <c r="AO297" s="346" t="s">
        <v>65</v>
      </c>
      <c r="AP297" s="64">
        <f>I297</f>
        <v>46233</v>
      </c>
      <c r="AQ297" s="64">
        <f>AM297</f>
        <v>46230</v>
      </c>
      <c r="AR297" s="65">
        <f t="shared" ref="AR297" si="180">AP297-H297</f>
        <v>59</v>
      </c>
      <c r="AS297" s="65">
        <f t="shared" ref="AS297" si="181">AM297-H297</f>
        <v>56</v>
      </c>
      <c r="AT297" s="157">
        <f>AR297-AS297</f>
        <v>3</v>
      </c>
      <c r="AU297" s="174"/>
      <c r="AV297" s="174"/>
      <c r="AW297" s="349"/>
      <c r="AX297" s="350"/>
      <c r="AY297" s="350"/>
      <c r="AZ297" s="350"/>
      <c r="BA297" s="329"/>
    </row>
    <row r="298" spans="1:53" ht="21.6" customHeight="1" x14ac:dyDescent="0.45">
      <c r="A298" s="2" t="s">
        <v>284</v>
      </c>
      <c r="B298" s="3" t="s">
        <v>171</v>
      </c>
      <c r="C298" s="3"/>
      <c r="D298" s="3"/>
      <c r="E298" s="3">
        <v>4518710961</v>
      </c>
      <c r="F298" s="3"/>
      <c r="G298" s="144">
        <v>638</v>
      </c>
      <c r="H298" s="394">
        <v>46175</v>
      </c>
      <c r="I298" s="50">
        <v>46218</v>
      </c>
      <c r="J298" s="15">
        <f t="shared" si="131"/>
        <v>43</v>
      </c>
      <c r="K298" s="3" t="s">
        <v>70</v>
      </c>
      <c r="L298" s="3" t="s">
        <v>56</v>
      </c>
      <c r="M298" s="3" t="s">
        <v>186</v>
      </c>
      <c r="N298" s="3" t="s">
        <v>286</v>
      </c>
      <c r="O298" s="3" t="s">
        <v>59</v>
      </c>
      <c r="P298" s="8">
        <v>14010</v>
      </c>
      <c r="Q298" s="44" t="s">
        <v>60</v>
      </c>
      <c r="R298" s="57">
        <f t="shared" si="155"/>
        <v>46175</v>
      </c>
      <c r="S298" s="13" t="s">
        <v>61</v>
      </c>
      <c r="T298" s="35">
        <v>46192</v>
      </c>
      <c r="U298" s="37">
        <v>46190</v>
      </c>
      <c r="V298" s="37">
        <f t="shared" si="134"/>
        <v>46218</v>
      </c>
      <c r="W298" s="59">
        <f t="shared" si="136"/>
        <v>43</v>
      </c>
      <c r="X298" s="59">
        <f t="shared" si="137"/>
        <v>15</v>
      </c>
      <c r="Y298" s="59">
        <f t="shared" si="138"/>
        <v>28</v>
      </c>
      <c r="Z298" s="39"/>
      <c r="AA298" s="4" t="s">
        <v>682</v>
      </c>
      <c r="AB298" s="35">
        <v>46190</v>
      </c>
      <c r="AC298" s="384">
        <v>14010</v>
      </c>
      <c r="AD298" s="13">
        <v>7681</v>
      </c>
      <c r="AE298" s="13" t="s">
        <v>63</v>
      </c>
      <c r="AF298" s="35">
        <v>46192</v>
      </c>
      <c r="AG298" s="3" t="str">
        <f t="shared" ref="AG298:AG304" si="182">K298</f>
        <v>CIF</v>
      </c>
      <c r="AH298" s="174" t="s">
        <v>188</v>
      </c>
      <c r="AI298" s="36" t="e">
        <f>#REF!</f>
        <v>#REF!</v>
      </c>
      <c r="AJ298" s="36">
        <v>0</v>
      </c>
      <c r="AK298" s="142">
        <f t="shared" ref="AK298:AK304" si="183">AJ298/AC298</f>
        <v>0</v>
      </c>
      <c r="AL298" s="47">
        <v>46210</v>
      </c>
      <c r="AM298" s="155">
        <v>46203</v>
      </c>
      <c r="AN298" s="63">
        <f t="shared" ref="AN298:AN307" si="184">AM298-AF298</f>
        <v>11</v>
      </c>
      <c r="AO298" s="34" t="s">
        <v>65</v>
      </c>
      <c r="AP298" s="64">
        <f t="shared" ref="AP298:AP304" si="185">I298</f>
        <v>46218</v>
      </c>
      <c r="AQ298" s="64">
        <f t="shared" ref="AQ298:AQ304" si="186">AM298</f>
        <v>46203</v>
      </c>
      <c r="AR298" s="65">
        <f t="shared" ref="AR298:AR329" si="187">AP298-H298</f>
        <v>43</v>
      </c>
      <c r="AS298" s="65">
        <f t="shared" ref="AS298:AS329" si="188">AM298-H298</f>
        <v>28</v>
      </c>
      <c r="AT298" s="157">
        <f t="shared" ref="AT298:AT304" si="189">AR298-AS298</f>
        <v>15</v>
      </c>
      <c r="AU298" s="13"/>
      <c r="AV298" s="13"/>
      <c r="AW298" s="109">
        <f t="shared" ref="AW298:AW304" si="190">AC298</f>
        <v>14010</v>
      </c>
      <c r="AX298" s="66">
        <f t="shared" ref="AX298:AX304" si="191">Z298</f>
        <v>0</v>
      </c>
      <c r="AY298" s="66"/>
      <c r="AZ298" s="66">
        <f t="shared" ref="AZ298:AZ304" si="192">AJ298</f>
        <v>0</v>
      </c>
      <c r="BA298" s="30"/>
    </row>
    <row r="299" spans="1:53" ht="21.6" customHeight="1" x14ac:dyDescent="0.45">
      <c r="A299" s="2" t="s">
        <v>90</v>
      </c>
      <c r="B299" s="3" t="s">
        <v>91</v>
      </c>
      <c r="C299" s="3" t="s">
        <v>78</v>
      </c>
      <c r="D299" s="3" t="s">
        <v>53</v>
      </c>
      <c r="E299" s="3">
        <v>4413382386</v>
      </c>
      <c r="F299" s="3" t="s">
        <v>53</v>
      </c>
      <c r="G299" s="144">
        <v>640</v>
      </c>
      <c r="H299" s="394">
        <v>46175</v>
      </c>
      <c r="I299" s="50">
        <v>46196</v>
      </c>
      <c r="J299" s="15">
        <f t="shared" si="131"/>
        <v>21</v>
      </c>
      <c r="K299" s="3" t="s">
        <v>70</v>
      </c>
      <c r="L299" s="3" t="s">
        <v>738</v>
      </c>
      <c r="M299" s="3" t="s">
        <v>92</v>
      </c>
      <c r="N299" s="3" t="s">
        <v>93</v>
      </c>
      <c r="O299" s="3" t="s">
        <v>59</v>
      </c>
      <c r="P299" s="8">
        <v>2226</v>
      </c>
      <c r="Q299" s="44" t="s">
        <v>60</v>
      </c>
      <c r="R299" s="57">
        <f t="shared" si="155"/>
        <v>46175</v>
      </c>
      <c r="S299" s="13" t="s">
        <v>61</v>
      </c>
      <c r="T299" s="35">
        <v>46195</v>
      </c>
      <c r="U299" s="37">
        <v>46196</v>
      </c>
      <c r="V299" s="37">
        <f t="shared" si="134"/>
        <v>46196</v>
      </c>
      <c r="W299" s="59">
        <f t="shared" si="136"/>
        <v>21</v>
      </c>
      <c r="X299" s="59">
        <f t="shared" si="137"/>
        <v>21</v>
      </c>
      <c r="Y299" s="59">
        <f t="shared" si="138"/>
        <v>0</v>
      </c>
      <c r="Z299" s="39"/>
      <c r="AA299" s="4" t="s">
        <v>643</v>
      </c>
      <c r="AB299" s="35">
        <v>46196</v>
      </c>
      <c r="AC299" s="354">
        <v>2226</v>
      </c>
      <c r="AD299" s="3">
        <v>7698</v>
      </c>
      <c r="AE299" s="13" t="s">
        <v>63</v>
      </c>
      <c r="AF299" s="35">
        <v>46196</v>
      </c>
      <c r="AG299" s="3" t="str">
        <f t="shared" si="182"/>
        <v>CIF</v>
      </c>
      <c r="AH299" s="382" t="s">
        <v>588</v>
      </c>
      <c r="AI299" s="36" t="e">
        <f>#REF!</f>
        <v>#REF!</v>
      </c>
      <c r="AJ299" s="36">
        <v>0</v>
      </c>
      <c r="AK299" s="142">
        <f t="shared" si="183"/>
        <v>0</v>
      </c>
      <c r="AL299" s="47"/>
      <c r="AM299" s="155">
        <v>46196</v>
      </c>
      <c r="AN299" s="63">
        <f t="shared" si="184"/>
        <v>0</v>
      </c>
      <c r="AO299" s="34" t="s">
        <v>65</v>
      </c>
      <c r="AP299" s="64">
        <f t="shared" si="185"/>
        <v>46196</v>
      </c>
      <c r="AQ299" s="64" t="s">
        <v>739</v>
      </c>
      <c r="AR299" s="65">
        <f t="shared" si="187"/>
        <v>21</v>
      </c>
      <c r="AS299" s="65">
        <f t="shared" si="188"/>
        <v>21</v>
      </c>
      <c r="AT299" s="157">
        <f t="shared" si="189"/>
        <v>0</v>
      </c>
      <c r="AU299" s="13"/>
      <c r="AV299" s="13"/>
      <c r="AW299" s="109">
        <f t="shared" si="190"/>
        <v>2226</v>
      </c>
      <c r="AX299" s="66">
        <f t="shared" si="191"/>
        <v>0</v>
      </c>
      <c r="AY299" s="66"/>
      <c r="AZ299" s="66">
        <f t="shared" si="192"/>
        <v>0</v>
      </c>
      <c r="BA299" s="30"/>
    </row>
    <row r="300" spans="1:53" ht="21.6" customHeight="1" x14ac:dyDescent="0.3">
      <c r="A300" s="2" t="s">
        <v>122</v>
      </c>
      <c r="B300" s="3" t="s">
        <v>51</v>
      </c>
      <c r="C300" s="3" t="s">
        <v>78</v>
      </c>
      <c r="D300" s="3" t="s">
        <v>53</v>
      </c>
      <c r="E300" s="3">
        <v>555734962</v>
      </c>
      <c r="F300" s="3" t="s">
        <v>53</v>
      </c>
      <c r="G300" s="144">
        <v>641</v>
      </c>
      <c r="H300" s="394">
        <v>46175</v>
      </c>
      <c r="I300" s="50">
        <v>46224</v>
      </c>
      <c r="J300" s="15">
        <f t="shared" si="131"/>
        <v>49</v>
      </c>
      <c r="K300" s="3" t="s">
        <v>70</v>
      </c>
      <c r="L300" s="3" t="s">
        <v>56</v>
      </c>
      <c r="M300" s="3" t="s">
        <v>57</v>
      </c>
      <c r="N300" s="3" t="s">
        <v>432</v>
      </c>
      <c r="O300" s="3" t="s">
        <v>59</v>
      </c>
      <c r="P300" s="8">
        <v>59946.6</v>
      </c>
      <c r="Q300" s="44" t="s">
        <v>60</v>
      </c>
      <c r="R300" s="57">
        <f t="shared" si="155"/>
        <v>46175</v>
      </c>
      <c r="S300" s="13" t="s">
        <v>61</v>
      </c>
      <c r="T300" s="35">
        <v>46198</v>
      </c>
      <c r="U300" s="37">
        <v>46202</v>
      </c>
      <c r="V300" s="37">
        <f t="shared" si="134"/>
        <v>46224</v>
      </c>
      <c r="W300" s="59">
        <f t="shared" si="136"/>
        <v>49</v>
      </c>
      <c r="X300" s="59">
        <f t="shared" si="137"/>
        <v>27</v>
      </c>
      <c r="Y300" s="59">
        <f t="shared" si="138"/>
        <v>22</v>
      </c>
      <c r="Z300" s="39"/>
      <c r="AA300" s="4" t="s">
        <v>682</v>
      </c>
      <c r="AB300" s="35">
        <v>46202</v>
      </c>
      <c r="AC300" s="28" t="s">
        <v>740</v>
      </c>
      <c r="AD300" s="13">
        <v>7724</v>
      </c>
      <c r="AE300" s="13" t="s">
        <v>63</v>
      </c>
      <c r="AF300" s="35">
        <v>46204</v>
      </c>
      <c r="AG300" s="3" t="str">
        <f t="shared" si="182"/>
        <v>CIF</v>
      </c>
      <c r="AH300" s="247" t="s">
        <v>667</v>
      </c>
      <c r="AI300" s="36" t="e">
        <f>#REF!</f>
        <v>#REF!</v>
      </c>
      <c r="AJ300" s="36">
        <v>0</v>
      </c>
      <c r="AK300" s="142">
        <f t="shared" si="183"/>
        <v>0</v>
      </c>
      <c r="AL300" s="47"/>
      <c r="AM300" s="153">
        <v>46202</v>
      </c>
      <c r="AN300" s="63">
        <f t="shared" si="184"/>
        <v>-2</v>
      </c>
      <c r="AO300" s="34" t="s">
        <v>65</v>
      </c>
      <c r="AP300" s="64">
        <f t="shared" si="185"/>
        <v>46224</v>
      </c>
      <c r="AQ300" s="64">
        <f t="shared" ref="AQ300" si="193">AM300</f>
        <v>46202</v>
      </c>
      <c r="AR300" s="65">
        <f t="shared" si="187"/>
        <v>49</v>
      </c>
      <c r="AS300" s="65">
        <f t="shared" si="188"/>
        <v>27</v>
      </c>
      <c r="AT300" s="157">
        <f t="shared" si="189"/>
        <v>22</v>
      </c>
      <c r="AU300" s="13"/>
      <c r="AV300" s="13"/>
      <c r="AW300" s="109" t="str">
        <f t="shared" si="190"/>
        <v>59946,60</v>
      </c>
      <c r="AX300" s="66">
        <f t="shared" si="191"/>
        <v>0</v>
      </c>
      <c r="AY300" s="66"/>
      <c r="AZ300" s="66">
        <f t="shared" si="192"/>
        <v>0</v>
      </c>
      <c r="BA300" s="30"/>
    </row>
    <row r="301" spans="1:53" ht="21.6" customHeight="1" x14ac:dyDescent="0.45">
      <c r="A301" s="2" t="s">
        <v>284</v>
      </c>
      <c r="B301" s="3" t="s">
        <v>171</v>
      </c>
      <c r="C301" s="3"/>
      <c r="D301" s="3"/>
      <c r="E301" s="3">
        <v>4518710961</v>
      </c>
      <c r="F301" s="3"/>
      <c r="G301" s="144">
        <v>642</v>
      </c>
      <c r="H301" s="394">
        <v>46176</v>
      </c>
      <c r="I301" s="50">
        <v>46236</v>
      </c>
      <c r="J301" s="15">
        <f t="shared" ref="J301:J362" si="194">I301-H301</f>
        <v>60</v>
      </c>
      <c r="K301" s="3" t="s">
        <v>70</v>
      </c>
      <c r="L301" s="3" t="s">
        <v>56</v>
      </c>
      <c r="M301" s="3" t="s">
        <v>186</v>
      </c>
      <c r="N301" s="3" t="s">
        <v>286</v>
      </c>
      <c r="O301" s="3" t="s">
        <v>59</v>
      </c>
      <c r="P301" s="8">
        <v>5528</v>
      </c>
      <c r="Q301" s="44" t="s">
        <v>60</v>
      </c>
      <c r="R301" s="57">
        <f t="shared" si="155"/>
        <v>46176</v>
      </c>
      <c r="S301" s="13" t="s">
        <v>61</v>
      </c>
      <c r="T301" s="35">
        <v>46192</v>
      </c>
      <c r="U301" s="37">
        <v>46190</v>
      </c>
      <c r="V301" s="37">
        <f t="shared" si="134"/>
        <v>46236</v>
      </c>
      <c r="W301" s="59">
        <f t="shared" si="136"/>
        <v>60</v>
      </c>
      <c r="X301" s="59">
        <f t="shared" si="137"/>
        <v>14</v>
      </c>
      <c r="Y301" s="59">
        <f t="shared" si="138"/>
        <v>46</v>
      </c>
      <c r="Z301" s="39"/>
      <c r="AA301" s="4" t="s">
        <v>682</v>
      </c>
      <c r="AB301" s="35">
        <v>46190</v>
      </c>
      <c r="AC301" s="354">
        <v>5528</v>
      </c>
      <c r="AD301" s="13">
        <v>7682</v>
      </c>
      <c r="AE301" s="13" t="s">
        <v>63</v>
      </c>
      <c r="AF301" s="35">
        <v>46192</v>
      </c>
      <c r="AG301" s="3" t="str">
        <f t="shared" si="182"/>
        <v>CIF</v>
      </c>
      <c r="AH301" s="174" t="s">
        <v>188</v>
      </c>
      <c r="AI301" s="36" t="e">
        <f>#REF!</f>
        <v>#REF!</v>
      </c>
      <c r="AJ301" s="36">
        <v>0</v>
      </c>
      <c r="AK301" s="142">
        <f t="shared" si="183"/>
        <v>0</v>
      </c>
      <c r="AL301" s="47">
        <v>46210</v>
      </c>
      <c r="AM301" s="155">
        <v>46203</v>
      </c>
      <c r="AN301" s="63">
        <f t="shared" si="184"/>
        <v>11</v>
      </c>
      <c r="AO301" s="34" t="s">
        <v>65</v>
      </c>
      <c r="AP301" s="64">
        <f t="shared" si="185"/>
        <v>46236</v>
      </c>
      <c r="AQ301" s="64">
        <f t="shared" si="186"/>
        <v>46203</v>
      </c>
      <c r="AR301" s="65">
        <f t="shared" si="187"/>
        <v>60</v>
      </c>
      <c r="AS301" s="65">
        <f t="shared" si="188"/>
        <v>27</v>
      </c>
      <c r="AT301" s="157">
        <f t="shared" si="189"/>
        <v>33</v>
      </c>
      <c r="AU301" s="13"/>
      <c r="AV301" s="13"/>
      <c r="AW301" s="109">
        <f t="shared" si="190"/>
        <v>5528</v>
      </c>
      <c r="AX301" s="66">
        <f t="shared" si="191"/>
        <v>0</v>
      </c>
      <c r="AY301" s="66"/>
      <c r="AZ301" s="66">
        <f t="shared" si="192"/>
        <v>0</v>
      </c>
      <c r="BA301" s="30"/>
    </row>
    <row r="302" spans="1:53" ht="21.6" customHeight="1" x14ac:dyDescent="0.45">
      <c r="A302" s="2" t="s">
        <v>90</v>
      </c>
      <c r="B302" s="3" t="s">
        <v>91</v>
      </c>
      <c r="C302" s="3" t="s">
        <v>78</v>
      </c>
      <c r="D302" s="3" t="s">
        <v>53</v>
      </c>
      <c r="E302" s="3">
        <v>4413395742</v>
      </c>
      <c r="F302" s="3" t="s">
        <v>53</v>
      </c>
      <c r="G302" s="144">
        <v>645</v>
      </c>
      <c r="H302" s="394">
        <v>46181</v>
      </c>
      <c r="I302" s="50">
        <v>46196</v>
      </c>
      <c r="J302" s="15">
        <f t="shared" si="194"/>
        <v>15</v>
      </c>
      <c r="K302" s="3" t="s">
        <v>70</v>
      </c>
      <c r="L302" s="3" t="s">
        <v>56</v>
      </c>
      <c r="M302" s="3" t="s">
        <v>92</v>
      </c>
      <c r="N302" s="3" t="s">
        <v>93</v>
      </c>
      <c r="O302" s="3" t="s">
        <v>59</v>
      </c>
      <c r="P302" s="8">
        <v>11500</v>
      </c>
      <c r="Q302" s="44" t="s">
        <v>60</v>
      </c>
      <c r="R302" s="57">
        <f t="shared" si="155"/>
        <v>46181</v>
      </c>
      <c r="S302" s="13" t="s">
        <v>61</v>
      </c>
      <c r="T302" s="35">
        <v>46195</v>
      </c>
      <c r="U302" s="37">
        <v>46196</v>
      </c>
      <c r="V302" s="37">
        <f t="shared" si="134"/>
        <v>46196</v>
      </c>
      <c r="W302" s="59">
        <f t="shared" si="136"/>
        <v>15</v>
      </c>
      <c r="X302" s="59">
        <f t="shared" si="137"/>
        <v>15</v>
      </c>
      <c r="Y302" s="59">
        <f t="shared" si="138"/>
        <v>0</v>
      </c>
      <c r="Z302" s="39"/>
      <c r="AA302" s="4" t="s">
        <v>643</v>
      </c>
      <c r="AB302" s="35">
        <v>46196</v>
      </c>
      <c r="AC302" s="354">
        <v>11500</v>
      </c>
      <c r="AD302" s="3">
        <v>7699</v>
      </c>
      <c r="AE302" s="13" t="s">
        <v>63</v>
      </c>
      <c r="AF302" s="35">
        <v>46196</v>
      </c>
      <c r="AG302" s="3" t="str">
        <f t="shared" si="182"/>
        <v>CIF</v>
      </c>
      <c r="AH302" s="114" t="s">
        <v>588</v>
      </c>
      <c r="AI302" s="36" t="e">
        <f>#REF!</f>
        <v>#REF!</v>
      </c>
      <c r="AJ302" s="36">
        <v>0</v>
      </c>
      <c r="AK302" s="142">
        <f t="shared" si="183"/>
        <v>0</v>
      </c>
      <c r="AL302" s="47"/>
      <c r="AM302" s="155">
        <v>46196</v>
      </c>
      <c r="AN302" s="63">
        <f t="shared" si="184"/>
        <v>0</v>
      </c>
      <c r="AO302" s="34" t="s">
        <v>65</v>
      </c>
      <c r="AP302" s="64">
        <f t="shared" si="185"/>
        <v>46196</v>
      </c>
      <c r="AQ302" s="64" t="s">
        <v>739</v>
      </c>
      <c r="AR302" s="65">
        <f t="shared" si="187"/>
        <v>15</v>
      </c>
      <c r="AS302" s="65">
        <f t="shared" si="188"/>
        <v>15</v>
      </c>
      <c r="AT302" s="157">
        <f t="shared" si="189"/>
        <v>0</v>
      </c>
      <c r="AU302" s="13"/>
      <c r="AV302" s="13"/>
      <c r="AW302" s="109">
        <f t="shared" si="190"/>
        <v>11500</v>
      </c>
      <c r="AX302" s="66">
        <f t="shared" si="191"/>
        <v>0</v>
      </c>
      <c r="AY302" s="66"/>
      <c r="AZ302" s="66">
        <f t="shared" si="192"/>
        <v>0</v>
      </c>
      <c r="BA302" s="30"/>
    </row>
    <row r="303" spans="1:53" ht="21.6" customHeight="1" x14ac:dyDescent="0.3">
      <c r="A303" s="2" t="s">
        <v>297</v>
      </c>
      <c r="B303" s="3" t="s">
        <v>163</v>
      </c>
      <c r="C303" s="3" t="s">
        <v>52</v>
      </c>
      <c r="D303" s="3"/>
      <c r="E303" s="3">
        <v>35</v>
      </c>
      <c r="F303" s="3" t="s">
        <v>741</v>
      </c>
      <c r="G303" s="144">
        <v>646</v>
      </c>
      <c r="H303" s="394">
        <v>46181</v>
      </c>
      <c r="I303" s="50">
        <v>46192</v>
      </c>
      <c r="J303" s="15">
        <f t="shared" si="194"/>
        <v>11</v>
      </c>
      <c r="K303" s="3" t="s">
        <v>55</v>
      </c>
      <c r="L303" s="3" t="s">
        <v>56</v>
      </c>
      <c r="M303" s="3" t="s">
        <v>159</v>
      </c>
      <c r="N303" s="3" t="s">
        <v>742</v>
      </c>
      <c r="O303" s="3" t="s">
        <v>59</v>
      </c>
      <c r="P303" s="8">
        <v>3695.9</v>
      </c>
      <c r="Q303" s="44" t="s">
        <v>100</v>
      </c>
      <c r="R303" s="57">
        <f t="shared" si="155"/>
        <v>46181</v>
      </c>
      <c r="S303" s="13" t="s">
        <v>61</v>
      </c>
      <c r="T303" s="35">
        <v>46191</v>
      </c>
      <c r="U303" s="37">
        <v>46192</v>
      </c>
      <c r="V303" s="37">
        <f t="shared" si="134"/>
        <v>46192</v>
      </c>
      <c r="W303" s="59">
        <f t="shared" si="136"/>
        <v>11</v>
      </c>
      <c r="X303" s="59">
        <f t="shared" si="137"/>
        <v>11</v>
      </c>
      <c r="Y303" s="59">
        <f t="shared" si="138"/>
        <v>0</v>
      </c>
      <c r="Z303" s="39"/>
      <c r="AA303" s="4" t="s">
        <v>682</v>
      </c>
      <c r="AB303" s="35">
        <v>46197</v>
      </c>
      <c r="AC303" s="352" t="s">
        <v>743</v>
      </c>
      <c r="AD303" s="13">
        <v>7702</v>
      </c>
      <c r="AE303" s="13" t="s">
        <v>63</v>
      </c>
      <c r="AF303" s="35">
        <v>46197</v>
      </c>
      <c r="AG303" s="3" t="str">
        <f t="shared" si="182"/>
        <v>FOB</v>
      </c>
      <c r="AH303" s="13" t="s">
        <v>744</v>
      </c>
      <c r="AI303" s="36" t="e">
        <f>#REF!</f>
        <v>#REF!</v>
      </c>
      <c r="AJ303" s="36">
        <v>0</v>
      </c>
      <c r="AK303" s="142">
        <f t="shared" si="183"/>
        <v>0</v>
      </c>
      <c r="AL303" s="47"/>
      <c r="AM303" s="153">
        <v>46192</v>
      </c>
      <c r="AN303" s="63">
        <f t="shared" si="184"/>
        <v>-5</v>
      </c>
      <c r="AO303" s="34" t="s">
        <v>65</v>
      </c>
      <c r="AP303" s="64">
        <f t="shared" si="185"/>
        <v>46192</v>
      </c>
      <c r="AQ303" s="64">
        <v>46204</v>
      </c>
      <c r="AR303" s="65">
        <f t="shared" si="187"/>
        <v>11</v>
      </c>
      <c r="AS303" s="65">
        <f t="shared" si="188"/>
        <v>11</v>
      </c>
      <c r="AT303" s="157">
        <f t="shared" si="189"/>
        <v>0</v>
      </c>
      <c r="AU303" s="13"/>
      <c r="AV303" s="13"/>
      <c r="AW303" s="109" t="str">
        <f t="shared" si="190"/>
        <v>3695,90</v>
      </c>
      <c r="AX303" s="66">
        <f t="shared" si="191"/>
        <v>0</v>
      </c>
      <c r="AY303" s="66"/>
      <c r="AZ303" s="66">
        <f t="shared" si="192"/>
        <v>0</v>
      </c>
      <c r="BA303" s="30"/>
    </row>
    <row r="304" spans="1:53" ht="21.6" customHeight="1" x14ac:dyDescent="0.3">
      <c r="A304" s="2" t="s">
        <v>297</v>
      </c>
      <c r="B304" s="3" t="s">
        <v>163</v>
      </c>
      <c r="C304" s="3" t="s">
        <v>52</v>
      </c>
      <c r="D304" s="3"/>
      <c r="E304" s="3">
        <v>15</v>
      </c>
      <c r="F304" s="3"/>
      <c r="G304" s="144">
        <v>650</v>
      </c>
      <c r="H304" s="394">
        <v>46181</v>
      </c>
      <c r="I304" s="50">
        <v>46192</v>
      </c>
      <c r="J304" s="15">
        <f t="shared" si="194"/>
        <v>11</v>
      </c>
      <c r="K304" s="3" t="s">
        <v>55</v>
      </c>
      <c r="L304" s="3" t="s">
        <v>56</v>
      </c>
      <c r="M304" s="3" t="s">
        <v>159</v>
      </c>
      <c r="N304" s="3" t="s">
        <v>300</v>
      </c>
      <c r="O304" s="3" t="s">
        <v>59</v>
      </c>
      <c r="P304" s="8">
        <v>2025</v>
      </c>
      <c r="Q304" s="44" t="s">
        <v>100</v>
      </c>
      <c r="R304" s="57">
        <f t="shared" si="155"/>
        <v>46181</v>
      </c>
      <c r="S304" s="13" t="s">
        <v>61</v>
      </c>
      <c r="T304" s="35">
        <v>46192</v>
      </c>
      <c r="U304" s="37">
        <v>46192</v>
      </c>
      <c r="V304" s="37">
        <f t="shared" si="134"/>
        <v>46192</v>
      </c>
      <c r="W304" s="59">
        <f t="shared" si="136"/>
        <v>11</v>
      </c>
      <c r="X304" s="59">
        <f t="shared" si="137"/>
        <v>11</v>
      </c>
      <c r="Y304" s="59">
        <f t="shared" si="138"/>
        <v>0</v>
      </c>
      <c r="Z304" s="39"/>
      <c r="AA304" s="4" t="s">
        <v>682</v>
      </c>
      <c r="AB304" s="35">
        <v>46197</v>
      </c>
      <c r="AC304" s="352" t="s">
        <v>745</v>
      </c>
      <c r="AD304" s="13">
        <v>7701</v>
      </c>
      <c r="AE304" s="13" t="s">
        <v>63</v>
      </c>
      <c r="AF304" s="35">
        <v>46197</v>
      </c>
      <c r="AG304" s="3" t="str">
        <f t="shared" si="182"/>
        <v>FOB</v>
      </c>
      <c r="AH304" s="13" t="s">
        <v>744</v>
      </c>
      <c r="AI304" s="36" t="e">
        <f>#REF!</f>
        <v>#REF!</v>
      </c>
      <c r="AJ304" s="36">
        <v>0</v>
      </c>
      <c r="AK304" s="142">
        <f t="shared" si="183"/>
        <v>0</v>
      </c>
      <c r="AL304" s="47"/>
      <c r="AM304" s="153">
        <v>46192</v>
      </c>
      <c r="AN304" s="63">
        <f t="shared" si="184"/>
        <v>-5</v>
      </c>
      <c r="AO304" s="34" t="s">
        <v>65</v>
      </c>
      <c r="AP304" s="64">
        <f t="shared" si="185"/>
        <v>46192</v>
      </c>
      <c r="AQ304" s="64">
        <f t="shared" si="186"/>
        <v>46192</v>
      </c>
      <c r="AR304" s="65">
        <f t="shared" si="187"/>
        <v>11</v>
      </c>
      <c r="AS304" s="65">
        <f t="shared" si="188"/>
        <v>11</v>
      </c>
      <c r="AT304" s="157">
        <f t="shared" si="189"/>
        <v>0</v>
      </c>
      <c r="AU304" s="13"/>
      <c r="AV304" s="13"/>
      <c r="AW304" s="109" t="str">
        <f t="shared" si="190"/>
        <v>2025,00</v>
      </c>
      <c r="AX304" s="66">
        <f t="shared" si="191"/>
        <v>0</v>
      </c>
      <c r="AY304" s="66"/>
      <c r="AZ304" s="66">
        <f t="shared" si="192"/>
        <v>0</v>
      </c>
      <c r="BA304" s="30"/>
    </row>
    <row r="305" spans="1:53" ht="21.6" customHeight="1" x14ac:dyDescent="0.3">
      <c r="A305" s="2" t="s">
        <v>570</v>
      </c>
      <c r="B305" s="3" t="s">
        <v>77</v>
      </c>
      <c r="C305" s="3" t="s">
        <v>78</v>
      </c>
      <c r="D305" s="3"/>
      <c r="E305" s="3">
        <v>4515315725</v>
      </c>
      <c r="F305" s="3" t="s">
        <v>746</v>
      </c>
      <c r="G305" s="144">
        <v>647</v>
      </c>
      <c r="H305" s="394">
        <v>46182</v>
      </c>
      <c r="I305" s="50">
        <v>46210</v>
      </c>
      <c r="J305" s="15">
        <f t="shared" si="194"/>
        <v>28</v>
      </c>
      <c r="K305" s="3" t="s">
        <v>70</v>
      </c>
      <c r="L305" s="3" t="s">
        <v>56</v>
      </c>
      <c r="M305" s="3" t="s">
        <v>81</v>
      </c>
      <c r="N305" s="3" t="s">
        <v>497</v>
      </c>
      <c r="O305" s="3" t="s">
        <v>59</v>
      </c>
      <c r="P305" s="8">
        <v>46061.42</v>
      </c>
      <c r="Q305" s="44" t="s">
        <v>60</v>
      </c>
      <c r="R305" s="57">
        <f t="shared" si="155"/>
        <v>46182</v>
      </c>
      <c r="S305" s="13" t="s">
        <v>61</v>
      </c>
      <c r="T305" s="35">
        <v>46199</v>
      </c>
      <c r="U305" s="37">
        <v>46203</v>
      </c>
      <c r="V305" s="37">
        <f t="shared" si="134"/>
        <v>46210</v>
      </c>
      <c r="W305" s="59">
        <f t="shared" si="136"/>
        <v>28</v>
      </c>
      <c r="X305" s="59">
        <f t="shared" si="137"/>
        <v>21</v>
      </c>
      <c r="Y305" s="59">
        <f t="shared" si="138"/>
        <v>7</v>
      </c>
      <c r="Z305" s="39"/>
      <c r="AA305" s="4" t="s">
        <v>643</v>
      </c>
      <c r="AB305" s="35">
        <v>46203</v>
      </c>
      <c r="AC305" s="118" t="s">
        <v>747</v>
      </c>
      <c r="AD305" s="13">
        <v>7732</v>
      </c>
      <c r="AE305" s="13" t="s">
        <v>63</v>
      </c>
      <c r="AF305" s="35">
        <v>46204</v>
      </c>
      <c r="AG305" s="3" t="s">
        <v>55</v>
      </c>
      <c r="AH305" s="13" t="s">
        <v>748</v>
      </c>
      <c r="AI305" s="36"/>
      <c r="AJ305" s="36"/>
      <c r="AK305" s="142"/>
      <c r="AL305" s="47"/>
      <c r="AM305" s="153">
        <v>46204</v>
      </c>
      <c r="AN305" s="63">
        <f t="shared" si="184"/>
        <v>0</v>
      </c>
      <c r="AO305" s="34" t="s">
        <v>65</v>
      </c>
      <c r="AP305" s="64">
        <f t="shared" ref="AP305" si="195">I305</f>
        <v>46210</v>
      </c>
      <c r="AQ305" s="64" t="s">
        <v>739</v>
      </c>
      <c r="AR305" s="65">
        <f t="shared" si="187"/>
        <v>28</v>
      </c>
      <c r="AS305" s="65">
        <f t="shared" si="188"/>
        <v>22</v>
      </c>
      <c r="AT305" s="157">
        <f t="shared" ref="AT305" si="196">AR305-AS305</f>
        <v>6</v>
      </c>
      <c r="AU305" s="13"/>
      <c r="AV305" s="13"/>
      <c r="AW305" s="109"/>
      <c r="AX305" s="66"/>
      <c r="AY305" s="66"/>
      <c r="AZ305" s="66"/>
      <c r="BA305" s="30"/>
    </row>
    <row r="306" spans="1:53" ht="21.6" customHeight="1" x14ac:dyDescent="0.3">
      <c r="A306" s="2" t="s">
        <v>137</v>
      </c>
      <c r="B306" s="3" t="s">
        <v>67</v>
      </c>
      <c r="C306" s="3" t="s">
        <v>52</v>
      </c>
      <c r="D306" s="3"/>
      <c r="E306" s="3"/>
      <c r="F306" s="3"/>
      <c r="G306" s="144">
        <v>649</v>
      </c>
      <c r="H306" s="394">
        <v>46182</v>
      </c>
      <c r="I306" s="50">
        <v>46198</v>
      </c>
      <c r="J306" s="15">
        <f t="shared" si="194"/>
        <v>16</v>
      </c>
      <c r="K306" s="3" t="s">
        <v>55</v>
      </c>
      <c r="L306" s="3" t="s">
        <v>139</v>
      </c>
      <c r="M306" s="3" t="s">
        <v>72</v>
      </c>
      <c r="N306" s="3"/>
      <c r="O306" s="3" t="s">
        <v>59</v>
      </c>
      <c r="P306" s="8">
        <v>4335</v>
      </c>
      <c r="Q306" s="44" t="s">
        <v>100</v>
      </c>
      <c r="R306" s="57">
        <f t="shared" si="155"/>
        <v>46182</v>
      </c>
      <c r="S306" s="13" t="s">
        <v>61</v>
      </c>
      <c r="T306" s="35">
        <v>46195</v>
      </c>
      <c r="U306" s="37">
        <v>46198</v>
      </c>
      <c r="V306" s="37">
        <f t="shared" si="134"/>
        <v>46198</v>
      </c>
      <c r="W306" s="59">
        <f t="shared" si="136"/>
        <v>16</v>
      </c>
      <c r="X306" s="59">
        <f t="shared" si="137"/>
        <v>16</v>
      </c>
      <c r="Y306" s="59">
        <f t="shared" si="138"/>
        <v>0</v>
      </c>
      <c r="Z306" s="39"/>
      <c r="AA306" s="4" t="s">
        <v>643</v>
      </c>
      <c r="AB306" s="35">
        <v>46199</v>
      </c>
      <c r="AC306" s="379" t="s">
        <v>749</v>
      </c>
      <c r="AD306" s="388">
        <v>7721</v>
      </c>
      <c r="AE306" s="13" t="s">
        <v>63</v>
      </c>
      <c r="AF306" s="35">
        <v>46060</v>
      </c>
      <c r="AG306" s="3" t="str">
        <f>K306</f>
        <v>FOB</v>
      </c>
      <c r="AH306" s="13" t="s">
        <v>686</v>
      </c>
      <c r="AI306" s="36" t="e">
        <f>#REF!</f>
        <v>#REF!</v>
      </c>
      <c r="AJ306" s="36">
        <v>0</v>
      </c>
      <c r="AK306" s="142">
        <f>AJ306/AC306</f>
        <v>0</v>
      </c>
      <c r="AL306" s="47"/>
      <c r="AM306" s="153">
        <v>46198</v>
      </c>
      <c r="AN306" s="63">
        <f t="shared" si="184"/>
        <v>138</v>
      </c>
      <c r="AO306" s="34" t="s">
        <v>65</v>
      </c>
      <c r="AP306" s="64">
        <f>I306</f>
        <v>46198</v>
      </c>
      <c r="AQ306" s="64">
        <f>AM306</f>
        <v>46198</v>
      </c>
      <c r="AR306" s="65">
        <f t="shared" si="187"/>
        <v>16</v>
      </c>
      <c r="AS306" s="65">
        <f t="shared" si="188"/>
        <v>16</v>
      </c>
      <c r="AT306" s="157">
        <f>AR306-AS306</f>
        <v>0</v>
      </c>
      <c r="AU306" s="13"/>
      <c r="AV306" s="13"/>
      <c r="AW306" s="109" t="str">
        <f>AC306</f>
        <v>4.481,44</v>
      </c>
      <c r="AX306" s="66">
        <f>Z306</f>
        <v>0</v>
      </c>
      <c r="AY306" s="66"/>
      <c r="AZ306" s="66">
        <f>AJ306</f>
        <v>0</v>
      </c>
      <c r="BA306" s="30"/>
    </row>
    <row r="307" spans="1:53" ht="21.6" customHeight="1" x14ac:dyDescent="0.3">
      <c r="A307" s="2" t="s">
        <v>750</v>
      </c>
      <c r="B307" s="3" t="s">
        <v>91</v>
      </c>
      <c r="C307" s="3" t="s">
        <v>78</v>
      </c>
      <c r="D307" s="3" t="s">
        <v>53</v>
      </c>
      <c r="E307" s="3">
        <v>128805</v>
      </c>
      <c r="F307" s="3" t="s">
        <v>751</v>
      </c>
      <c r="G307" s="144">
        <v>651</v>
      </c>
      <c r="H307" s="394">
        <v>46183</v>
      </c>
      <c r="I307" s="50">
        <v>46204</v>
      </c>
      <c r="J307" s="15">
        <f t="shared" si="194"/>
        <v>21</v>
      </c>
      <c r="K307" s="3" t="s">
        <v>55</v>
      </c>
      <c r="L307" s="3" t="s">
        <v>56</v>
      </c>
      <c r="M307" s="3" t="s">
        <v>92</v>
      </c>
      <c r="N307" s="3" t="s">
        <v>752</v>
      </c>
      <c r="O307" s="3" t="s">
        <v>59</v>
      </c>
      <c r="P307" s="8">
        <v>6920</v>
      </c>
      <c r="Q307" s="44" t="s">
        <v>100</v>
      </c>
      <c r="R307" s="57">
        <f t="shared" si="155"/>
        <v>46183</v>
      </c>
      <c r="S307" s="13" t="s">
        <v>61</v>
      </c>
      <c r="T307" s="35">
        <v>46199</v>
      </c>
      <c r="U307" s="37">
        <v>46202</v>
      </c>
      <c r="V307" s="37">
        <f t="shared" si="134"/>
        <v>46204</v>
      </c>
      <c r="W307" s="59">
        <f t="shared" si="136"/>
        <v>21</v>
      </c>
      <c r="X307" s="59">
        <f t="shared" si="137"/>
        <v>19</v>
      </c>
      <c r="Y307" s="59">
        <f t="shared" si="138"/>
        <v>2</v>
      </c>
      <c r="Z307" s="39"/>
      <c r="AA307" s="4" t="s">
        <v>643</v>
      </c>
      <c r="AB307" s="35">
        <v>46203</v>
      </c>
      <c r="AC307" s="13" t="s">
        <v>753</v>
      </c>
      <c r="AD307" s="13">
        <v>7728</v>
      </c>
      <c r="AE307" s="13" t="s">
        <v>63</v>
      </c>
      <c r="AF307" s="35">
        <v>46203</v>
      </c>
      <c r="AG307" s="3" t="str">
        <f>K307</f>
        <v>FOB</v>
      </c>
      <c r="AH307" s="13" t="s">
        <v>754</v>
      </c>
      <c r="AI307" s="36" t="e">
        <f>#REF!</f>
        <v>#REF!</v>
      </c>
      <c r="AJ307" s="36">
        <v>0</v>
      </c>
      <c r="AK307" s="142">
        <f>AJ307/AC307</f>
        <v>0</v>
      </c>
      <c r="AL307" s="47"/>
      <c r="AM307" s="153">
        <v>46202</v>
      </c>
      <c r="AN307" s="63">
        <f t="shared" si="184"/>
        <v>-1</v>
      </c>
      <c r="AO307" s="34" t="s">
        <v>65</v>
      </c>
      <c r="AP307" s="64">
        <f>I307</f>
        <v>46204</v>
      </c>
      <c r="AQ307" s="64">
        <f>AM307</f>
        <v>46202</v>
      </c>
      <c r="AR307" s="65">
        <f t="shared" si="187"/>
        <v>21</v>
      </c>
      <c r="AS307" s="65">
        <f t="shared" si="188"/>
        <v>19</v>
      </c>
      <c r="AT307" s="157">
        <f>AR307-AS307</f>
        <v>2</v>
      </c>
      <c r="AU307" s="13"/>
      <c r="AV307" s="13"/>
      <c r="AW307" s="109" t="str">
        <f>AC307</f>
        <v>6920,00</v>
      </c>
      <c r="AX307" s="66">
        <f>Z307</f>
        <v>0</v>
      </c>
      <c r="AY307" s="66"/>
      <c r="AZ307" s="66">
        <f>AJ307</f>
        <v>0</v>
      </c>
      <c r="BA307" s="30"/>
    </row>
    <row r="308" spans="1:53" ht="21.6" customHeight="1" x14ac:dyDescent="0.3">
      <c r="A308" s="2" t="s">
        <v>137</v>
      </c>
      <c r="B308" s="3" t="s">
        <v>67</v>
      </c>
      <c r="C308" s="3" t="s">
        <v>78</v>
      </c>
      <c r="D308" s="3"/>
      <c r="E308" s="3">
        <v>74</v>
      </c>
      <c r="F308" s="3"/>
      <c r="G308" s="144">
        <v>652</v>
      </c>
      <c r="H308" s="394">
        <v>46183</v>
      </c>
      <c r="I308" s="50">
        <v>46213</v>
      </c>
      <c r="J308" s="15">
        <f t="shared" si="194"/>
        <v>30</v>
      </c>
      <c r="K308" s="3" t="s">
        <v>55</v>
      </c>
      <c r="L308" s="3" t="s">
        <v>139</v>
      </c>
      <c r="M308" s="3" t="s">
        <v>72</v>
      </c>
      <c r="N308" s="3"/>
      <c r="O308" s="3" t="s">
        <v>59</v>
      </c>
      <c r="P308" s="8">
        <v>56218</v>
      </c>
      <c r="Q308" s="44" t="s">
        <v>100</v>
      </c>
      <c r="R308" s="57">
        <f t="shared" si="155"/>
        <v>46183</v>
      </c>
      <c r="S308" s="13" t="s">
        <v>61</v>
      </c>
      <c r="T308" s="35">
        <v>46206</v>
      </c>
      <c r="U308" s="37">
        <v>46206</v>
      </c>
      <c r="V308" s="37">
        <f t="shared" si="134"/>
        <v>46213</v>
      </c>
      <c r="W308" s="59">
        <f t="shared" si="136"/>
        <v>30</v>
      </c>
      <c r="X308" s="59">
        <f t="shared" si="137"/>
        <v>23</v>
      </c>
      <c r="Y308" s="59">
        <f t="shared" si="138"/>
        <v>7</v>
      </c>
      <c r="Z308" s="39"/>
      <c r="AA308" s="4" t="s">
        <v>643</v>
      </c>
      <c r="AB308" s="35">
        <v>46203</v>
      </c>
      <c r="AC308" s="9" t="s">
        <v>755</v>
      </c>
      <c r="AD308" s="113">
        <v>7744</v>
      </c>
      <c r="AE308" s="13" t="s">
        <v>63</v>
      </c>
      <c r="AF308" s="35">
        <v>46210</v>
      </c>
      <c r="AG308" s="5" t="s">
        <v>55</v>
      </c>
      <c r="AH308" s="3" t="s">
        <v>686</v>
      </c>
      <c r="AI308" s="36"/>
      <c r="AJ308" s="36"/>
      <c r="AK308" s="142"/>
      <c r="AL308" s="47"/>
      <c r="AM308" s="153">
        <v>46206</v>
      </c>
      <c r="AN308" s="63"/>
      <c r="AO308" s="34" t="s">
        <v>65</v>
      </c>
      <c r="AP308" s="64">
        <f>I308</f>
        <v>46213</v>
      </c>
      <c r="AQ308" s="64">
        <f>AM308</f>
        <v>46206</v>
      </c>
      <c r="AR308" s="65">
        <f t="shared" si="187"/>
        <v>30</v>
      </c>
      <c r="AS308" s="65">
        <f t="shared" si="188"/>
        <v>23</v>
      </c>
      <c r="AT308" s="157">
        <f>AR308-AS308</f>
        <v>7</v>
      </c>
      <c r="AU308" s="13"/>
      <c r="AV308" s="13"/>
      <c r="AW308" s="109"/>
      <c r="AX308" s="66"/>
      <c r="AY308" s="66"/>
      <c r="AZ308" s="66"/>
      <c r="BA308" s="30"/>
    </row>
    <row r="309" spans="1:53" ht="21.6" customHeight="1" x14ac:dyDescent="0.3">
      <c r="A309" s="2" t="s">
        <v>756</v>
      </c>
      <c r="B309" s="3" t="s">
        <v>51</v>
      </c>
      <c r="C309" s="3" t="s">
        <v>613</v>
      </c>
      <c r="D309" s="3" t="s">
        <v>53</v>
      </c>
      <c r="E309" s="3">
        <v>20450</v>
      </c>
      <c r="F309" s="3" t="s">
        <v>757</v>
      </c>
      <c r="G309" s="144">
        <v>653</v>
      </c>
      <c r="H309" s="394">
        <v>46183</v>
      </c>
      <c r="I309" s="50">
        <v>46222</v>
      </c>
      <c r="J309" s="15">
        <f t="shared" si="194"/>
        <v>39</v>
      </c>
      <c r="K309" s="3" t="s">
        <v>70</v>
      </c>
      <c r="L309" s="3" t="s">
        <v>56</v>
      </c>
      <c r="M309" s="3" t="s">
        <v>81</v>
      </c>
      <c r="N309" s="3" t="s">
        <v>664</v>
      </c>
      <c r="O309" s="3" t="s">
        <v>59</v>
      </c>
      <c r="P309" s="8">
        <v>43073.36</v>
      </c>
      <c r="Q309" s="44" t="s">
        <v>100</v>
      </c>
      <c r="R309" s="57">
        <f t="shared" si="155"/>
        <v>46183</v>
      </c>
      <c r="S309" s="13" t="s">
        <v>610</v>
      </c>
      <c r="T309" s="35">
        <v>46261</v>
      </c>
      <c r="U309" s="37"/>
      <c r="V309" s="37">
        <f t="shared" ref="V309:V370" si="197">I309</f>
        <v>46222</v>
      </c>
      <c r="W309" s="59">
        <f t="shared" si="136"/>
        <v>39</v>
      </c>
      <c r="X309" s="59">
        <f t="shared" si="137"/>
        <v>-46183</v>
      </c>
      <c r="Y309" s="59">
        <f t="shared" si="138"/>
        <v>46222</v>
      </c>
      <c r="Z309" s="39"/>
      <c r="AA309" s="4" t="s">
        <v>758</v>
      </c>
      <c r="AB309" s="35"/>
      <c r="AC309" s="13"/>
      <c r="AD309" s="32"/>
      <c r="AE309" s="13"/>
      <c r="AF309" s="35"/>
      <c r="AG309" s="3" t="str">
        <f t="shared" ref="AG309:AG370" si="198">K309</f>
        <v>CIF</v>
      </c>
      <c r="AH309" s="13"/>
      <c r="AI309" s="36" t="e">
        <f>#REF!</f>
        <v>#REF!</v>
      </c>
      <c r="AJ309" s="36">
        <v>0</v>
      </c>
      <c r="AK309" s="142" t="e">
        <f>AJ309/AC309</f>
        <v>#DIV/0!</v>
      </c>
      <c r="AL309" s="47"/>
      <c r="AM309" s="153"/>
      <c r="AN309" s="63">
        <f>AM309-AF309</f>
        <v>0</v>
      </c>
      <c r="AO309" s="34"/>
      <c r="AP309" s="64">
        <f t="shared" ref="AP309:AP339" si="199">I309</f>
        <v>46222</v>
      </c>
      <c r="AQ309" s="64">
        <f>AM309</f>
        <v>0</v>
      </c>
      <c r="AR309" s="65">
        <f t="shared" si="187"/>
        <v>39</v>
      </c>
      <c r="AS309" s="65">
        <f t="shared" si="188"/>
        <v>-46183</v>
      </c>
      <c r="AT309" s="157">
        <f t="shared" ref="AT309:AT370" si="200">AR309-AS309</f>
        <v>46222</v>
      </c>
      <c r="AU309" s="13"/>
      <c r="AV309" s="13"/>
      <c r="AW309" s="109">
        <f>AC309</f>
        <v>0</v>
      </c>
      <c r="AX309" s="66">
        <f>Z309</f>
        <v>0</v>
      </c>
      <c r="AY309" s="66"/>
      <c r="AZ309" s="66">
        <f>AJ309</f>
        <v>0</v>
      </c>
      <c r="BA309" s="30"/>
    </row>
    <row r="310" spans="1:53" ht="21.6" customHeight="1" x14ac:dyDescent="0.3">
      <c r="A310" s="2" t="s">
        <v>307</v>
      </c>
      <c r="B310" s="3" t="s">
        <v>91</v>
      </c>
      <c r="C310" s="3" t="s">
        <v>78</v>
      </c>
      <c r="D310" s="3" t="s">
        <v>53</v>
      </c>
      <c r="E310" s="3">
        <v>4501940469</v>
      </c>
      <c r="F310" s="3" t="s">
        <v>53</v>
      </c>
      <c r="G310" s="144">
        <v>665</v>
      </c>
      <c r="H310" s="394">
        <v>46183</v>
      </c>
      <c r="I310" s="50">
        <v>46223</v>
      </c>
      <c r="J310" s="15">
        <f t="shared" si="194"/>
        <v>40</v>
      </c>
      <c r="K310" s="3" t="s">
        <v>70</v>
      </c>
      <c r="L310" s="3" t="s">
        <v>56</v>
      </c>
      <c r="M310" s="3" t="s">
        <v>92</v>
      </c>
      <c r="N310" s="3" t="s">
        <v>577</v>
      </c>
      <c r="O310" s="3" t="s">
        <v>59</v>
      </c>
      <c r="P310" s="8">
        <v>6178.65</v>
      </c>
      <c r="Q310" s="44" t="s">
        <v>100</v>
      </c>
      <c r="R310" s="57">
        <f t="shared" si="155"/>
        <v>46183</v>
      </c>
      <c r="S310" s="13" t="s">
        <v>61</v>
      </c>
      <c r="T310" s="35" t="s">
        <v>672</v>
      </c>
      <c r="U310" s="37">
        <v>46203</v>
      </c>
      <c r="V310" s="37">
        <f t="shared" si="197"/>
        <v>46223</v>
      </c>
      <c r="W310" s="59">
        <f t="shared" si="136"/>
        <v>40</v>
      </c>
      <c r="X310" s="59">
        <f t="shared" si="137"/>
        <v>20</v>
      </c>
      <c r="Y310" s="59">
        <f t="shared" si="138"/>
        <v>20</v>
      </c>
      <c r="Z310" s="39"/>
      <c r="AA310" s="4" t="s">
        <v>643</v>
      </c>
      <c r="AB310" s="35">
        <v>46203</v>
      </c>
      <c r="AC310" s="358" t="s">
        <v>759</v>
      </c>
      <c r="AD310" s="113">
        <v>7726</v>
      </c>
      <c r="AE310" s="13" t="s">
        <v>63</v>
      </c>
      <c r="AF310" s="35">
        <v>46180</v>
      </c>
      <c r="AG310" s="3" t="str">
        <f t="shared" si="198"/>
        <v>CIF</v>
      </c>
      <c r="AH310" s="247" t="s">
        <v>667</v>
      </c>
      <c r="AI310" s="36" t="e">
        <f>#REF!</f>
        <v>#REF!</v>
      </c>
      <c r="AJ310" s="36">
        <v>0</v>
      </c>
      <c r="AK310" s="142">
        <f>AJ310/AC310</f>
        <v>0</v>
      </c>
      <c r="AL310" s="47"/>
      <c r="AM310" s="153">
        <v>46203</v>
      </c>
      <c r="AN310" s="63">
        <f>AM310-AF310</f>
        <v>23</v>
      </c>
      <c r="AO310" s="34" t="s">
        <v>65</v>
      </c>
      <c r="AP310" s="64">
        <f t="shared" si="199"/>
        <v>46223</v>
      </c>
      <c r="AQ310" s="64">
        <f t="shared" ref="AQ310" si="201">AM310</f>
        <v>46203</v>
      </c>
      <c r="AR310" s="65">
        <f t="shared" si="187"/>
        <v>40</v>
      </c>
      <c r="AS310" s="65">
        <f t="shared" si="188"/>
        <v>20</v>
      </c>
      <c r="AT310" s="157">
        <f t="shared" si="200"/>
        <v>20</v>
      </c>
      <c r="AU310" s="13"/>
      <c r="AV310" s="13"/>
      <c r="AW310" s="109" t="str">
        <f>AC310</f>
        <v>6.178,65</v>
      </c>
      <c r="AX310" s="66">
        <f>Z310</f>
        <v>0</v>
      </c>
      <c r="AY310" s="66"/>
      <c r="AZ310" s="66">
        <f>AJ310</f>
        <v>0</v>
      </c>
      <c r="BA310" s="30"/>
    </row>
    <row r="311" spans="1:53" ht="21.6" customHeight="1" x14ac:dyDescent="0.45">
      <c r="A311" s="2" t="s">
        <v>258</v>
      </c>
      <c r="B311" s="3" t="s">
        <v>163</v>
      </c>
      <c r="C311" s="3" t="s">
        <v>78</v>
      </c>
      <c r="D311" s="3"/>
      <c r="E311" s="3">
        <v>28459</v>
      </c>
      <c r="F311" s="3" t="s">
        <v>760</v>
      </c>
      <c r="G311" s="144">
        <v>657</v>
      </c>
      <c r="H311" s="394">
        <v>46184</v>
      </c>
      <c r="I311" s="50">
        <v>46236</v>
      </c>
      <c r="J311" s="15">
        <f t="shared" si="194"/>
        <v>52</v>
      </c>
      <c r="K311" s="3" t="s">
        <v>70</v>
      </c>
      <c r="L311" s="3" t="s">
        <v>56</v>
      </c>
      <c r="M311" s="3" t="s">
        <v>165</v>
      </c>
      <c r="N311" s="3" t="s">
        <v>166</v>
      </c>
      <c r="O311" s="3" t="s">
        <v>59</v>
      </c>
      <c r="P311" s="8">
        <v>7991.95</v>
      </c>
      <c r="Q311" s="44" t="s">
        <v>100</v>
      </c>
      <c r="R311" s="57">
        <f t="shared" si="155"/>
        <v>46184</v>
      </c>
      <c r="S311" s="13" t="s">
        <v>61</v>
      </c>
      <c r="T311" s="35">
        <v>46161</v>
      </c>
      <c r="U311" s="37">
        <v>46190</v>
      </c>
      <c r="V311" s="37">
        <f t="shared" si="197"/>
        <v>46236</v>
      </c>
      <c r="W311" s="59">
        <f t="shared" si="136"/>
        <v>52</v>
      </c>
      <c r="X311" s="59">
        <f t="shared" si="137"/>
        <v>6</v>
      </c>
      <c r="Y311" s="59">
        <f t="shared" si="138"/>
        <v>46</v>
      </c>
      <c r="Z311" s="39"/>
      <c r="AA311" s="4" t="s">
        <v>682</v>
      </c>
      <c r="AB311" s="35">
        <v>46191</v>
      </c>
      <c r="AC311" s="354">
        <v>7991.95</v>
      </c>
      <c r="AD311" s="13">
        <v>7686</v>
      </c>
      <c r="AE311" s="13" t="s">
        <v>63</v>
      </c>
      <c r="AF311" s="35">
        <v>46192</v>
      </c>
      <c r="AG311" s="3" t="str">
        <f t="shared" si="198"/>
        <v>CIF</v>
      </c>
      <c r="AH311" s="174" t="s">
        <v>188</v>
      </c>
      <c r="AI311" s="36"/>
      <c r="AJ311" s="36"/>
      <c r="AK311" s="142"/>
      <c r="AL311" s="47" t="s">
        <v>761</v>
      </c>
      <c r="AM311" s="155">
        <v>46203</v>
      </c>
      <c r="AN311" s="63"/>
      <c r="AO311" s="34" t="s">
        <v>65</v>
      </c>
      <c r="AP311" s="64">
        <f t="shared" si="199"/>
        <v>46236</v>
      </c>
      <c r="AQ311" s="64" t="s">
        <v>762</v>
      </c>
      <c r="AR311" s="65">
        <f t="shared" si="187"/>
        <v>52</v>
      </c>
      <c r="AS311" s="65">
        <f t="shared" si="188"/>
        <v>19</v>
      </c>
      <c r="AT311" s="157">
        <f t="shared" si="200"/>
        <v>33</v>
      </c>
      <c r="AU311" s="13"/>
      <c r="AV311" s="13"/>
      <c r="AW311" s="109"/>
      <c r="AX311" s="66"/>
      <c r="AY311" s="66"/>
      <c r="AZ311" s="66"/>
      <c r="BA311" s="30"/>
    </row>
    <row r="312" spans="1:53" ht="21.6" customHeight="1" x14ac:dyDescent="0.3">
      <c r="A312" s="2" t="s">
        <v>763</v>
      </c>
      <c r="B312" s="3" t="s">
        <v>77</v>
      </c>
      <c r="C312" s="3" t="s">
        <v>78</v>
      </c>
      <c r="D312" s="3"/>
      <c r="E312" s="3">
        <v>24236</v>
      </c>
      <c r="F312" s="3"/>
      <c r="G312" s="144">
        <v>658</v>
      </c>
      <c r="H312" s="394">
        <v>46184</v>
      </c>
      <c r="I312" s="50">
        <v>46213</v>
      </c>
      <c r="J312" s="15">
        <f t="shared" si="194"/>
        <v>29</v>
      </c>
      <c r="K312" s="3" t="s">
        <v>55</v>
      </c>
      <c r="L312" s="3" t="s">
        <v>56</v>
      </c>
      <c r="M312" s="3" t="s">
        <v>81</v>
      </c>
      <c r="N312" s="3" t="s">
        <v>764</v>
      </c>
      <c r="O312" s="3" t="s">
        <v>59</v>
      </c>
      <c r="P312" s="8">
        <v>37946.18</v>
      </c>
      <c r="Q312" s="44" t="s">
        <v>100</v>
      </c>
      <c r="R312" s="57">
        <f t="shared" si="155"/>
        <v>46184</v>
      </c>
      <c r="S312" s="13" t="s">
        <v>61</v>
      </c>
      <c r="T312" s="35">
        <v>46199</v>
      </c>
      <c r="U312" s="37">
        <v>46199</v>
      </c>
      <c r="V312" s="37">
        <f t="shared" si="197"/>
        <v>46213</v>
      </c>
      <c r="W312" s="59">
        <f t="shared" si="136"/>
        <v>29</v>
      </c>
      <c r="X312" s="59">
        <f t="shared" si="137"/>
        <v>15</v>
      </c>
      <c r="Y312" s="59">
        <f t="shared" si="138"/>
        <v>14</v>
      </c>
      <c r="Z312" s="39"/>
      <c r="AA312" s="4" t="s">
        <v>643</v>
      </c>
      <c r="AB312" s="35">
        <v>46199</v>
      </c>
      <c r="AC312" s="358" t="s">
        <v>765</v>
      </c>
      <c r="AD312" s="113">
        <v>7715</v>
      </c>
      <c r="AE312" s="13" t="s">
        <v>63</v>
      </c>
      <c r="AF312" s="35">
        <v>46199</v>
      </c>
      <c r="AG312" s="3" t="str">
        <f t="shared" si="198"/>
        <v>FOB</v>
      </c>
      <c r="AH312" s="358" t="s">
        <v>766</v>
      </c>
      <c r="AI312" s="36" t="e">
        <f>#REF!</f>
        <v>#REF!</v>
      </c>
      <c r="AJ312" s="36">
        <v>0</v>
      </c>
      <c r="AK312" s="142">
        <f t="shared" ref="AK312:AK317" si="202">AJ312/AC312</f>
        <v>0</v>
      </c>
      <c r="AL312" s="47"/>
      <c r="AM312" s="153">
        <v>46199</v>
      </c>
      <c r="AN312" s="63">
        <f t="shared" ref="AN312:AN317" si="203">AM312-AF312</f>
        <v>0</v>
      </c>
      <c r="AO312" s="34" t="s">
        <v>65</v>
      </c>
      <c r="AP312" s="64">
        <f t="shared" si="199"/>
        <v>46213</v>
      </c>
      <c r="AQ312" s="64">
        <f t="shared" ref="AQ312:AQ317" si="204">AM312</f>
        <v>46199</v>
      </c>
      <c r="AR312" s="65">
        <f t="shared" si="187"/>
        <v>29</v>
      </c>
      <c r="AS312" s="65">
        <f t="shared" si="188"/>
        <v>15</v>
      </c>
      <c r="AT312" s="157">
        <f t="shared" si="200"/>
        <v>14</v>
      </c>
      <c r="AU312" s="28"/>
      <c r="AV312" s="28"/>
      <c r="AW312" s="109" t="str">
        <f t="shared" ref="AW312:AW317" si="205">AC312</f>
        <v>37.946,18</v>
      </c>
      <c r="AX312" s="66">
        <f t="shared" ref="AX312:AX317" si="206">Z312</f>
        <v>0</v>
      </c>
      <c r="AY312" s="66"/>
      <c r="AZ312" s="66">
        <f t="shared" ref="AZ312:AZ317" si="207">AJ312</f>
        <v>0</v>
      </c>
      <c r="BA312" s="30"/>
    </row>
    <row r="313" spans="1:53" ht="21.6" customHeight="1" x14ac:dyDescent="0.3">
      <c r="A313" s="2" t="s">
        <v>767</v>
      </c>
      <c r="B313" s="3" t="s">
        <v>77</v>
      </c>
      <c r="C313" s="3" t="s">
        <v>78</v>
      </c>
      <c r="D313" s="3" t="s">
        <v>53</v>
      </c>
      <c r="E313" s="3">
        <v>15685</v>
      </c>
      <c r="F313" s="3" t="s">
        <v>768</v>
      </c>
      <c r="G313" s="144">
        <v>659</v>
      </c>
      <c r="H313" s="394">
        <v>46185</v>
      </c>
      <c r="I313" s="50">
        <v>46213</v>
      </c>
      <c r="J313" s="15">
        <f t="shared" si="194"/>
        <v>28</v>
      </c>
      <c r="K313" s="3" t="s">
        <v>55</v>
      </c>
      <c r="L313" s="3" t="s">
        <v>56</v>
      </c>
      <c r="M313" s="3" t="s">
        <v>208</v>
      </c>
      <c r="N313" s="3" t="s">
        <v>769</v>
      </c>
      <c r="O313" s="3" t="s">
        <v>59</v>
      </c>
      <c r="P313" s="8">
        <v>5573.38</v>
      </c>
      <c r="Q313" s="44" t="s">
        <v>100</v>
      </c>
      <c r="R313" s="57">
        <f t="shared" si="155"/>
        <v>46185</v>
      </c>
      <c r="S313" s="13" t="s">
        <v>61</v>
      </c>
      <c r="T313" s="35">
        <v>46202</v>
      </c>
      <c r="U313" s="37">
        <v>46205</v>
      </c>
      <c r="V313" s="37">
        <f t="shared" si="197"/>
        <v>46213</v>
      </c>
      <c r="W313" s="59">
        <f t="shared" si="136"/>
        <v>28</v>
      </c>
      <c r="X313" s="59">
        <f t="shared" si="137"/>
        <v>20</v>
      </c>
      <c r="Y313" s="59">
        <f t="shared" si="138"/>
        <v>8</v>
      </c>
      <c r="Z313" s="39"/>
      <c r="AA313" s="4" t="s">
        <v>643</v>
      </c>
      <c r="AB313" s="35">
        <v>46203</v>
      </c>
      <c r="AC313" s="13" t="s">
        <v>770</v>
      </c>
      <c r="AD313" s="13">
        <v>7739</v>
      </c>
      <c r="AE313" s="13" t="s">
        <v>63</v>
      </c>
      <c r="AF313" s="35">
        <v>46180</v>
      </c>
      <c r="AG313" s="3" t="str">
        <f t="shared" si="198"/>
        <v>FOB</v>
      </c>
      <c r="AH313" s="13" t="s">
        <v>771</v>
      </c>
      <c r="AI313" s="36" t="e">
        <f>#REF!</f>
        <v>#REF!</v>
      </c>
      <c r="AJ313" s="36">
        <v>0</v>
      </c>
      <c r="AK313" s="142">
        <f t="shared" si="202"/>
        <v>0</v>
      </c>
      <c r="AL313" s="47"/>
      <c r="AM313" s="153">
        <v>46206</v>
      </c>
      <c r="AN313" s="63">
        <f t="shared" si="203"/>
        <v>26</v>
      </c>
      <c r="AO313" s="34" t="s">
        <v>65</v>
      </c>
      <c r="AP313" s="64">
        <f t="shared" si="199"/>
        <v>46213</v>
      </c>
      <c r="AQ313" s="64">
        <f t="shared" si="204"/>
        <v>46206</v>
      </c>
      <c r="AR313" s="65">
        <f t="shared" si="187"/>
        <v>28</v>
      </c>
      <c r="AS313" s="65">
        <f t="shared" si="188"/>
        <v>21</v>
      </c>
      <c r="AT313" s="157">
        <f t="shared" si="200"/>
        <v>7</v>
      </c>
      <c r="AU313" s="28"/>
      <c r="AV313" s="28"/>
      <c r="AW313" s="109" t="str">
        <f t="shared" si="205"/>
        <v>5573,38</v>
      </c>
      <c r="AX313" s="66">
        <f t="shared" si="206"/>
        <v>0</v>
      </c>
      <c r="AY313" s="66"/>
      <c r="AZ313" s="66">
        <f t="shared" si="207"/>
        <v>0</v>
      </c>
      <c r="BA313" s="30"/>
    </row>
    <row r="314" spans="1:53" ht="21.6" customHeight="1" x14ac:dyDescent="0.3">
      <c r="A314" s="2" t="s">
        <v>76</v>
      </c>
      <c r="B314" s="3" t="s">
        <v>51</v>
      </c>
      <c r="C314" s="3" t="s">
        <v>52</v>
      </c>
      <c r="D314" s="3" t="s">
        <v>53</v>
      </c>
      <c r="E314" s="3">
        <v>3100041869</v>
      </c>
      <c r="F314" s="3" t="s">
        <v>772</v>
      </c>
      <c r="G314" s="144">
        <v>661</v>
      </c>
      <c r="H314" s="394">
        <v>46188</v>
      </c>
      <c r="I314" s="50">
        <v>46192</v>
      </c>
      <c r="J314" s="15">
        <f t="shared" si="194"/>
        <v>4</v>
      </c>
      <c r="K314" s="3" t="s">
        <v>55</v>
      </c>
      <c r="L314" s="3" t="s">
        <v>56</v>
      </c>
      <c r="M314" s="3" t="s">
        <v>57</v>
      </c>
      <c r="N314" s="3" t="s">
        <v>432</v>
      </c>
      <c r="O314" s="3" t="s">
        <v>59</v>
      </c>
      <c r="P314" s="8">
        <v>17679.939999999999</v>
      </c>
      <c r="Q314" s="44" t="s">
        <v>60</v>
      </c>
      <c r="R314" s="57">
        <f t="shared" si="155"/>
        <v>46188</v>
      </c>
      <c r="S314" s="13" t="s">
        <v>61</v>
      </c>
      <c r="T314" s="35">
        <v>46192</v>
      </c>
      <c r="U314" s="37">
        <v>46192</v>
      </c>
      <c r="V314" s="37">
        <f t="shared" si="197"/>
        <v>46192</v>
      </c>
      <c r="W314" s="59">
        <f t="shared" si="136"/>
        <v>4</v>
      </c>
      <c r="X314" s="59">
        <f t="shared" si="137"/>
        <v>4</v>
      </c>
      <c r="Y314" s="59">
        <f t="shared" si="138"/>
        <v>0</v>
      </c>
      <c r="Z314" s="39"/>
      <c r="AA314" s="4" t="s">
        <v>682</v>
      </c>
      <c r="AB314" s="35">
        <v>46192</v>
      </c>
      <c r="AC314" s="352">
        <v>17679.939999999999</v>
      </c>
      <c r="AD314" s="13">
        <v>7690</v>
      </c>
      <c r="AE314" s="13" t="s">
        <v>63</v>
      </c>
      <c r="AF314" s="35">
        <v>46195</v>
      </c>
      <c r="AG314" s="3" t="str">
        <f t="shared" si="198"/>
        <v>FOB</v>
      </c>
      <c r="AH314" s="13" t="s">
        <v>773</v>
      </c>
      <c r="AI314" s="36" t="e">
        <f>#REF!</f>
        <v>#REF!</v>
      </c>
      <c r="AJ314" s="36">
        <v>0</v>
      </c>
      <c r="AK314" s="142">
        <f t="shared" si="202"/>
        <v>0</v>
      </c>
      <c r="AL314" s="47"/>
      <c r="AM314" s="153">
        <v>46192</v>
      </c>
      <c r="AN314" s="63">
        <f t="shared" si="203"/>
        <v>-3</v>
      </c>
      <c r="AO314" s="34" t="s">
        <v>65</v>
      </c>
      <c r="AP314" s="64">
        <f t="shared" si="199"/>
        <v>46192</v>
      </c>
      <c r="AQ314" s="64">
        <f t="shared" si="204"/>
        <v>46192</v>
      </c>
      <c r="AR314" s="65">
        <f t="shared" si="187"/>
        <v>4</v>
      </c>
      <c r="AS314" s="65">
        <f t="shared" si="188"/>
        <v>4</v>
      </c>
      <c r="AT314" s="157">
        <f t="shared" si="200"/>
        <v>0</v>
      </c>
      <c r="AU314" s="28"/>
      <c r="AV314" s="28"/>
      <c r="AW314" s="109">
        <f t="shared" si="205"/>
        <v>17679.939999999999</v>
      </c>
      <c r="AX314" s="66">
        <f t="shared" si="206"/>
        <v>0</v>
      </c>
      <c r="AY314" s="66"/>
      <c r="AZ314" s="66">
        <f t="shared" si="207"/>
        <v>0</v>
      </c>
      <c r="BA314" s="30"/>
    </row>
    <row r="315" spans="1:53" ht="21.6" customHeight="1" x14ac:dyDescent="0.3">
      <c r="A315" s="2" t="s">
        <v>301</v>
      </c>
      <c r="B315" s="3" t="s">
        <v>51</v>
      </c>
      <c r="C315" s="3" t="s">
        <v>613</v>
      </c>
      <c r="D315" s="3" t="s">
        <v>53</v>
      </c>
      <c r="E315" s="3">
        <v>5000004577</v>
      </c>
      <c r="F315" s="3" t="s">
        <v>774</v>
      </c>
      <c r="G315" s="144">
        <v>662</v>
      </c>
      <c r="H315" s="394">
        <v>46188</v>
      </c>
      <c r="I315" s="50">
        <v>46192</v>
      </c>
      <c r="J315" s="15">
        <f t="shared" si="194"/>
        <v>4</v>
      </c>
      <c r="K315" s="3" t="s">
        <v>55</v>
      </c>
      <c r="L315" s="3" t="s">
        <v>56</v>
      </c>
      <c r="M315" s="3" t="s">
        <v>57</v>
      </c>
      <c r="N315" s="3" t="s">
        <v>775</v>
      </c>
      <c r="O315" s="3" t="s">
        <v>59</v>
      </c>
      <c r="P315" s="8">
        <v>1157</v>
      </c>
      <c r="Q315" s="44" t="s">
        <v>60</v>
      </c>
      <c r="R315" s="57">
        <f t="shared" si="155"/>
        <v>46188</v>
      </c>
      <c r="S315" s="13" t="s">
        <v>61</v>
      </c>
      <c r="T315" s="35">
        <v>46192</v>
      </c>
      <c r="U315" s="37">
        <v>46190</v>
      </c>
      <c r="V315" s="37">
        <f t="shared" si="197"/>
        <v>46192</v>
      </c>
      <c r="W315" s="59">
        <f t="shared" si="136"/>
        <v>4</v>
      </c>
      <c r="X315" s="59">
        <f t="shared" si="137"/>
        <v>2</v>
      </c>
      <c r="Y315" s="59">
        <f t="shared" si="138"/>
        <v>2</v>
      </c>
      <c r="Z315" s="39"/>
      <c r="AA315" s="4" t="s">
        <v>682</v>
      </c>
      <c r="AB315" s="35">
        <v>46196</v>
      </c>
      <c r="AC315" s="352">
        <v>1157</v>
      </c>
      <c r="AD315" s="13">
        <v>26</v>
      </c>
      <c r="AE315" s="13" t="s">
        <v>63</v>
      </c>
      <c r="AF315" s="35">
        <v>46196</v>
      </c>
      <c r="AG315" s="3" t="str">
        <f t="shared" si="198"/>
        <v>FOB</v>
      </c>
      <c r="AH315" s="13" t="s">
        <v>301</v>
      </c>
      <c r="AI315" s="36" t="e">
        <f>#REF!</f>
        <v>#REF!</v>
      </c>
      <c r="AJ315" s="36">
        <v>0</v>
      </c>
      <c r="AK315" s="142">
        <f t="shared" si="202"/>
        <v>0</v>
      </c>
      <c r="AL315" s="47"/>
      <c r="AM315" s="153">
        <v>46190</v>
      </c>
      <c r="AN315" s="63">
        <f t="shared" si="203"/>
        <v>-6</v>
      </c>
      <c r="AO315" s="34" t="s">
        <v>65</v>
      </c>
      <c r="AP315" s="64">
        <f t="shared" si="199"/>
        <v>46192</v>
      </c>
      <c r="AQ315" s="64">
        <f t="shared" si="204"/>
        <v>46190</v>
      </c>
      <c r="AR315" s="65">
        <f t="shared" si="187"/>
        <v>4</v>
      </c>
      <c r="AS315" s="65">
        <f t="shared" si="188"/>
        <v>2</v>
      </c>
      <c r="AT315" s="157">
        <f t="shared" si="200"/>
        <v>2</v>
      </c>
      <c r="AU315" s="28"/>
      <c r="AV315" s="28"/>
      <c r="AW315" s="109">
        <f t="shared" si="205"/>
        <v>1157</v>
      </c>
      <c r="AX315" s="66">
        <f t="shared" si="206"/>
        <v>0</v>
      </c>
      <c r="AY315" s="66"/>
      <c r="AZ315" s="66">
        <f t="shared" si="207"/>
        <v>0</v>
      </c>
      <c r="BA315" s="30"/>
    </row>
    <row r="316" spans="1:53" ht="21.6" customHeight="1" x14ac:dyDescent="0.3">
      <c r="A316" s="2" t="s">
        <v>76</v>
      </c>
      <c r="B316" s="3" t="s">
        <v>51</v>
      </c>
      <c r="C316" s="3" t="s">
        <v>613</v>
      </c>
      <c r="D316" s="3" t="s">
        <v>53</v>
      </c>
      <c r="E316" s="3">
        <v>3100042114</v>
      </c>
      <c r="F316" s="3" t="s">
        <v>776</v>
      </c>
      <c r="G316" s="144">
        <v>663</v>
      </c>
      <c r="H316" s="394">
        <v>46188</v>
      </c>
      <c r="I316" s="50">
        <v>46209</v>
      </c>
      <c r="J316" s="15">
        <f t="shared" si="194"/>
        <v>21</v>
      </c>
      <c r="K316" s="3" t="s">
        <v>55</v>
      </c>
      <c r="L316" s="3" t="s">
        <v>56</v>
      </c>
      <c r="M316" s="3" t="s">
        <v>57</v>
      </c>
      <c r="N316" s="3" t="s">
        <v>432</v>
      </c>
      <c r="O316" s="3" t="s">
        <v>59</v>
      </c>
      <c r="P316" s="8">
        <v>16330.81</v>
      </c>
      <c r="Q316" s="44" t="s">
        <v>60</v>
      </c>
      <c r="R316" s="57">
        <f t="shared" si="155"/>
        <v>46188</v>
      </c>
      <c r="S316" s="13" t="s">
        <v>61</v>
      </c>
      <c r="T316" s="35">
        <v>46199</v>
      </c>
      <c r="U316" s="37">
        <v>46191</v>
      </c>
      <c r="V316" s="37">
        <f t="shared" si="197"/>
        <v>46209</v>
      </c>
      <c r="W316" s="59">
        <f t="shared" si="136"/>
        <v>21</v>
      </c>
      <c r="X316" s="59">
        <f t="shared" si="137"/>
        <v>3</v>
      </c>
      <c r="Y316" s="59">
        <f t="shared" si="138"/>
        <v>18</v>
      </c>
      <c r="Z316" s="39"/>
      <c r="AA316" s="4" t="s">
        <v>643</v>
      </c>
      <c r="AB316" s="35">
        <v>46191</v>
      </c>
      <c r="AC316" s="13">
        <v>16330.81</v>
      </c>
      <c r="AD316" s="13">
        <v>23</v>
      </c>
      <c r="AE316" s="13" t="s">
        <v>63</v>
      </c>
      <c r="AF316" s="35"/>
      <c r="AG316" s="3" t="str">
        <f t="shared" si="198"/>
        <v>FOB</v>
      </c>
      <c r="AH316" s="13"/>
      <c r="AI316" s="36" t="e">
        <f>#REF!</f>
        <v>#REF!</v>
      </c>
      <c r="AJ316" s="36">
        <v>0</v>
      </c>
      <c r="AK316" s="142">
        <f t="shared" si="202"/>
        <v>0</v>
      </c>
      <c r="AL316" s="47"/>
      <c r="AM316" s="153">
        <v>46191</v>
      </c>
      <c r="AN316" s="63">
        <f t="shared" si="203"/>
        <v>46191</v>
      </c>
      <c r="AO316" s="34" t="s">
        <v>65</v>
      </c>
      <c r="AP316" s="64">
        <f t="shared" si="199"/>
        <v>46209</v>
      </c>
      <c r="AQ316" s="64">
        <f t="shared" si="204"/>
        <v>46191</v>
      </c>
      <c r="AR316" s="65">
        <f t="shared" si="187"/>
        <v>21</v>
      </c>
      <c r="AS316" s="65">
        <f t="shared" si="188"/>
        <v>3</v>
      </c>
      <c r="AT316" s="157">
        <f t="shared" si="200"/>
        <v>18</v>
      </c>
      <c r="AU316" s="28"/>
      <c r="AV316" s="28"/>
      <c r="AW316" s="109">
        <f t="shared" si="205"/>
        <v>16330.81</v>
      </c>
      <c r="AX316" s="66">
        <f t="shared" si="206"/>
        <v>0</v>
      </c>
      <c r="AY316" s="66"/>
      <c r="AZ316" s="66">
        <f t="shared" si="207"/>
        <v>0</v>
      </c>
      <c r="BA316" s="30"/>
    </row>
    <row r="317" spans="1:53" ht="21.6" customHeight="1" x14ac:dyDescent="0.3">
      <c r="A317" s="2" t="s">
        <v>777</v>
      </c>
      <c r="B317" s="3" t="s">
        <v>163</v>
      </c>
      <c r="C317" s="3" t="s">
        <v>78</v>
      </c>
      <c r="D317" s="3"/>
      <c r="E317" s="3">
        <v>4501941140</v>
      </c>
      <c r="F317" s="3" t="s">
        <v>778</v>
      </c>
      <c r="G317" s="144">
        <v>664</v>
      </c>
      <c r="H317" s="394">
        <v>46188</v>
      </c>
      <c r="I317" s="50">
        <v>46225</v>
      </c>
      <c r="J317" s="15">
        <f t="shared" si="194"/>
        <v>37</v>
      </c>
      <c r="K317" s="3" t="s">
        <v>70</v>
      </c>
      <c r="L317" s="3" t="s">
        <v>56</v>
      </c>
      <c r="M317" s="3" t="s">
        <v>165</v>
      </c>
      <c r="N317" s="332" t="s">
        <v>779</v>
      </c>
      <c r="O317" s="3" t="s">
        <v>59</v>
      </c>
      <c r="P317" s="8">
        <v>3791.58</v>
      </c>
      <c r="Q317" s="44" t="s">
        <v>100</v>
      </c>
      <c r="R317" s="57">
        <f t="shared" si="155"/>
        <v>46188</v>
      </c>
      <c r="S317" s="13" t="s">
        <v>61</v>
      </c>
      <c r="T317" s="35">
        <v>46199</v>
      </c>
      <c r="U317" s="37">
        <v>46206</v>
      </c>
      <c r="V317" s="37">
        <f t="shared" si="197"/>
        <v>46225</v>
      </c>
      <c r="W317" s="59">
        <f t="shared" si="136"/>
        <v>37</v>
      </c>
      <c r="X317" s="59">
        <f t="shared" si="137"/>
        <v>18</v>
      </c>
      <c r="Y317" s="59">
        <f t="shared" si="138"/>
        <v>19</v>
      </c>
      <c r="Z317" s="39"/>
      <c r="AA317" s="4" t="s">
        <v>643</v>
      </c>
      <c r="AB317" s="35">
        <v>46203</v>
      </c>
      <c r="AC317" s="13" t="s">
        <v>780</v>
      </c>
      <c r="AD317" s="13">
        <v>7733</v>
      </c>
      <c r="AE317" s="13" t="s">
        <v>63</v>
      </c>
      <c r="AF317" s="35">
        <v>46180</v>
      </c>
      <c r="AG317" s="3" t="str">
        <f t="shared" si="198"/>
        <v>CIF</v>
      </c>
      <c r="AH317" s="13" t="s">
        <v>102</v>
      </c>
      <c r="AI317" s="36" t="e">
        <f>#REF!</f>
        <v>#REF!</v>
      </c>
      <c r="AJ317" s="36">
        <v>0</v>
      </c>
      <c r="AK317" s="142">
        <f t="shared" si="202"/>
        <v>0</v>
      </c>
      <c r="AL317" s="47" t="s">
        <v>781</v>
      </c>
      <c r="AM317" s="167" t="s">
        <v>737</v>
      </c>
      <c r="AN317" s="63">
        <f t="shared" si="203"/>
        <v>36</v>
      </c>
      <c r="AO317" s="34" t="s">
        <v>65</v>
      </c>
      <c r="AP317" s="64">
        <f t="shared" si="199"/>
        <v>46225</v>
      </c>
      <c r="AQ317" s="64" t="str">
        <f t="shared" si="204"/>
        <v>13/07/2026</v>
      </c>
      <c r="AR317" s="65">
        <f t="shared" si="187"/>
        <v>37</v>
      </c>
      <c r="AS317" s="65">
        <f t="shared" si="188"/>
        <v>28</v>
      </c>
      <c r="AT317" s="157">
        <f t="shared" si="200"/>
        <v>9</v>
      </c>
      <c r="AU317" s="28"/>
      <c r="AV317" s="28"/>
      <c r="AW317" s="109" t="str">
        <f t="shared" si="205"/>
        <v>3791,58</v>
      </c>
      <c r="AX317" s="66">
        <f t="shared" si="206"/>
        <v>0</v>
      </c>
      <c r="AY317" s="66"/>
      <c r="AZ317" s="66">
        <f t="shared" si="207"/>
        <v>0</v>
      </c>
      <c r="BA317" s="30"/>
    </row>
    <row r="318" spans="1:53" ht="21.6" customHeight="1" x14ac:dyDescent="0.3">
      <c r="A318" s="2" t="s">
        <v>76</v>
      </c>
      <c r="B318" s="3" t="s">
        <v>51</v>
      </c>
      <c r="C318" s="3" t="s">
        <v>78</v>
      </c>
      <c r="D318" s="3" t="s">
        <v>53</v>
      </c>
      <c r="E318" s="3">
        <v>3100042114</v>
      </c>
      <c r="F318" s="3" t="s">
        <v>776</v>
      </c>
      <c r="G318" s="144">
        <v>666</v>
      </c>
      <c r="H318" s="394">
        <v>46188</v>
      </c>
      <c r="I318" s="50">
        <v>46234</v>
      </c>
      <c r="J318" s="15">
        <f t="shared" si="194"/>
        <v>46</v>
      </c>
      <c r="K318" s="3" t="s">
        <v>55</v>
      </c>
      <c r="L318" s="3" t="s">
        <v>56</v>
      </c>
      <c r="M318" s="3" t="s">
        <v>57</v>
      </c>
      <c r="N318" s="332" t="s">
        <v>432</v>
      </c>
      <c r="O318" s="3" t="s">
        <v>59</v>
      </c>
      <c r="P318" s="8">
        <v>30362</v>
      </c>
      <c r="Q318" s="44" t="s">
        <v>60</v>
      </c>
      <c r="R318" s="57">
        <f t="shared" si="155"/>
        <v>46188</v>
      </c>
      <c r="S318" s="13" t="s">
        <v>61</v>
      </c>
      <c r="T318" s="35">
        <v>46233</v>
      </c>
      <c r="U318" s="37">
        <v>46234</v>
      </c>
      <c r="V318" s="37">
        <f t="shared" si="197"/>
        <v>46234</v>
      </c>
      <c r="W318" s="59">
        <f t="shared" si="136"/>
        <v>46</v>
      </c>
      <c r="X318" s="59">
        <f t="shared" si="137"/>
        <v>46</v>
      </c>
      <c r="Y318" s="59">
        <f t="shared" si="138"/>
        <v>0</v>
      </c>
      <c r="Z318" s="39"/>
      <c r="AA318" s="4" t="s">
        <v>702</v>
      </c>
      <c r="AB318" s="410">
        <v>46234</v>
      </c>
      <c r="AC318" s="13" t="s">
        <v>782</v>
      </c>
      <c r="AD318" s="13">
        <v>7821</v>
      </c>
      <c r="AE318" s="13"/>
      <c r="AF318" s="35" t="s">
        <v>783</v>
      </c>
      <c r="AG318" s="3" t="str">
        <f t="shared" si="198"/>
        <v>FOB</v>
      </c>
      <c r="AH318" s="13"/>
      <c r="AI318" s="36"/>
      <c r="AJ318" s="36"/>
      <c r="AK318" s="142"/>
      <c r="AL318" s="47"/>
      <c r="AM318" s="153">
        <v>46234</v>
      </c>
      <c r="AN318" s="63"/>
      <c r="AO318" s="34" t="s">
        <v>65</v>
      </c>
      <c r="AP318" s="64">
        <f t="shared" si="199"/>
        <v>46234</v>
      </c>
      <c r="AQ318" s="64"/>
      <c r="AR318" s="65">
        <f t="shared" si="187"/>
        <v>46</v>
      </c>
      <c r="AS318" s="65">
        <f t="shared" si="188"/>
        <v>46</v>
      </c>
      <c r="AT318" s="157">
        <f t="shared" si="200"/>
        <v>0</v>
      </c>
      <c r="AU318" s="28"/>
      <c r="AV318" s="28"/>
      <c r="AW318" s="109"/>
      <c r="AX318" s="66"/>
      <c r="AY318" s="66"/>
      <c r="AZ318" s="66"/>
      <c r="BA318" s="30"/>
    </row>
    <row r="319" spans="1:53" ht="21.6" customHeight="1" x14ac:dyDescent="0.3">
      <c r="A319" s="2" t="s">
        <v>401</v>
      </c>
      <c r="B319" s="3" t="s">
        <v>91</v>
      </c>
      <c r="C319" s="3" t="s">
        <v>78</v>
      </c>
      <c r="D319" s="3"/>
      <c r="E319" s="3">
        <v>1200397979</v>
      </c>
      <c r="F319" s="3" t="s">
        <v>784</v>
      </c>
      <c r="G319" s="144">
        <v>668</v>
      </c>
      <c r="H319" s="394">
        <v>46188</v>
      </c>
      <c r="I319" s="50">
        <v>46218</v>
      </c>
      <c r="J319" s="15">
        <f t="shared" si="194"/>
        <v>30</v>
      </c>
      <c r="K319" s="3" t="s">
        <v>55</v>
      </c>
      <c r="L319" s="3" t="s">
        <v>56</v>
      </c>
      <c r="M319" s="3" t="s">
        <v>92</v>
      </c>
      <c r="N319" s="3" t="s">
        <v>252</v>
      </c>
      <c r="O319" s="3" t="s">
        <v>59</v>
      </c>
      <c r="P319" s="8">
        <v>4157.3</v>
      </c>
      <c r="Q319" s="44" t="s">
        <v>100</v>
      </c>
      <c r="R319" s="57">
        <f t="shared" si="155"/>
        <v>46188</v>
      </c>
      <c r="S319" s="13" t="s">
        <v>61</v>
      </c>
      <c r="T319" s="35">
        <v>46198</v>
      </c>
      <c r="U319" s="37">
        <v>46198</v>
      </c>
      <c r="V319" s="37">
        <f t="shared" si="197"/>
        <v>46218</v>
      </c>
      <c r="W319" s="59">
        <f t="shared" si="136"/>
        <v>30</v>
      </c>
      <c r="X319" s="59">
        <f t="shared" si="137"/>
        <v>10</v>
      </c>
      <c r="Y319" s="59">
        <f t="shared" si="138"/>
        <v>20</v>
      </c>
      <c r="Z319" s="39"/>
      <c r="AA319" s="4" t="s">
        <v>643</v>
      </c>
      <c r="AB319" s="410">
        <v>46217</v>
      </c>
      <c r="AC319" s="13" t="s">
        <v>785</v>
      </c>
      <c r="AD319" s="13">
        <v>7764</v>
      </c>
      <c r="AE319" s="13" t="s">
        <v>63</v>
      </c>
      <c r="AF319" s="35" t="s">
        <v>781</v>
      </c>
      <c r="AG319" s="3" t="str">
        <f t="shared" si="198"/>
        <v>FOB</v>
      </c>
      <c r="AH319" s="13" t="s">
        <v>786</v>
      </c>
      <c r="AI319" s="36" t="e">
        <f>#REF!</f>
        <v>#REF!</v>
      </c>
      <c r="AJ319" s="36">
        <v>0</v>
      </c>
      <c r="AK319" s="142">
        <f t="shared" ref="AK319:AK350" si="208">AJ319/AC319</f>
        <v>0</v>
      </c>
      <c r="AL319" s="47"/>
      <c r="AM319" s="153">
        <v>46198</v>
      </c>
      <c r="AN319" s="63">
        <f t="shared" ref="AN319:AN382" si="209">AM319-AF319</f>
        <v>-19</v>
      </c>
      <c r="AO319" s="34" t="s">
        <v>65</v>
      </c>
      <c r="AP319" s="64">
        <f t="shared" si="199"/>
        <v>46218</v>
      </c>
      <c r="AQ319" s="64">
        <f t="shared" ref="AQ319:AQ381" si="210">AM319</f>
        <v>46198</v>
      </c>
      <c r="AR319" s="65">
        <f t="shared" si="187"/>
        <v>30</v>
      </c>
      <c r="AS319" s="65">
        <f t="shared" si="188"/>
        <v>10</v>
      </c>
      <c r="AT319" s="157">
        <f t="shared" si="200"/>
        <v>20</v>
      </c>
      <c r="AU319" s="28"/>
      <c r="AV319" s="28"/>
      <c r="AW319" s="109" t="str">
        <f t="shared" ref="AW319:AW381" si="211">AC319</f>
        <v>4157,30</v>
      </c>
      <c r="AX319" s="66">
        <f t="shared" ref="AX319:AX381" si="212">Z319</f>
        <v>0</v>
      </c>
      <c r="AY319" s="66"/>
      <c r="AZ319" s="66">
        <f t="shared" ref="AZ319:AZ381" si="213">AJ319</f>
        <v>0</v>
      </c>
      <c r="BA319" s="30"/>
    </row>
    <row r="320" spans="1:53" ht="21.6" customHeight="1" x14ac:dyDescent="0.3">
      <c r="A320" s="2" t="s">
        <v>192</v>
      </c>
      <c r="B320" s="3" t="s">
        <v>171</v>
      </c>
      <c r="C320" s="3" t="s">
        <v>78</v>
      </c>
      <c r="D320" s="3"/>
      <c r="E320" s="3">
        <v>4500090370</v>
      </c>
      <c r="F320" s="3" t="s">
        <v>787</v>
      </c>
      <c r="G320" s="144">
        <v>667</v>
      </c>
      <c r="H320" s="394">
        <v>46189</v>
      </c>
      <c r="I320" s="50">
        <v>46220</v>
      </c>
      <c r="J320" s="15">
        <f t="shared" si="194"/>
        <v>31</v>
      </c>
      <c r="K320" s="3" t="s">
        <v>55</v>
      </c>
      <c r="L320" s="3" t="s">
        <v>56</v>
      </c>
      <c r="M320" s="3" t="s">
        <v>186</v>
      </c>
      <c r="N320" s="332" t="s">
        <v>710</v>
      </c>
      <c r="O320" s="3" t="s">
        <v>59</v>
      </c>
      <c r="P320" s="8">
        <v>28338.59</v>
      </c>
      <c r="Q320" s="44" t="s">
        <v>60</v>
      </c>
      <c r="R320" s="57">
        <f t="shared" si="155"/>
        <v>46189</v>
      </c>
      <c r="S320" s="13" t="s">
        <v>61</v>
      </c>
      <c r="T320" s="35">
        <v>46202</v>
      </c>
      <c r="U320" s="37">
        <v>46206</v>
      </c>
      <c r="V320" s="37">
        <f t="shared" si="197"/>
        <v>46220</v>
      </c>
      <c r="W320" s="59">
        <f t="shared" si="136"/>
        <v>31</v>
      </c>
      <c r="X320" s="59">
        <f t="shared" si="137"/>
        <v>17</v>
      </c>
      <c r="Y320" s="59">
        <f t="shared" si="138"/>
        <v>14</v>
      </c>
      <c r="Z320" s="39"/>
      <c r="AA320" s="4" t="s">
        <v>643</v>
      </c>
      <c r="AB320" s="35">
        <v>46203</v>
      </c>
      <c r="AC320" s="358" t="s">
        <v>788</v>
      </c>
      <c r="AD320" s="13">
        <v>7742</v>
      </c>
      <c r="AE320" s="13" t="s">
        <v>677</v>
      </c>
      <c r="AF320" s="35" t="s">
        <v>678</v>
      </c>
      <c r="AG320" s="3" t="str">
        <f t="shared" si="198"/>
        <v>FOB</v>
      </c>
      <c r="AH320" s="13" t="s">
        <v>789</v>
      </c>
      <c r="AI320" s="36" t="e">
        <f>#REF!</f>
        <v>#REF!</v>
      </c>
      <c r="AJ320" s="36">
        <v>0</v>
      </c>
      <c r="AK320" s="142">
        <f t="shared" si="208"/>
        <v>0</v>
      </c>
      <c r="AL320" s="47" t="s">
        <v>790</v>
      </c>
      <c r="AM320" s="153">
        <v>46206</v>
      </c>
      <c r="AN320" s="63">
        <f t="shared" si="209"/>
        <v>-12</v>
      </c>
      <c r="AO320" s="34" t="s">
        <v>65</v>
      </c>
      <c r="AP320" s="64">
        <f t="shared" si="199"/>
        <v>46220</v>
      </c>
      <c r="AQ320" s="64">
        <f t="shared" si="210"/>
        <v>46206</v>
      </c>
      <c r="AR320" s="65">
        <f t="shared" si="187"/>
        <v>31</v>
      </c>
      <c r="AS320" s="65">
        <f t="shared" si="188"/>
        <v>17</v>
      </c>
      <c r="AT320" s="157">
        <f t="shared" si="200"/>
        <v>14</v>
      </c>
      <c r="AU320" s="28"/>
      <c r="AV320" s="28"/>
      <c r="AW320" s="109" t="str">
        <f t="shared" si="211"/>
        <v>31.476,70</v>
      </c>
      <c r="AX320" s="66">
        <f t="shared" si="212"/>
        <v>0</v>
      </c>
      <c r="AY320" s="66"/>
      <c r="AZ320" s="66">
        <f t="shared" si="213"/>
        <v>0</v>
      </c>
      <c r="BA320" s="30"/>
    </row>
    <row r="321" spans="1:53" ht="21.6" customHeight="1" x14ac:dyDescent="0.3">
      <c r="A321" s="2" t="s">
        <v>791</v>
      </c>
      <c r="B321" s="3" t="s">
        <v>96</v>
      </c>
      <c r="C321" s="3" t="s">
        <v>78</v>
      </c>
      <c r="D321" s="3"/>
      <c r="E321" s="3">
        <v>51269</v>
      </c>
      <c r="F321" s="3" t="s">
        <v>792</v>
      </c>
      <c r="G321" s="144">
        <v>670</v>
      </c>
      <c r="H321" s="394">
        <v>46189</v>
      </c>
      <c r="I321" s="50">
        <v>46219</v>
      </c>
      <c r="J321" s="15">
        <f t="shared" si="194"/>
        <v>30</v>
      </c>
      <c r="K321" s="3" t="s">
        <v>55</v>
      </c>
      <c r="L321" s="3" t="s">
        <v>56</v>
      </c>
      <c r="M321" s="3" t="s">
        <v>255</v>
      </c>
      <c r="N321" s="3" t="s">
        <v>793</v>
      </c>
      <c r="O321" s="3" t="s">
        <v>59</v>
      </c>
      <c r="P321" s="8">
        <v>6881.71</v>
      </c>
      <c r="Q321" s="44" t="s">
        <v>60</v>
      </c>
      <c r="R321" s="57">
        <f t="shared" si="155"/>
        <v>46189</v>
      </c>
      <c r="S321" s="13" t="s">
        <v>61</v>
      </c>
      <c r="T321" s="35">
        <v>46203</v>
      </c>
      <c r="U321" s="37">
        <v>46206</v>
      </c>
      <c r="V321" s="37">
        <f t="shared" si="197"/>
        <v>46219</v>
      </c>
      <c r="W321" s="59">
        <f t="shared" ref="W321:W383" si="214">V321-R321</f>
        <v>30</v>
      </c>
      <c r="X321" s="59">
        <f t="shared" ref="X321:X383" si="215">U321-R321</f>
        <v>17</v>
      </c>
      <c r="Y321" s="59">
        <f t="shared" ref="Y321:Y383" si="216">W321-X321</f>
        <v>13</v>
      </c>
      <c r="Z321" s="39"/>
      <c r="AA321" s="4" t="s">
        <v>643</v>
      </c>
      <c r="AB321" s="35">
        <v>46203</v>
      </c>
      <c r="AC321" s="13" t="s">
        <v>794</v>
      </c>
      <c r="AD321" s="13">
        <v>7740</v>
      </c>
      <c r="AE321" s="13" t="s">
        <v>63</v>
      </c>
      <c r="AF321" s="35">
        <v>46210</v>
      </c>
      <c r="AG321" s="3" t="str">
        <f t="shared" si="198"/>
        <v>FOB</v>
      </c>
      <c r="AH321" s="13" t="s">
        <v>795</v>
      </c>
      <c r="AI321" s="36" t="e">
        <f>#REF!</f>
        <v>#REF!</v>
      </c>
      <c r="AJ321" s="36">
        <v>0</v>
      </c>
      <c r="AK321" s="142">
        <f t="shared" si="208"/>
        <v>0</v>
      </c>
      <c r="AL321" s="47"/>
      <c r="AM321" s="153">
        <v>46206</v>
      </c>
      <c r="AN321" s="63">
        <f t="shared" si="209"/>
        <v>-4</v>
      </c>
      <c r="AO321" s="34" t="s">
        <v>65</v>
      </c>
      <c r="AP321" s="64">
        <f t="shared" si="199"/>
        <v>46219</v>
      </c>
      <c r="AQ321" s="64">
        <f t="shared" si="210"/>
        <v>46206</v>
      </c>
      <c r="AR321" s="65">
        <f t="shared" si="187"/>
        <v>30</v>
      </c>
      <c r="AS321" s="65">
        <f t="shared" si="188"/>
        <v>17</v>
      </c>
      <c r="AT321" s="157">
        <f t="shared" si="200"/>
        <v>13</v>
      </c>
      <c r="AU321" s="28"/>
      <c r="AV321" s="28"/>
      <c r="AW321" s="109" t="str">
        <f t="shared" si="211"/>
        <v>6881,71</v>
      </c>
      <c r="AX321" s="66">
        <f t="shared" si="212"/>
        <v>0</v>
      </c>
      <c r="AY321" s="66"/>
      <c r="AZ321" s="66">
        <f t="shared" si="213"/>
        <v>0</v>
      </c>
      <c r="BA321" s="30"/>
    </row>
    <row r="322" spans="1:53" ht="21.6" customHeight="1" x14ac:dyDescent="0.3">
      <c r="A322" s="2" t="s">
        <v>476</v>
      </c>
      <c r="B322" s="3" t="s">
        <v>51</v>
      </c>
      <c r="C322" s="3" t="s">
        <v>78</v>
      </c>
      <c r="D322" s="3" t="s">
        <v>53</v>
      </c>
      <c r="E322" s="3">
        <v>1422</v>
      </c>
      <c r="F322" s="3" t="s">
        <v>796</v>
      </c>
      <c r="G322" s="144">
        <v>671</v>
      </c>
      <c r="H322" s="394">
        <v>46189</v>
      </c>
      <c r="I322" s="50">
        <v>46205</v>
      </c>
      <c r="J322" s="15">
        <f t="shared" si="194"/>
        <v>16</v>
      </c>
      <c r="K322" s="3" t="s">
        <v>70</v>
      </c>
      <c r="L322" s="3" t="s">
        <v>56</v>
      </c>
      <c r="M322" s="3" t="s">
        <v>57</v>
      </c>
      <c r="N322" s="3" t="s">
        <v>315</v>
      </c>
      <c r="O322" s="3" t="s">
        <v>59</v>
      </c>
      <c r="P322" s="8">
        <v>5400</v>
      </c>
      <c r="Q322" s="44" t="s">
        <v>100</v>
      </c>
      <c r="R322" s="57">
        <f t="shared" si="155"/>
        <v>46189</v>
      </c>
      <c r="S322" s="13" t="s">
        <v>61</v>
      </c>
      <c r="T322" s="35">
        <v>46199</v>
      </c>
      <c r="U322" s="37">
        <v>46202</v>
      </c>
      <c r="V322" s="37">
        <f t="shared" si="197"/>
        <v>46205</v>
      </c>
      <c r="W322" s="59">
        <f t="shared" si="214"/>
        <v>16</v>
      </c>
      <c r="X322" s="59">
        <f t="shared" si="215"/>
        <v>13</v>
      </c>
      <c r="Y322" s="59">
        <f t="shared" si="216"/>
        <v>3</v>
      </c>
      <c r="Z322" s="39"/>
      <c r="AA322" s="4" t="s">
        <v>643</v>
      </c>
      <c r="AB322" s="35">
        <v>46202</v>
      </c>
      <c r="AC322" s="13" t="s">
        <v>797</v>
      </c>
      <c r="AD322" s="13">
        <v>7723</v>
      </c>
      <c r="AE322" s="13" t="s">
        <v>677</v>
      </c>
      <c r="AF322" s="35">
        <v>46204</v>
      </c>
      <c r="AG322" s="3" t="str">
        <f t="shared" si="198"/>
        <v>CIF</v>
      </c>
      <c r="AH322" s="13" t="s">
        <v>707</v>
      </c>
      <c r="AI322" s="36" t="e">
        <f>#REF!</f>
        <v>#REF!</v>
      </c>
      <c r="AJ322" s="36">
        <v>0</v>
      </c>
      <c r="AK322" s="142">
        <f t="shared" si="208"/>
        <v>0</v>
      </c>
      <c r="AL322" s="47"/>
      <c r="AM322" s="344">
        <v>46206</v>
      </c>
      <c r="AN322" s="63">
        <f t="shared" si="209"/>
        <v>2</v>
      </c>
      <c r="AO322" s="34" t="s">
        <v>103</v>
      </c>
      <c r="AP322" s="64">
        <f t="shared" si="199"/>
        <v>46205</v>
      </c>
      <c r="AQ322" s="64">
        <f t="shared" si="210"/>
        <v>46206</v>
      </c>
      <c r="AR322" s="65">
        <f t="shared" si="187"/>
        <v>16</v>
      </c>
      <c r="AS322" s="65">
        <f t="shared" si="188"/>
        <v>17</v>
      </c>
      <c r="AT322" s="157">
        <f t="shared" si="200"/>
        <v>-1</v>
      </c>
      <c r="AU322" s="28" t="s">
        <v>652</v>
      </c>
      <c r="AV322" s="28" t="s">
        <v>116</v>
      </c>
      <c r="AW322" s="109" t="str">
        <f t="shared" si="211"/>
        <v>5400,00</v>
      </c>
      <c r="AX322" s="66">
        <f t="shared" si="212"/>
        <v>0</v>
      </c>
      <c r="AY322" s="66"/>
      <c r="AZ322" s="66">
        <f t="shared" si="213"/>
        <v>0</v>
      </c>
      <c r="BA322" s="30"/>
    </row>
    <row r="323" spans="1:53" ht="21.6" customHeight="1" x14ac:dyDescent="0.3">
      <c r="A323" s="2" t="s">
        <v>162</v>
      </c>
      <c r="B323" s="3" t="s">
        <v>163</v>
      </c>
      <c r="C323" s="3" t="s">
        <v>78</v>
      </c>
      <c r="D323" s="3"/>
      <c r="E323" s="3">
        <v>5700024672</v>
      </c>
      <c r="F323" s="3" t="s">
        <v>798</v>
      </c>
      <c r="G323" s="144">
        <v>672</v>
      </c>
      <c r="H323" s="394">
        <v>46190</v>
      </c>
      <c r="I323" s="50">
        <v>46218</v>
      </c>
      <c r="J323" s="15">
        <f t="shared" si="194"/>
        <v>28</v>
      </c>
      <c r="K323" s="3" t="s">
        <v>70</v>
      </c>
      <c r="L323" s="3" t="s">
        <v>56</v>
      </c>
      <c r="M323" s="3" t="s">
        <v>165</v>
      </c>
      <c r="N323" s="3" t="s">
        <v>166</v>
      </c>
      <c r="O323" s="3" t="s">
        <v>59</v>
      </c>
      <c r="P323" s="8">
        <v>7014</v>
      </c>
      <c r="Q323" s="44" t="s">
        <v>100</v>
      </c>
      <c r="R323" s="57">
        <f t="shared" si="155"/>
        <v>46190</v>
      </c>
      <c r="S323" s="13" t="s">
        <v>61</v>
      </c>
      <c r="T323" s="35">
        <v>46202</v>
      </c>
      <c r="U323" s="37">
        <v>46205</v>
      </c>
      <c r="V323" s="37">
        <f t="shared" si="197"/>
        <v>46218</v>
      </c>
      <c r="W323" s="59">
        <f t="shared" si="214"/>
        <v>28</v>
      </c>
      <c r="X323" s="59">
        <f t="shared" si="215"/>
        <v>15</v>
      </c>
      <c r="Y323" s="59">
        <f t="shared" si="216"/>
        <v>13</v>
      </c>
      <c r="Z323" s="39"/>
      <c r="AA323" s="4" t="s">
        <v>643</v>
      </c>
      <c r="AB323" s="35">
        <v>46203</v>
      </c>
      <c r="AC323" s="118" t="s">
        <v>799</v>
      </c>
      <c r="AD323" s="13">
        <v>7729</v>
      </c>
      <c r="AE323" s="13" t="s">
        <v>63</v>
      </c>
      <c r="AF323" s="35">
        <v>46205</v>
      </c>
      <c r="AG323" s="3" t="str">
        <f t="shared" si="198"/>
        <v>CIF</v>
      </c>
      <c r="AH323" s="246" t="s">
        <v>800</v>
      </c>
      <c r="AI323" s="36" t="e">
        <f>#REF!</f>
        <v>#REF!</v>
      </c>
      <c r="AJ323" s="36">
        <v>0</v>
      </c>
      <c r="AK323" s="142">
        <f t="shared" si="208"/>
        <v>0</v>
      </c>
      <c r="AL323" s="47">
        <v>46213</v>
      </c>
      <c r="AM323" s="167" t="s">
        <v>781</v>
      </c>
      <c r="AN323" s="63">
        <f t="shared" si="209"/>
        <v>12</v>
      </c>
      <c r="AO323" s="34" t="s">
        <v>65</v>
      </c>
      <c r="AP323" s="64">
        <f t="shared" si="199"/>
        <v>46218</v>
      </c>
      <c r="AQ323" s="64" t="str">
        <f t="shared" si="210"/>
        <v>14/07/2026</v>
      </c>
      <c r="AR323" s="65">
        <f t="shared" si="187"/>
        <v>28</v>
      </c>
      <c r="AS323" s="65">
        <f t="shared" si="188"/>
        <v>27</v>
      </c>
      <c r="AT323" s="157">
        <f t="shared" si="200"/>
        <v>1</v>
      </c>
      <c r="AU323" s="28"/>
      <c r="AV323" s="28"/>
      <c r="AW323" s="109" t="str">
        <f t="shared" si="211"/>
        <v>7014,00</v>
      </c>
      <c r="AX323" s="66">
        <f t="shared" si="212"/>
        <v>0</v>
      </c>
      <c r="AY323" s="66"/>
      <c r="AZ323" s="66">
        <f t="shared" si="213"/>
        <v>0</v>
      </c>
      <c r="BA323" s="30"/>
    </row>
    <row r="324" spans="1:53" ht="21.6" customHeight="1" x14ac:dyDescent="0.3">
      <c r="A324" s="2" t="s">
        <v>148</v>
      </c>
      <c r="B324" s="3" t="s">
        <v>51</v>
      </c>
      <c r="C324" s="3" t="s">
        <v>52</v>
      </c>
      <c r="D324" s="3" t="s">
        <v>53</v>
      </c>
      <c r="E324" s="3"/>
      <c r="F324" s="3" t="s">
        <v>801</v>
      </c>
      <c r="G324" s="144">
        <v>674</v>
      </c>
      <c r="H324" s="394">
        <v>46190</v>
      </c>
      <c r="I324" s="50">
        <v>46205</v>
      </c>
      <c r="J324" s="15">
        <f>I324-H324</f>
        <v>15</v>
      </c>
      <c r="K324" s="3" t="s">
        <v>55</v>
      </c>
      <c r="L324" s="3" t="s">
        <v>56</v>
      </c>
      <c r="M324" s="3" t="s">
        <v>57</v>
      </c>
      <c r="N324" s="3" t="s">
        <v>87</v>
      </c>
      <c r="O324" s="3" t="s">
        <v>59</v>
      </c>
      <c r="P324" s="8">
        <v>691.62</v>
      </c>
      <c r="Q324" s="44" t="s">
        <v>60</v>
      </c>
      <c r="R324" s="57">
        <f>H324</f>
        <v>46190</v>
      </c>
      <c r="S324" s="13" t="s">
        <v>61</v>
      </c>
      <c r="T324" s="35">
        <v>46192</v>
      </c>
      <c r="U324" s="37">
        <v>46192</v>
      </c>
      <c r="V324" s="37">
        <f>I324</f>
        <v>46205</v>
      </c>
      <c r="W324" s="59">
        <f t="shared" si="214"/>
        <v>15</v>
      </c>
      <c r="X324" s="59">
        <f t="shared" si="215"/>
        <v>2</v>
      </c>
      <c r="Y324" s="59">
        <f t="shared" si="216"/>
        <v>13</v>
      </c>
      <c r="Z324" s="39"/>
      <c r="AA324" s="4" t="s">
        <v>682</v>
      </c>
      <c r="AB324" s="35">
        <v>46192</v>
      </c>
      <c r="AC324" s="353">
        <v>691.62</v>
      </c>
      <c r="AD324" s="28">
        <v>7687</v>
      </c>
      <c r="AE324" s="13" t="s">
        <v>63</v>
      </c>
      <c r="AF324" s="35">
        <v>46192</v>
      </c>
      <c r="AG324" s="3" t="str">
        <f>K324</f>
        <v>FOB</v>
      </c>
      <c r="AH324" s="358" t="s">
        <v>802</v>
      </c>
      <c r="AI324" s="36" t="e">
        <f>#REF!</f>
        <v>#REF!</v>
      </c>
      <c r="AJ324" s="36">
        <v>0</v>
      </c>
      <c r="AK324" s="142">
        <f t="shared" si="208"/>
        <v>0</v>
      </c>
      <c r="AL324" s="47"/>
      <c r="AM324" s="153">
        <v>46192</v>
      </c>
      <c r="AN324" s="63">
        <f t="shared" si="209"/>
        <v>0</v>
      </c>
      <c r="AO324" s="34" t="s">
        <v>65</v>
      </c>
      <c r="AP324" s="64">
        <f>I324</f>
        <v>46205</v>
      </c>
      <c r="AQ324" s="64">
        <f t="shared" si="210"/>
        <v>46192</v>
      </c>
      <c r="AR324" s="65">
        <f t="shared" si="187"/>
        <v>15</v>
      </c>
      <c r="AS324" s="65">
        <f t="shared" si="188"/>
        <v>2</v>
      </c>
      <c r="AT324" s="157">
        <f t="shared" si="200"/>
        <v>13</v>
      </c>
      <c r="AU324" s="28"/>
      <c r="AV324" s="28"/>
      <c r="AW324" s="109">
        <f t="shared" si="211"/>
        <v>691.62</v>
      </c>
      <c r="AX324" s="66">
        <f t="shared" si="212"/>
        <v>0</v>
      </c>
      <c r="AY324" s="66"/>
      <c r="AZ324" s="66">
        <f t="shared" si="213"/>
        <v>0</v>
      </c>
      <c r="BA324" s="30"/>
    </row>
    <row r="325" spans="1:53" ht="21.6" customHeight="1" x14ac:dyDescent="0.3">
      <c r="A325" s="2" t="s">
        <v>803</v>
      </c>
      <c r="B325" s="3" t="s">
        <v>96</v>
      </c>
      <c r="C325" s="3" t="s">
        <v>78</v>
      </c>
      <c r="D325" s="3"/>
      <c r="E325" s="3"/>
      <c r="F325" s="3" t="s">
        <v>804</v>
      </c>
      <c r="G325" s="144">
        <v>676</v>
      </c>
      <c r="H325" s="394">
        <v>46191</v>
      </c>
      <c r="I325" s="50">
        <v>46198</v>
      </c>
      <c r="J325" s="15">
        <f t="shared" si="194"/>
        <v>7</v>
      </c>
      <c r="K325" s="3" t="s">
        <v>55</v>
      </c>
      <c r="L325" s="3" t="s">
        <v>56</v>
      </c>
      <c r="M325" s="3" t="s">
        <v>98</v>
      </c>
      <c r="N325" s="3" t="s">
        <v>805</v>
      </c>
      <c r="O325" s="3" t="s">
        <v>59</v>
      </c>
      <c r="P325" s="8">
        <v>6533.62</v>
      </c>
      <c r="Q325" s="44" t="s">
        <v>60</v>
      </c>
      <c r="R325" s="57">
        <f t="shared" si="155"/>
        <v>46191</v>
      </c>
      <c r="S325" s="13" t="s">
        <v>61</v>
      </c>
      <c r="T325" s="35">
        <v>46198</v>
      </c>
      <c r="U325" s="37">
        <v>46198</v>
      </c>
      <c r="V325" s="37">
        <f t="shared" si="197"/>
        <v>46198</v>
      </c>
      <c r="W325" s="59">
        <f t="shared" si="214"/>
        <v>7</v>
      </c>
      <c r="X325" s="59">
        <f t="shared" si="215"/>
        <v>7</v>
      </c>
      <c r="Y325" s="59">
        <f t="shared" si="216"/>
        <v>0</v>
      </c>
      <c r="Z325" s="39"/>
      <c r="AA325" s="4" t="s">
        <v>643</v>
      </c>
      <c r="AB325" s="35">
        <v>46199</v>
      </c>
      <c r="AC325" s="331" t="s">
        <v>806</v>
      </c>
      <c r="AD325" s="113">
        <v>7714</v>
      </c>
      <c r="AE325" s="13" t="s">
        <v>63</v>
      </c>
      <c r="AF325" s="35">
        <v>46199</v>
      </c>
      <c r="AG325" s="3" t="str">
        <f t="shared" si="198"/>
        <v>FOB</v>
      </c>
      <c r="AH325" s="358" t="s">
        <v>807</v>
      </c>
      <c r="AI325" s="36" t="e">
        <f>#REF!</f>
        <v>#REF!</v>
      </c>
      <c r="AJ325" s="36">
        <v>0</v>
      </c>
      <c r="AK325" s="142">
        <f t="shared" si="208"/>
        <v>0</v>
      </c>
      <c r="AL325" s="47"/>
      <c r="AM325" s="153">
        <v>46198</v>
      </c>
      <c r="AN325" s="63">
        <f t="shared" si="209"/>
        <v>-1</v>
      </c>
      <c r="AO325" s="34" t="s">
        <v>65</v>
      </c>
      <c r="AP325" s="64">
        <f t="shared" si="199"/>
        <v>46198</v>
      </c>
      <c r="AQ325" s="64">
        <f t="shared" si="210"/>
        <v>46198</v>
      </c>
      <c r="AR325" s="65">
        <f t="shared" si="187"/>
        <v>7</v>
      </c>
      <c r="AS325" s="65">
        <f t="shared" si="188"/>
        <v>7</v>
      </c>
      <c r="AT325" s="157">
        <f t="shared" si="200"/>
        <v>0</v>
      </c>
      <c r="AU325" s="28"/>
      <c r="AV325" s="28"/>
      <c r="AW325" s="109" t="str">
        <f t="shared" si="211"/>
        <v>6.533,62</v>
      </c>
      <c r="AX325" s="66">
        <f t="shared" si="212"/>
        <v>0</v>
      </c>
      <c r="AY325" s="66"/>
      <c r="AZ325" s="66">
        <f t="shared" si="213"/>
        <v>0</v>
      </c>
      <c r="BA325" s="30"/>
    </row>
    <row r="326" spans="1:53" ht="21.6" customHeight="1" x14ac:dyDescent="0.45">
      <c r="A326" s="2" t="s">
        <v>307</v>
      </c>
      <c r="B326" s="3" t="s">
        <v>91</v>
      </c>
      <c r="C326" s="3" t="s">
        <v>78</v>
      </c>
      <c r="D326" s="3">
        <v>4600016155</v>
      </c>
      <c r="E326" s="3">
        <v>4501948037</v>
      </c>
      <c r="F326" s="3" t="s">
        <v>53</v>
      </c>
      <c r="G326" s="144">
        <v>678</v>
      </c>
      <c r="H326" s="394">
        <v>46192</v>
      </c>
      <c r="I326" s="50">
        <v>46251</v>
      </c>
      <c r="J326" s="15">
        <f t="shared" si="194"/>
        <v>59</v>
      </c>
      <c r="K326" s="3" t="s">
        <v>55</v>
      </c>
      <c r="L326" s="3" t="s">
        <v>56</v>
      </c>
      <c r="M326" s="3" t="s">
        <v>92</v>
      </c>
      <c r="N326" s="3" t="s">
        <v>363</v>
      </c>
      <c r="O326" s="3" t="s">
        <v>59</v>
      </c>
      <c r="P326" s="8">
        <v>978.51</v>
      </c>
      <c r="Q326" s="44" t="s">
        <v>60</v>
      </c>
      <c r="R326" s="57">
        <f t="shared" si="155"/>
        <v>46192</v>
      </c>
      <c r="S326" s="13" t="s">
        <v>61</v>
      </c>
      <c r="T326" s="35">
        <v>46197</v>
      </c>
      <c r="U326" s="37">
        <v>46197</v>
      </c>
      <c r="V326" s="37">
        <f t="shared" si="197"/>
        <v>46251</v>
      </c>
      <c r="W326" s="59">
        <f t="shared" si="214"/>
        <v>59</v>
      </c>
      <c r="X326" s="59">
        <f t="shared" si="215"/>
        <v>5</v>
      </c>
      <c r="Y326" s="59">
        <f t="shared" si="216"/>
        <v>54</v>
      </c>
      <c r="Z326" s="39"/>
      <c r="AA326" s="4" t="s">
        <v>643</v>
      </c>
      <c r="AB326" s="35">
        <v>46197</v>
      </c>
      <c r="AC326" s="358" t="s">
        <v>808</v>
      </c>
      <c r="AD326" s="113">
        <v>7703</v>
      </c>
      <c r="AE326" s="13" t="s">
        <v>63</v>
      </c>
      <c r="AF326" s="35">
        <v>46197</v>
      </c>
      <c r="AG326" s="3" t="str">
        <f>K326</f>
        <v>FOB</v>
      </c>
      <c r="AH326" s="358" t="s">
        <v>249</v>
      </c>
      <c r="AI326" s="36" t="e">
        <f>#REF!</f>
        <v>#REF!</v>
      </c>
      <c r="AJ326" s="36">
        <v>0</v>
      </c>
      <c r="AK326" s="142">
        <f t="shared" si="208"/>
        <v>0</v>
      </c>
      <c r="AL326" s="47"/>
      <c r="AM326" s="155">
        <v>46197</v>
      </c>
      <c r="AN326" s="63">
        <f t="shared" si="209"/>
        <v>0</v>
      </c>
      <c r="AO326" s="34" t="s">
        <v>65</v>
      </c>
      <c r="AP326" s="64">
        <f t="shared" si="199"/>
        <v>46251</v>
      </c>
      <c r="AQ326" s="64">
        <f t="shared" si="210"/>
        <v>46197</v>
      </c>
      <c r="AR326" s="65">
        <f t="shared" si="187"/>
        <v>59</v>
      </c>
      <c r="AS326" s="65">
        <f t="shared" si="188"/>
        <v>5</v>
      </c>
      <c r="AT326" s="157">
        <f t="shared" si="200"/>
        <v>54</v>
      </c>
      <c r="AU326" s="28"/>
      <c r="AV326" s="28"/>
      <c r="AW326" s="109" t="str">
        <f t="shared" si="211"/>
        <v>978,51</v>
      </c>
      <c r="AX326" s="66">
        <f t="shared" si="212"/>
        <v>0</v>
      </c>
      <c r="AY326" s="66"/>
      <c r="AZ326" s="66">
        <f t="shared" si="213"/>
        <v>0</v>
      </c>
      <c r="BA326" s="30"/>
    </row>
    <row r="327" spans="1:53" ht="21.6" customHeight="1" x14ac:dyDescent="0.3">
      <c r="A327" s="2" t="s">
        <v>724</v>
      </c>
      <c r="B327" s="3" t="s">
        <v>91</v>
      </c>
      <c r="C327" s="3" t="s">
        <v>78</v>
      </c>
      <c r="D327" s="3" t="s">
        <v>53</v>
      </c>
      <c r="E327" s="3">
        <v>14443</v>
      </c>
      <c r="F327" s="3" t="s">
        <v>809</v>
      </c>
      <c r="G327" s="144">
        <v>680</v>
      </c>
      <c r="H327" s="394">
        <v>46195</v>
      </c>
      <c r="I327" s="50">
        <v>46223</v>
      </c>
      <c r="J327" s="15">
        <f t="shared" si="194"/>
        <v>28</v>
      </c>
      <c r="K327" s="3" t="s">
        <v>70</v>
      </c>
      <c r="L327" s="3" t="s">
        <v>56</v>
      </c>
      <c r="M327" s="3" t="s">
        <v>92</v>
      </c>
      <c r="N327" s="3" t="s">
        <v>212</v>
      </c>
      <c r="O327" s="3" t="s">
        <v>59</v>
      </c>
      <c r="P327" s="8">
        <v>2376.13</v>
      </c>
      <c r="Q327" s="44" t="s">
        <v>60</v>
      </c>
      <c r="R327" s="57">
        <f t="shared" si="155"/>
        <v>46195</v>
      </c>
      <c r="S327" s="13" t="s">
        <v>61</v>
      </c>
      <c r="T327" s="35">
        <v>46212</v>
      </c>
      <c r="U327" s="37">
        <v>46216</v>
      </c>
      <c r="V327" s="37">
        <f t="shared" si="197"/>
        <v>46223</v>
      </c>
      <c r="W327" s="59">
        <f t="shared" si="214"/>
        <v>28</v>
      </c>
      <c r="X327" s="59">
        <f t="shared" si="215"/>
        <v>21</v>
      </c>
      <c r="Y327" s="59">
        <f t="shared" si="216"/>
        <v>7</v>
      </c>
      <c r="Z327" s="39"/>
      <c r="AA327" s="4" t="s">
        <v>735</v>
      </c>
      <c r="AB327" s="410">
        <v>46216</v>
      </c>
      <c r="AC327" s="358" t="s">
        <v>810</v>
      </c>
      <c r="AD327" s="32">
        <v>7760</v>
      </c>
      <c r="AE327" s="13" t="s">
        <v>63</v>
      </c>
      <c r="AF327" s="35">
        <v>46216</v>
      </c>
      <c r="AG327" s="3" t="str">
        <f t="shared" si="198"/>
        <v>CIF</v>
      </c>
      <c r="AH327" s="358" t="s">
        <v>102</v>
      </c>
      <c r="AI327" s="36" t="e">
        <f>#REF!</f>
        <v>#REF!</v>
      </c>
      <c r="AJ327" s="36">
        <v>0</v>
      </c>
      <c r="AK327" s="142">
        <f t="shared" si="208"/>
        <v>0</v>
      </c>
      <c r="AL327" s="47"/>
      <c r="AM327" s="153">
        <v>46217</v>
      </c>
      <c r="AN327" s="63">
        <f t="shared" si="209"/>
        <v>1</v>
      </c>
      <c r="AO327" s="34" t="s">
        <v>65</v>
      </c>
      <c r="AP327" s="64">
        <f t="shared" si="199"/>
        <v>46223</v>
      </c>
      <c r="AQ327" s="64">
        <f t="shared" si="210"/>
        <v>46217</v>
      </c>
      <c r="AR327" s="65">
        <f t="shared" si="187"/>
        <v>28</v>
      </c>
      <c r="AS327" s="65">
        <f t="shared" si="188"/>
        <v>22</v>
      </c>
      <c r="AT327" s="157">
        <f t="shared" si="200"/>
        <v>6</v>
      </c>
      <c r="AU327" s="28"/>
      <c r="AV327" s="28"/>
      <c r="AW327" s="109" t="str">
        <f t="shared" si="211"/>
        <v>2.375,91</v>
      </c>
      <c r="AX327" s="66">
        <f t="shared" si="212"/>
        <v>0</v>
      </c>
      <c r="AY327" s="66"/>
      <c r="AZ327" s="66">
        <f t="shared" si="213"/>
        <v>0</v>
      </c>
      <c r="BA327" s="30"/>
    </row>
    <row r="328" spans="1:53" ht="21.6" customHeight="1" x14ac:dyDescent="0.3">
      <c r="A328" s="2" t="s">
        <v>137</v>
      </c>
      <c r="B328" s="3" t="s">
        <v>67</v>
      </c>
      <c r="C328" s="3" t="s">
        <v>78</v>
      </c>
      <c r="D328" s="3"/>
      <c r="E328" s="3">
        <v>76</v>
      </c>
      <c r="F328" s="3" t="s">
        <v>811</v>
      </c>
      <c r="G328" s="144">
        <v>681</v>
      </c>
      <c r="H328" s="394">
        <v>46195</v>
      </c>
      <c r="I328" s="50">
        <v>46226</v>
      </c>
      <c r="J328" s="15">
        <f t="shared" si="194"/>
        <v>31</v>
      </c>
      <c r="K328" s="3" t="s">
        <v>55</v>
      </c>
      <c r="L328" s="3" t="s">
        <v>139</v>
      </c>
      <c r="M328" s="3" t="s">
        <v>72</v>
      </c>
      <c r="N328" s="3"/>
      <c r="O328" s="3" t="s">
        <v>59</v>
      </c>
      <c r="P328" s="8">
        <v>28042.5</v>
      </c>
      <c r="Q328" s="44" t="s">
        <v>60</v>
      </c>
      <c r="R328" s="57">
        <f t="shared" si="155"/>
        <v>46195</v>
      </c>
      <c r="S328" s="13" t="s">
        <v>61</v>
      </c>
      <c r="T328" s="35">
        <v>46234</v>
      </c>
      <c r="U328" s="37">
        <v>46232</v>
      </c>
      <c r="V328" s="37">
        <f t="shared" si="197"/>
        <v>46226</v>
      </c>
      <c r="W328" s="59">
        <f t="shared" si="214"/>
        <v>31</v>
      </c>
      <c r="X328" s="59">
        <f t="shared" si="215"/>
        <v>37</v>
      </c>
      <c r="Y328" s="59">
        <f t="shared" si="216"/>
        <v>-6</v>
      </c>
      <c r="Z328" s="39"/>
      <c r="AA328" s="4" t="s">
        <v>702</v>
      </c>
      <c r="AB328" s="410">
        <v>46234</v>
      </c>
      <c r="AC328" s="13" t="s">
        <v>812</v>
      </c>
      <c r="AD328" s="13">
        <v>7813</v>
      </c>
      <c r="AE328" s="13"/>
      <c r="AF328" s="35">
        <v>46334</v>
      </c>
      <c r="AG328" s="3" t="str">
        <f t="shared" si="198"/>
        <v>FOB</v>
      </c>
      <c r="AH328" s="13"/>
      <c r="AI328" s="36" t="e">
        <f>#REF!</f>
        <v>#REF!</v>
      </c>
      <c r="AJ328" s="36">
        <v>0</v>
      </c>
      <c r="AK328" s="142">
        <f t="shared" si="208"/>
        <v>0</v>
      </c>
      <c r="AL328" s="47"/>
      <c r="AM328" s="153">
        <v>46226</v>
      </c>
      <c r="AN328" s="63">
        <f t="shared" si="209"/>
        <v>-108</v>
      </c>
      <c r="AO328" s="34" t="s">
        <v>65</v>
      </c>
      <c r="AP328" s="64">
        <f t="shared" si="199"/>
        <v>46226</v>
      </c>
      <c r="AQ328" s="64">
        <f t="shared" si="210"/>
        <v>46226</v>
      </c>
      <c r="AR328" s="65">
        <f t="shared" si="187"/>
        <v>31</v>
      </c>
      <c r="AS328" s="65">
        <f t="shared" si="188"/>
        <v>31</v>
      </c>
      <c r="AT328" s="157">
        <f t="shared" si="200"/>
        <v>0</v>
      </c>
      <c r="AU328" s="28"/>
      <c r="AV328" s="28"/>
      <c r="AW328" s="109" t="str">
        <f t="shared" si="211"/>
        <v>23623,97</v>
      </c>
      <c r="AX328" s="66">
        <f t="shared" si="212"/>
        <v>0</v>
      </c>
      <c r="AY328" s="66"/>
      <c r="AZ328" s="66">
        <f t="shared" si="213"/>
        <v>0</v>
      </c>
      <c r="BA328" s="30"/>
    </row>
    <row r="329" spans="1:53" ht="21.6" customHeight="1" x14ac:dyDescent="0.3">
      <c r="A329" s="2" t="s">
        <v>416</v>
      </c>
      <c r="B329" s="3" t="s">
        <v>67</v>
      </c>
      <c r="C329" s="3" t="s">
        <v>78</v>
      </c>
      <c r="D329" s="3"/>
      <c r="E329" s="3">
        <v>82</v>
      </c>
      <c r="F329" s="3" t="s">
        <v>813</v>
      </c>
      <c r="G329" s="144">
        <v>682</v>
      </c>
      <c r="H329" s="394">
        <v>46195</v>
      </c>
      <c r="I329" s="50">
        <v>46223</v>
      </c>
      <c r="J329" s="15">
        <f t="shared" si="194"/>
        <v>28</v>
      </c>
      <c r="K329" s="3" t="s">
        <v>55</v>
      </c>
      <c r="L329" s="3" t="s">
        <v>113</v>
      </c>
      <c r="M329" s="3" t="s">
        <v>72</v>
      </c>
      <c r="N329" s="3"/>
      <c r="O329" s="3" t="s">
        <v>59</v>
      </c>
      <c r="P329" s="8">
        <v>30762.95</v>
      </c>
      <c r="Q329" s="44" t="s">
        <v>60</v>
      </c>
      <c r="R329" s="57">
        <f t="shared" si="155"/>
        <v>46195</v>
      </c>
      <c r="S329" s="13" t="s">
        <v>61</v>
      </c>
      <c r="T329" s="35">
        <v>46223</v>
      </c>
      <c r="U329" s="37">
        <v>46223</v>
      </c>
      <c r="V329" s="37">
        <f t="shared" si="197"/>
        <v>46223</v>
      </c>
      <c r="W329" s="59">
        <f t="shared" si="214"/>
        <v>28</v>
      </c>
      <c r="X329" s="59">
        <f t="shared" si="215"/>
        <v>28</v>
      </c>
      <c r="Y329" s="59">
        <f t="shared" si="216"/>
        <v>0</v>
      </c>
      <c r="Z329" s="39"/>
      <c r="AA329" s="4" t="s">
        <v>814</v>
      </c>
      <c r="AB329" s="410">
        <v>46225</v>
      </c>
      <c r="AC329" s="352">
        <v>30762.95</v>
      </c>
      <c r="AD329" s="13">
        <v>7783</v>
      </c>
      <c r="AE329" s="13"/>
      <c r="AF329" s="35" t="s">
        <v>815</v>
      </c>
      <c r="AG329" s="3" t="str">
        <f t="shared" si="198"/>
        <v>FOB</v>
      </c>
      <c r="AH329" s="13" t="s">
        <v>816</v>
      </c>
      <c r="AI329" s="36" t="e">
        <f>#REF!</f>
        <v>#REF!</v>
      </c>
      <c r="AJ329" s="36">
        <v>0</v>
      </c>
      <c r="AK329" s="142">
        <f t="shared" si="208"/>
        <v>0</v>
      </c>
      <c r="AL329" s="47"/>
      <c r="AM329" s="153">
        <v>46220</v>
      </c>
      <c r="AN329" s="63">
        <f t="shared" si="209"/>
        <v>-6</v>
      </c>
      <c r="AO329" s="34" t="s">
        <v>65</v>
      </c>
      <c r="AP329" s="64">
        <f t="shared" si="199"/>
        <v>46223</v>
      </c>
      <c r="AQ329" s="64">
        <f t="shared" si="210"/>
        <v>46220</v>
      </c>
      <c r="AR329" s="65">
        <f t="shared" si="187"/>
        <v>28</v>
      </c>
      <c r="AS329" s="65">
        <f t="shared" si="188"/>
        <v>25</v>
      </c>
      <c r="AT329" s="157">
        <f t="shared" si="200"/>
        <v>3</v>
      </c>
      <c r="AU329" s="28"/>
      <c r="AV329" s="28"/>
      <c r="AW329" s="109">
        <f t="shared" si="211"/>
        <v>30762.95</v>
      </c>
      <c r="AX329" s="66">
        <f t="shared" si="212"/>
        <v>0</v>
      </c>
      <c r="AY329" s="66"/>
      <c r="AZ329" s="66">
        <f t="shared" si="213"/>
        <v>0</v>
      </c>
      <c r="BA329" s="30"/>
    </row>
    <row r="330" spans="1:53" ht="31.2" customHeight="1" x14ac:dyDescent="0.3">
      <c r="A330" s="2" t="s">
        <v>817</v>
      </c>
      <c r="B330" s="3" t="s">
        <v>77</v>
      </c>
      <c r="C330" s="3" t="s">
        <v>78</v>
      </c>
      <c r="D330" s="3" t="s">
        <v>586</v>
      </c>
      <c r="E330" s="3">
        <v>306</v>
      </c>
      <c r="F330" s="3" t="s">
        <v>818</v>
      </c>
      <c r="G330" s="144">
        <v>685</v>
      </c>
      <c r="H330" s="394">
        <v>46195</v>
      </c>
      <c r="I330" s="50">
        <v>46224</v>
      </c>
      <c r="J330" s="15">
        <f t="shared" si="194"/>
        <v>29</v>
      </c>
      <c r="K330" s="3" t="s">
        <v>55</v>
      </c>
      <c r="L330" s="3" t="s">
        <v>56</v>
      </c>
      <c r="M330" s="3" t="s">
        <v>208</v>
      </c>
      <c r="N330" s="3" t="s">
        <v>819</v>
      </c>
      <c r="O330" s="3" t="s">
        <v>820</v>
      </c>
      <c r="P330" s="8">
        <v>2040.7</v>
      </c>
      <c r="Q330" s="44" t="s">
        <v>100</v>
      </c>
      <c r="R330" s="57">
        <f t="shared" si="155"/>
        <v>46195</v>
      </c>
      <c r="S330" s="13" t="s">
        <v>61</v>
      </c>
      <c r="T330" s="35">
        <v>46203</v>
      </c>
      <c r="U330" s="37">
        <v>46206</v>
      </c>
      <c r="V330" s="37">
        <f t="shared" si="197"/>
        <v>46224</v>
      </c>
      <c r="W330" s="59">
        <f t="shared" si="214"/>
        <v>29</v>
      </c>
      <c r="X330" s="59">
        <f t="shared" si="215"/>
        <v>11</v>
      </c>
      <c r="Y330" s="59">
        <f t="shared" si="216"/>
        <v>18</v>
      </c>
      <c r="Z330" s="39"/>
      <c r="AA330" s="4" t="s">
        <v>643</v>
      </c>
      <c r="AB330" s="35">
        <v>46203</v>
      </c>
      <c r="AC330" s="13" t="s">
        <v>821</v>
      </c>
      <c r="AD330" s="13">
        <v>7736</v>
      </c>
      <c r="AE330" s="13" t="s">
        <v>63</v>
      </c>
      <c r="AF330" s="35">
        <v>46088</v>
      </c>
      <c r="AG330" s="3" t="str">
        <f t="shared" si="198"/>
        <v>FOB</v>
      </c>
      <c r="AH330" s="13" t="s">
        <v>822</v>
      </c>
      <c r="AI330" s="36" t="e">
        <f>#REF!</f>
        <v>#REF!</v>
      </c>
      <c r="AJ330" s="36">
        <v>0</v>
      </c>
      <c r="AK330" s="142">
        <f t="shared" si="208"/>
        <v>0</v>
      </c>
      <c r="AL330" s="47"/>
      <c r="AM330" s="153">
        <v>46224</v>
      </c>
      <c r="AN330" s="63">
        <f t="shared" si="209"/>
        <v>136</v>
      </c>
      <c r="AO330" s="34" t="s">
        <v>65</v>
      </c>
      <c r="AP330" s="64">
        <f t="shared" si="199"/>
        <v>46224</v>
      </c>
      <c r="AQ330" s="64">
        <f t="shared" si="210"/>
        <v>46224</v>
      </c>
      <c r="AR330" s="65">
        <f t="shared" ref="AR330:AR361" si="217">AP330-H330</f>
        <v>29</v>
      </c>
      <c r="AS330" s="65">
        <f t="shared" ref="AS330:AS361" si="218">AM330-H330</f>
        <v>29</v>
      </c>
      <c r="AT330" s="157">
        <f t="shared" si="200"/>
        <v>0</v>
      </c>
      <c r="AU330" s="28"/>
      <c r="AV330" s="28"/>
      <c r="AW330" s="109" t="str">
        <f t="shared" si="211"/>
        <v>2040,70</v>
      </c>
      <c r="AX330" s="66">
        <f t="shared" si="212"/>
        <v>0</v>
      </c>
      <c r="AY330" s="66"/>
      <c r="AZ330" s="66">
        <f t="shared" si="213"/>
        <v>0</v>
      </c>
      <c r="BA330" s="30"/>
    </row>
    <row r="331" spans="1:53" ht="21.6" customHeight="1" x14ac:dyDescent="0.3">
      <c r="A331" s="2" t="s">
        <v>307</v>
      </c>
      <c r="B331" s="3" t="s">
        <v>96</v>
      </c>
      <c r="C331" s="3" t="s">
        <v>78</v>
      </c>
      <c r="D331" s="3">
        <v>4600016155</v>
      </c>
      <c r="E331" s="3">
        <v>4501947426</v>
      </c>
      <c r="F331" s="3"/>
      <c r="G331" s="144">
        <v>684</v>
      </c>
      <c r="H331" s="394">
        <v>46195</v>
      </c>
      <c r="I331" s="50">
        <v>46249</v>
      </c>
      <c r="J331" s="15">
        <f>I331-H331</f>
        <v>54</v>
      </c>
      <c r="K331" s="3" t="s">
        <v>70</v>
      </c>
      <c r="L331" s="3" t="s">
        <v>56</v>
      </c>
      <c r="M331" s="3" t="s">
        <v>255</v>
      </c>
      <c r="N331" s="3" t="s">
        <v>311</v>
      </c>
      <c r="O331" s="3" t="s">
        <v>59</v>
      </c>
      <c r="P331" s="8">
        <v>3653.75</v>
      </c>
      <c r="Q331" s="44" t="s">
        <v>60</v>
      </c>
      <c r="R331" s="57">
        <f>H331</f>
        <v>46195</v>
      </c>
      <c r="S331" s="13" t="s">
        <v>61</v>
      </c>
      <c r="T331" s="35">
        <v>46203</v>
      </c>
      <c r="U331" s="37">
        <v>46206</v>
      </c>
      <c r="V331" s="37">
        <f>I331</f>
        <v>46249</v>
      </c>
      <c r="W331" s="59">
        <f>V331-R331</f>
        <v>54</v>
      </c>
      <c r="X331" s="59">
        <f>U331-R331</f>
        <v>11</v>
      </c>
      <c r="Y331" s="59">
        <f>W331-X331</f>
        <v>43</v>
      </c>
      <c r="Z331" s="39"/>
      <c r="AA331" s="4" t="s">
        <v>643</v>
      </c>
      <c r="AB331" s="35">
        <v>46203</v>
      </c>
      <c r="AC331" s="13" t="s">
        <v>823</v>
      </c>
      <c r="AD331" s="13">
        <v>7737</v>
      </c>
      <c r="AE331" s="13" t="s">
        <v>677</v>
      </c>
      <c r="AF331" s="35" t="s">
        <v>824</v>
      </c>
      <c r="AG331" s="3" t="str">
        <f>K331</f>
        <v>CIF</v>
      </c>
      <c r="AH331" s="13" t="s">
        <v>825</v>
      </c>
      <c r="AI331" s="36" t="e">
        <f>#REF!</f>
        <v>#REF!</v>
      </c>
      <c r="AJ331" s="36">
        <v>0</v>
      </c>
      <c r="AK331" s="142">
        <f t="shared" si="208"/>
        <v>0</v>
      </c>
      <c r="AL331" s="47" t="s">
        <v>737</v>
      </c>
      <c r="AM331" s="167">
        <v>46217</v>
      </c>
      <c r="AN331" s="63">
        <f t="shared" si="209"/>
        <v>-15</v>
      </c>
      <c r="AO331" s="34" t="s">
        <v>65</v>
      </c>
      <c r="AP331" s="64">
        <f>I331</f>
        <v>46249</v>
      </c>
      <c r="AQ331" s="64">
        <f>AM331</f>
        <v>46217</v>
      </c>
      <c r="AR331" s="65">
        <f t="shared" si="217"/>
        <v>54</v>
      </c>
      <c r="AS331" s="65">
        <f t="shared" si="218"/>
        <v>22</v>
      </c>
      <c r="AT331" s="157">
        <f>AR331-AS331</f>
        <v>32</v>
      </c>
      <c r="AU331" s="28"/>
      <c r="AV331" s="28"/>
      <c r="AW331" s="109" t="str">
        <f>AC331</f>
        <v>3653,75</v>
      </c>
      <c r="AX331" s="66">
        <f>Z331</f>
        <v>0</v>
      </c>
      <c r="AY331" s="66"/>
      <c r="AZ331" s="66">
        <f>AJ331</f>
        <v>0</v>
      </c>
      <c r="BA331" s="30"/>
    </row>
    <row r="332" spans="1:53" ht="21.6" customHeight="1" x14ac:dyDescent="0.45">
      <c r="A332" s="2" t="s">
        <v>307</v>
      </c>
      <c r="B332" s="3" t="s">
        <v>51</v>
      </c>
      <c r="C332" s="3" t="s">
        <v>78</v>
      </c>
      <c r="D332" s="3">
        <v>4600016155</v>
      </c>
      <c r="E332" s="3">
        <v>4501948443</v>
      </c>
      <c r="F332" s="3" t="s">
        <v>53</v>
      </c>
      <c r="G332" s="144">
        <v>686</v>
      </c>
      <c r="H332" s="394">
        <v>46195</v>
      </c>
      <c r="I332" s="50">
        <v>46252</v>
      </c>
      <c r="J332" s="15">
        <f t="shared" si="194"/>
        <v>57</v>
      </c>
      <c r="K332" s="3" t="s">
        <v>70</v>
      </c>
      <c r="L332" s="3" t="s">
        <v>56</v>
      </c>
      <c r="M332" s="3" t="s">
        <v>57</v>
      </c>
      <c r="N332" s="3" t="s">
        <v>197</v>
      </c>
      <c r="O332" s="3" t="s">
        <v>59</v>
      </c>
      <c r="P332" s="8">
        <v>2950.43</v>
      </c>
      <c r="Q332" s="44" t="s">
        <v>100</v>
      </c>
      <c r="R332" s="57">
        <f t="shared" ref="R332:R394" si="219">H332</f>
        <v>46195</v>
      </c>
      <c r="S332" s="13" t="s">
        <v>61</v>
      </c>
      <c r="T332" s="35">
        <v>46203</v>
      </c>
      <c r="U332" s="37">
        <v>46205</v>
      </c>
      <c r="V332" s="37">
        <f t="shared" si="197"/>
        <v>46252</v>
      </c>
      <c r="W332" s="59">
        <f t="shared" si="214"/>
        <v>57</v>
      </c>
      <c r="X332" s="59">
        <f t="shared" si="215"/>
        <v>10</v>
      </c>
      <c r="Y332" s="59">
        <f t="shared" si="216"/>
        <v>47</v>
      </c>
      <c r="Z332" s="39"/>
      <c r="AA332" s="4" t="s">
        <v>643</v>
      </c>
      <c r="AB332" s="35">
        <v>46203</v>
      </c>
      <c r="AC332" s="13" t="s">
        <v>826</v>
      </c>
      <c r="AD332" s="13">
        <v>7738</v>
      </c>
      <c r="AE332" s="13" t="s">
        <v>63</v>
      </c>
      <c r="AF332" s="35">
        <v>46180</v>
      </c>
      <c r="AG332" s="3" t="str">
        <f t="shared" si="198"/>
        <v>CIF</v>
      </c>
      <c r="AH332" s="13" t="s">
        <v>825</v>
      </c>
      <c r="AI332" s="36" t="e">
        <f>#REF!</f>
        <v>#REF!</v>
      </c>
      <c r="AJ332" s="36">
        <v>0</v>
      </c>
      <c r="AK332" s="142">
        <f t="shared" si="208"/>
        <v>0</v>
      </c>
      <c r="AL332" s="47"/>
      <c r="AM332" s="155">
        <v>46212</v>
      </c>
      <c r="AN332" s="63">
        <f t="shared" si="209"/>
        <v>32</v>
      </c>
      <c r="AO332" s="34" t="s">
        <v>65</v>
      </c>
      <c r="AP332" s="64">
        <f t="shared" si="199"/>
        <v>46252</v>
      </c>
      <c r="AQ332" s="64">
        <f t="shared" si="210"/>
        <v>46212</v>
      </c>
      <c r="AR332" s="65">
        <f t="shared" si="217"/>
        <v>57</v>
      </c>
      <c r="AS332" s="65">
        <f t="shared" si="218"/>
        <v>17</v>
      </c>
      <c r="AT332" s="157">
        <f t="shared" si="200"/>
        <v>40</v>
      </c>
      <c r="AU332" s="28"/>
      <c r="AV332" s="28"/>
      <c r="AW332" s="109" t="str">
        <f t="shared" si="211"/>
        <v>2950,43</v>
      </c>
      <c r="AX332" s="66">
        <f t="shared" si="212"/>
        <v>0</v>
      </c>
      <c r="AY332" s="66"/>
      <c r="AZ332" s="66">
        <f t="shared" si="213"/>
        <v>0</v>
      </c>
      <c r="BA332" s="30"/>
    </row>
    <row r="333" spans="1:53" ht="21.6" customHeight="1" x14ac:dyDescent="0.3">
      <c r="A333" s="2" t="s">
        <v>192</v>
      </c>
      <c r="B333" s="3" t="s">
        <v>171</v>
      </c>
      <c r="C333" s="3" t="s">
        <v>78</v>
      </c>
      <c r="D333" s="3"/>
      <c r="E333" s="3"/>
      <c r="F333" s="3"/>
      <c r="G333" s="144">
        <v>687</v>
      </c>
      <c r="H333" s="394">
        <v>46195</v>
      </c>
      <c r="I333" s="50">
        <v>46216</v>
      </c>
      <c r="J333" s="15">
        <f t="shared" si="194"/>
        <v>21</v>
      </c>
      <c r="K333" s="3" t="s">
        <v>55</v>
      </c>
      <c r="L333" s="3" t="s">
        <v>56</v>
      </c>
      <c r="M333" s="3" t="s">
        <v>186</v>
      </c>
      <c r="N333" s="3" t="s">
        <v>286</v>
      </c>
      <c r="O333" s="3" t="s">
        <v>59</v>
      </c>
      <c r="P333" s="8">
        <v>12362.1</v>
      </c>
      <c r="Q333" s="44" t="s">
        <v>100</v>
      </c>
      <c r="R333" s="57">
        <f t="shared" si="219"/>
        <v>46195</v>
      </c>
      <c r="S333" s="13" t="s">
        <v>61</v>
      </c>
      <c r="T333" s="35">
        <v>46203</v>
      </c>
      <c r="U333" s="37">
        <v>46206</v>
      </c>
      <c r="V333" s="37">
        <f t="shared" si="197"/>
        <v>46216</v>
      </c>
      <c r="W333" s="59">
        <f t="shared" si="214"/>
        <v>21</v>
      </c>
      <c r="X333" s="59">
        <f t="shared" si="215"/>
        <v>11</v>
      </c>
      <c r="Y333" s="59">
        <f t="shared" si="216"/>
        <v>10</v>
      </c>
      <c r="Z333" s="39"/>
      <c r="AA333" s="4" t="s">
        <v>643</v>
      </c>
      <c r="AB333" s="35">
        <v>46203</v>
      </c>
      <c r="AC333" s="13" t="s">
        <v>827</v>
      </c>
      <c r="AD333" s="13">
        <v>7731</v>
      </c>
      <c r="AE333" s="13" t="s">
        <v>677</v>
      </c>
      <c r="AF333" s="35" t="s">
        <v>678</v>
      </c>
      <c r="AG333" s="3" t="str">
        <f>K333</f>
        <v>FOB</v>
      </c>
      <c r="AH333" s="13" t="s">
        <v>789</v>
      </c>
      <c r="AI333" s="36" t="e">
        <f>#REF!</f>
        <v>#REF!</v>
      </c>
      <c r="AJ333" s="36">
        <v>0</v>
      </c>
      <c r="AK333" s="142">
        <f t="shared" si="208"/>
        <v>0</v>
      </c>
      <c r="AL333" s="47" t="s">
        <v>790</v>
      </c>
      <c r="AM333" s="153">
        <v>46206</v>
      </c>
      <c r="AN333" s="63">
        <f t="shared" si="209"/>
        <v>-12</v>
      </c>
      <c r="AO333" s="34" t="s">
        <v>65</v>
      </c>
      <c r="AP333" s="64">
        <f t="shared" si="199"/>
        <v>46216</v>
      </c>
      <c r="AQ333" s="64">
        <f t="shared" si="210"/>
        <v>46206</v>
      </c>
      <c r="AR333" s="65">
        <f t="shared" si="217"/>
        <v>21</v>
      </c>
      <c r="AS333" s="65">
        <f t="shared" si="218"/>
        <v>11</v>
      </c>
      <c r="AT333" s="157">
        <f t="shared" si="200"/>
        <v>10</v>
      </c>
      <c r="AU333" s="28"/>
      <c r="AV333" s="28"/>
      <c r="AW333" s="109" t="str">
        <f t="shared" si="211"/>
        <v>12362,10</v>
      </c>
      <c r="AX333" s="66">
        <f t="shared" si="212"/>
        <v>0</v>
      </c>
      <c r="AY333" s="66"/>
      <c r="AZ333" s="66">
        <f t="shared" si="213"/>
        <v>0</v>
      </c>
      <c r="BA333" s="30"/>
    </row>
    <row r="334" spans="1:53" ht="21.6" customHeight="1" x14ac:dyDescent="0.3">
      <c r="A334" s="2" t="s">
        <v>258</v>
      </c>
      <c r="B334" s="3" t="s">
        <v>163</v>
      </c>
      <c r="C334" s="3" t="s">
        <v>78</v>
      </c>
      <c r="D334" s="3"/>
      <c r="E334" s="3">
        <v>28.550999999999998</v>
      </c>
      <c r="F334" s="3"/>
      <c r="G334" s="144">
        <v>688</v>
      </c>
      <c r="H334" s="394">
        <v>46196</v>
      </c>
      <c r="I334" s="50">
        <v>46282</v>
      </c>
      <c r="J334" s="15">
        <f t="shared" si="194"/>
        <v>86</v>
      </c>
      <c r="K334" s="3" t="s">
        <v>70</v>
      </c>
      <c r="L334" s="3" t="s">
        <v>56</v>
      </c>
      <c r="M334" s="3" t="s">
        <v>165</v>
      </c>
      <c r="N334" s="3" t="s">
        <v>166</v>
      </c>
      <c r="O334" s="3" t="s">
        <v>59</v>
      </c>
      <c r="P334" s="8">
        <v>8200</v>
      </c>
      <c r="Q334" s="44" t="s">
        <v>100</v>
      </c>
      <c r="R334" s="57">
        <f t="shared" si="219"/>
        <v>46196</v>
      </c>
      <c r="S334" s="13" t="s">
        <v>61</v>
      </c>
      <c r="T334" s="35">
        <v>46203</v>
      </c>
      <c r="U334" s="37">
        <v>46205</v>
      </c>
      <c r="V334" s="37">
        <f t="shared" si="197"/>
        <v>46282</v>
      </c>
      <c r="W334" s="59">
        <f t="shared" si="214"/>
        <v>86</v>
      </c>
      <c r="X334" s="59">
        <f t="shared" si="215"/>
        <v>9</v>
      </c>
      <c r="Y334" s="59">
        <f t="shared" si="216"/>
        <v>77</v>
      </c>
      <c r="Z334" s="39"/>
      <c r="AA334" s="4" t="s">
        <v>643</v>
      </c>
      <c r="AB334" s="35">
        <v>46203</v>
      </c>
      <c r="AC334" s="13" t="s">
        <v>828</v>
      </c>
      <c r="AD334" s="13">
        <v>7741</v>
      </c>
      <c r="AE334" s="13" t="s">
        <v>63</v>
      </c>
      <c r="AF334" s="35">
        <v>46209</v>
      </c>
      <c r="AG334" s="3" t="str">
        <f t="shared" si="198"/>
        <v>CIF</v>
      </c>
      <c r="AH334" s="13" t="s">
        <v>829</v>
      </c>
      <c r="AI334" s="36" t="e">
        <f>#REF!</f>
        <v>#REF!</v>
      </c>
      <c r="AJ334" s="36">
        <v>0</v>
      </c>
      <c r="AK334" s="142">
        <f t="shared" si="208"/>
        <v>0</v>
      </c>
      <c r="AL334" s="47" t="s">
        <v>830</v>
      </c>
      <c r="AM334" s="167" t="s">
        <v>691</v>
      </c>
      <c r="AN334" s="63">
        <f t="shared" si="209"/>
        <v>10</v>
      </c>
      <c r="AO334" s="34" t="s">
        <v>65</v>
      </c>
      <c r="AP334" s="64">
        <f t="shared" si="199"/>
        <v>46282</v>
      </c>
      <c r="AQ334" s="64" t="str">
        <f t="shared" si="210"/>
        <v>16/07/2026</v>
      </c>
      <c r="AR334" s="65">
        <f t="shared" si="217"/>
        <v>86</v>
      </c>
      <c r="AS334" s="65">
        <f t="shared" si="218"/>
        <v>23</v>
      </c>
      <c r="AT334" s="157">
        <f t="shared" si="200"/>
        <v>63</v>
      </c>
      <c r="AU334" s="28"/>
      <c r="AV334" s="28"/>
      <c r="AW334" s="109" t="str">
        <f t="shared" si="211"/>
        <v>8200,00</v>
      </c>
      <c r="AX334" s="66">
        <f t="shared" si="212"/>
        <v>0</v>
      </c>
      <c r="AY334" s="66"/>
      <c r="AZ334" s="66">
        <f t="shared" si="213"/>
        <v>0</v>
      </c>
      <c r="BA334" s="30"/>
    </row>
    <row r="335" spans="1:53" ht="21.6" customHeight="1" x14ac:dyDescent="0.3">
      <c r="A335" s="2" t="s">
        <v>217</v>
      </c>
      <c r="B335" s="3" t="s">
        <v>51</v>
      </c>
      <c r="C335" s="3" t="s">
        <v>78</v>
      </c>
      <c r="D335" s="3" t="s">
        <v>53</v>
      </c>
      <c r="E335" s="3">
        <v>1028</v>
      </c>
      <c r="F335" s="3" t="s">
        <v>831</v>
      </c>
      <c r="G335" s="144">
        <v>690</v>
      </c>
      <c r="H335" s="394">
        <v>46196</v>
      </c>
      <c r="I335" s="50">
        <v>46220</v>
      </c>
      <c r="J335" s="15">
        <f t="shared" si="194"/>
        <v>24</v>
      </c>
      <c r="K335" s="3" t="s">
        <v>55</v>
      </c>
      <c r="L335" s="3" t="s">
        <v>56</v>
      </c>
      <c r="M335" s="3" t="s">
        <v>57</v>
      </c>
      <c r="N335" s="3" t="s">
        <v>832</v>
      </c>
      <c r="O335" s="3" t="s">
        <v>59</v>
      </c>
      <c r="P335" s="8">
        <v>3496.56</v>
      </c>
      <c r="Q335" s="44" t="s">
        <v>100</v>
      </c>
      <c r="R335" s="57">
        <f t="shared" si="219"/>
        <v>46196</v>
      </c>
      <c r="S335" s="13" t="s">
        <v>61</v>
      </c>
      <c r="T335" s="35">
        <v>46203</v>
      </c>
      <c r="U335" s="37">
        <v>46205</v>
      </c>
      <c r="V335" s="37">
        <f t="shared" si="197"/>
        <v>46220</v>
      </c>
      <c r="W335" s="59">
        <f t="shared" si="214"/>
        <v>24</v>
      </c>
      <c r="X335" s="59">
        <f t="shared" si="215"/>
        <v>9</v>
      </c>
      <c r="Y335" s="59">
        <f t="shared" si="216"/>
        <v>15</v>
      </c>
      <c r="Z335" s="39"/>
      <c r="AA335" s="4" t="s">
        <v>643</v>
      </c>
      <c r="AB335" s="35">
        <v>46203</v>
      </c>
      <c r="AC335" s="13" t="s">
        <v>833</v>
      </c>
      <c r="AD335" s="13">
        <v>7734</v>
      </c>
      <c r="AE335" s="13" t="s">
        <v>63</v>
      </c>
      <c r="AF335" s="35">
        <v>46088</v>
      </c>
      <c r="AG335" s="3" t="str">
        <f t="shared" si="198"/>
        <v>FOB</v>
      </c>
      <c r="AH335" s="13" t="s">
        <v>322</v>
      </c>
      <c r="AI335" s="36" t="e">
        <f>#REF!</f>
        <v>#REF!</v>
      </c>
      <c r="AJ335" s="36">
        <v>0</v>
      </c>
      <c r="AK335" s="142">
        <f t="shared" si="208"/>
        <v>0</v>
      </c>
      <c r="AL335" s="47" t="s">
        <v>781</v>
      </c>
      <c r="AM335" s="153" t="s">
        <v>691</v>
      </c>
      <c r="AN335" s="63">
        <f t="shared" si="209"/>
        <v>131</v>
      </c>
      <c r="AO335" s="34" t="s">
        <v>65</v>
      </c>
      <c r="AP335" s="64">
        <f t="shared" si="199"/>
        <v>46220</v>
      </c>
      <c r="AQ335" s="64" t="str">
        <f t="shared" si="210"/>
        <v>16/07/2026</v>
      </c>
      <c r="AR335" s="65">
        <f t="shared" si="217"/>
        <v>24</v>
      </c>
      <c r="AS335" s="65">
        <f t="shared" si="218"/>
        <v>23</v>
      </c>
      <c r="AT335" s="157">
        <f t="shared" si="200"/>
        <v>1</v>
      </c>
      <c r="AU335" s="28"/>
      <c r="AV335" s="28"/>
      <c r="AW335" s="109" t="str">
        <f t="shared" si="211"/>
        <v>3496,56</v>
      </c>
      <c r="AX335" s="66">
        <f t="shared" si="212"/>
        <v>0</v>
      </c>
      <c r="AY335" s="66"/>
      <c r="AZ335" s="66">
        <f t="shared" si="213"/>
        <v>0</v>
      </c>
      <c r="BA335" s="30"/>
    </row>
    <row r="336" spans="1:53" ht="21.6" customHeight="1" x14ac:dyDescent="0.3">
      <c r="A336" s="2" t="s">
        <v>76</v>
      </c>
      <c r="B336" s="3" t="s">
        <v>51</v>
      </c>
      <c r="C336" s="3" t="s">
        <v>78</v>
      </c>
      <c r="D336" s="3" t="s">
        <v>53</v>
      </c>
      <c r="E336" s="3">
        <v>3100042175</v>
      </c>
      <c r="F336" s="3" t="s">
        <v>834</v>
      </c>
      <c r="G336" s="144">
        <v>691</v>
      </c>
      <c r="H336" s="394">
        <v>46197</v>
      </c>
      <c r="I336" s="50">
        <v>46233</v>
      </c>
      <c r="J336" s="15">
        <f t="shared" si="194"/>
        <v>36</v>
      </c>
      <c r="K336" s="3" t="s">
        <v>70</v>
      </c>
      <c r="L336" s="3" t="s">
        <v>56</v>
      </c>
      <c r="M336" s="3" t="s">
        <v>81</v>
      </c>
      <c r="N336" s="3" t="s">
        <v>835</v>
      </c>
      <c r="O336" s="3" t="s">
        <v>59</v>
      </c>
      <c r="P336" s="8">
        <v>217083.4</v>
      </c>
      <c r="Q336" s="44" t="s">
        <v>100</v>
      </c>
      <c r="R336" s="57">
        <f t="shared" si="219"/>
        <v>46197</v>
      </c>
      <c r="S336" s="13" t="s">
        <v>61</v>
      </c>
      <c r="T336" s="35">
        <v>46227</v>
      </c>
      <c r="U336" s="37">
        <v>46231</v>
      </c>
      <c r="V336" s="37">
        <f t="shared" si="197"/>
        <v>46233</v>
      </c>
      <c r="W336" s="59">
        <f t="shared" si="214"/>
        <v>36</v>
      </c>
      <c r="X336" s="59">
        <f t="shared" si="215"/>
        <v>34</v>
      </c>
      <c r="Y336" s="59">
        <f t="shared" si="216"/>
        <v>2</v>
      </c>
      <c r="Z336" s="39"/>
      <c r="AA336" s="4" t="s">
        <v>836</v>
      </c>
      <c r="AB336" s="35">
        <v>46231</v>
      </c>
      <c r="AC336" s="246">
        <v>218584.12</v>
      </c>
      <c r="AD336" s="13">
        <v>7796</v>
      </c>
      <c r="AE336" s="13"/>
      <c r="AF336" s="35">
        <v>46233</v>
      </c>
      <c r="AG336" s="3" t="str">
        <f t="shared" si="198"/>
        <v>CIF</v>
      </c>
      <c r="AH336" s="13"/>
      <c r="AI336" s="36" t="e">
        <f>#REF!</f>
        <v>#REF!</v>
      </c>
      <c r="AJ336" s="36">
        <v>0</v>
      </c>
      <c r="AK336" s="142">
        <f t="shared" si="208"/>
        <v>0</v>
      </c>
      <c r="AL336" s="47"/>
      <c r="AM336" s="153">
        <v>46233</v>
      </c>
      <c r="AN336" s="63">
        <f t="shared" si="209"/>
        <v>0</v>
      </c>
      <c r="AO336" s="34" t="s">
        <v>65</v>
      </c>
      <c r="AP336" s="64">
        <f t="shared" si="199"/>
        <v>46233</v>
      </c>
      <c r="AQ336" s="64">
        <f t="shared" si="210"/>
        <v>46233</v>
      </c>
      <c r="AR336" s="65">
        <f t="shared" si="217"/>
        <v>36</v>
      </c>
      <c r="AS336" s="65">
        <f t="shared" si="218"/>
        <v>36</v>
      </c>
      <c r="AT336" s="157">
        <f t="shared" si="200"/>
        <v>0</v>
      </c>
      <c r="AU336" s="28"/>
      <c r="AV336" s="28"/>
      <c r="AW336" s="109">
        <f t="shared" si="211"/>
        <v>218584.12</v>
      </c>
      <c r="AX336" s="66">
        <f t="shared" si="212"/>
        <v>0</v>
      </c>
      <c r="AY336" s="66"/>
      <c r="AZ336" s="66">
        <f t="shared" si="213"/>
        <v>0</v>
      </c>
      <c r="BA336" s="30"/>
    </row>
    <row r="337" spans="1:53" ht="21.6" customHeight="1" x14ac:dyDescent="0.3">
      <c r="A337" s="2" t="s">
        <v>837</v>
      </c>
      <c r="B337" s="3" t="s">
        <v>77</v>
      </c>
      <c r="C337" s="3" t="s">
        <v>78</v>
      </c>
      <c r="D337" s="3" t="s">
        <v>53</v>
      </c>
      <c r="E337" s="3" t="s">
        <v>838</v>
      </c>
      <c r="F337" s="3" t="s">
        <v>839</v>
      </c>
      <c r="G337" s="144">
        <v>692</v>
      </c>
      <c r="H337" s="394">
        <v>46197</v>
      </c>
      <c r="I337" s="50">
        <v>46211</v>
      </c>
      <c r="J337" s="15">
        <f t="shared" si="194"/>
        <v>14</v>
      </c>
      <c r="K337" s="3" t="s">
        <v>55</v>
      </c>
      <c r="L337" s="3" t="s">
        <v>56</v>
      </c>
      <c r="M337" s="3" t="s">
        <v>208</v>
      </c>
      <c r="N337" s="3" t="s">
        <v>640</v>
      </c>
      <c r="O337" s="3" t="s">
        <v>59</v>
      </c>
      <c r="P337" s="8">
        <v>20299.63</v>
      </c>
      <c r="Q337" s="44" t="s">
        <v>100</v>
      </c>
      <c r="R337" s="57">
        <f t="shared" si="219"/>
        <v>46197</v>
      </c>
      <c r="S337" s="13" t="s">
        <v>61</v>
      </c>
      <c r="T337" s="35">
        <v>46206</v>
      </c>
      <c r="U337" s="37">
        <v>46211</v>
      </c>
      <c r="V337" s="37">
        <f t="shared" si="197"/>
        <v>46211</v>
      </c>
      <c r="W337" s="59">
        <f t="shared" si="214"/>
        <v>14</v>
      </c>
      <c r="X337" s="59">
        <f t="shared" si="215"/>
        <v>14</v>
      </c>
      <c r="Y337" s="59">
        <f t="shared" si="216"/>
        <v>0</v>
      </c>
      <c r="Z337" s="39"/>
      <c r="AA337" s="4" t="s">
        <v>735</v>
      </c>
      <c r="AB337" s="410">
        <v>46211</v>
      </c>
      <c r="AC337" s="358" t="s">
        <v>840</v>
      </c>
      <c r="AD337" s="13">
        <v>7757</v>
      </c>
      <c r="AE337" s="13" t="s">
        <v>63</v>
      </c>
      <c r="AF337" s="35" t="s">
        <v>781</v>
      </c>
      <c r="AG337" s="3" t="str">
        <f t="shared" si="198"/>
        <v>FOB</v>
      </c>
      <c r="AH337" s="383" t="s">
        <v>841</v>
      </c>
      <c r="AI337" s="36" t="e">
        <f>#REF!</f>
        <v>#REF!</v>
      </c>
      <c r="AJ337" s="36">
        <v>0</v>
      </c>
      <c r="AK337" s="142">
        <f t="shared" si="208"/>
        <v>0</v>
      </c>
      <c r="AL337" s="47"/>
      <c r="AM337" s="153">
        <v>46211</v>
      </c>
      <c r="AN337" s="63">
        <f t="shared" si="209"/>
        <v>-6</v>
      </c>
      <c r="AO337" s="34" t="s">
        <v>65</v>
      </c>
      <c r="AP337" s="64">
        <f t="shared" si="199"/>
        <v>46211</v>
      </c>
      <c r="AQ337" s="64">
        <f t="shared" si="210"/>
        <v>46211</v>
      </c>
      <c r="AR337" s="65">
        <f t="shared" si="217"/>
        <v>14</v>
      </c>
      <c r="AS337" s="65">
        <f t="shared" si="218"/>
        <v>14</v>
      </c>
      <c r="AT337" s="157">
        <f t="shared" si="200"/>
        <v>0</v>
      </c>
      <c r="AU337" s="28"/>
      <c r="AV337" s="28"/>
      <c r="AW337" s="109" t="str">
        <f t="shared" si="211"/>
        <v>20.299,63</v>
      </c>
      <c r="AX337" s="66">
        <f t="shared" si="212"/>
        <v>0</v>
      </c>
      <c r="AY337" s="66"/>
      <c r="AZ337" s="66">
        <f t="shared" si="213"/>
        <v>0</v>
      </c>
      <c r="BA337" s="30"/>
    </row>
    <row r="338" spans="1:53" ht="21.6" customHeight="1" x14ac:dyDescent="0.3">
      <c r="A338" s="2" t="s">
        <v>842</v>
      </c>
      <c r="B338" s="3" t="s">
        <v>171</v>
      </c>
      <c r="C338" s="3" t="s">
        <v>78</v>
      </c>
      <c r="D338" s="3"/>
      <c r="E338" s="3" t="s">
        <v>843</v>
      </c>
      <c r="F338" s="3" t="s">
        <v>844</v>
      </c>
      <c r="G338" s="144">
        <v>673</v>
      </c>
      <c r="H338" s="394">
        <v>46198</v>
      </c>
      <c r="I338" s="50">
        <v>46220</v>
      </c>
      <c r="J338" s="15">
        <f t="shared" si="194"/>
        <v>22</v>
      </c>
      <c r="K338" s="3" t="s">
        <v>55</v>
      </c>
      <c r="L338" s="3" t="s">
        <v>56</v>
      </c>
      <c r="M338" s="3" t="s">
        <v>186</v>
      </c>
      <c r="N338" s="3" t="s">
        <v>286</v>
      </c>
      <c r="O338" s="3" t="s">
        <v>59</v>
      </c>
      <c r="P338" s="8">
        <v>3697.22</v>
      </c>
      <c r="Q338" s="44" t="s">
        <v>100</v>
      </c>
      <c r="R338" s="57">
        <f t="shared" si="219"/>
        <v>46198</v>
      </c>
      <c r="S338" s="13" t="s">
        <v>61</v>
      </c>
      <c r="T338" s="35">
        <v>46220</v>
      </c>
      <c r="U338" s="37">
        <v>46220</v>
      </c>
      <c r="V338" s="37">
        <f t="shared" si="197"/>
        <v>46220</v>
      </c>
      <c r="W338" s="59">
        <f t="shared" si="214"/>
        <v>22</v>
      </c>
      <c r="X338" s="59">
        <f t="shared" si="215"/>
        <v>22</v>
      </c>
      <c r="Y338" s="59">
        <f t="shared" si="216"/>
        <v>0</v>
      </c>
      <c r="Z338" s="39"/>
      <c r="AA338" s="4" t="s">
        <v>814</v>
      </c>
      <c r="AB338" s="35">
        <v>46220</v>
      </c>
      <c r="AC338" s="32"/>
      <c r="AD338" s="13">
        <v>7776</v>
      </c>
      <c r="AE338" s="13"/>
      <c r="AF338" s="35" t="s">
        <v>714</v>
      </c>
      <c r="AG338" s="3" t="str">
        <f t="shared" si="198"/>
        <v>FOB</v>
      </c>
      <c r="AH338" s="13"/>
      <c r="AI338" s="36" t="e">
        <f>#REF!</f>
        <v>#REF!</v>
      </c>
      <c r="AJ338" s="36">
        <v>0</v>
      </c>
      <c r="AK338" s="142" t="e">
        <f t="shared" si="208"/>
        <v>#DIV/0!</v>
      </c>
      <c r="AL338" s="47"/>
      <c r="AM338" s="153">
        <v>46220</v>
      </c>
      <c r="AN338" s="63">
        <f t="shared" si="209"/>
        <v>-7</v>
      </c>
      <c r="AO338" s="34" t="s">
        <v>65</v>
      </c>
      <c r="AP338" s="64">
        <f t="shared" si="199"/>
        <v>46220</v>
      </c>
      <c r="AQ338" s="64">
        <f t="shared" si="210"/>
        <v>46220</v>
      </c>
      <c r="AR338" s="65">
        <f t="shared" si="217"/>
        <v>22</v>
      </c>
      <c r="AS338" s="65">
        <f t="shared" si="218"/>
        <v>22</v>
      </c>
      <c r="AT338" s="157">
        <f t="shared" si="200"/>
        <v>0</v>
      </c>
      <c r="AU338" s="28"/>
      <c r="AV338" s="28"/>
      <c r="AW338" s="109">
        <f t="shared" si="211"/>
        <v>0</v>
      </c>
      <c r="AX338" s="66">
        <f t="shared" si="212"/>
        <v>0</v>
      </c>
      <c r="AY338" s="66"/>
      <c r="AZ338" s="66">
        <f t="shared" si="213"/>
        <v>0</v>
      </c>
      <c r="BA338" s="30"/>
    </row>
    <row r="339" spans="1:53" ht="21.6" customHeight="1" x14ac:dyDescent="0.3">
      <c r="A339" s="2" t="s">
        <v>429</v>
      </c>
      <c r="B339" s="3" t="s">
        <v>171</v>
      </c>
      <c r="C339" s="3" t="s">
        <v>78</v>
      </c>
      <c r="D339" s="3"/>
      <c r="E339" s="3">
        <v>4900198817</v>
      </c>
      <c r="F339" s="3"/>
      <c r="G339" s="144">
        <v>693</v>
      </c>
      <c r="H339" s="394">
        <v>46198</v>
      </c>
      <c r="I339" s="50">
        <v>46223</v>
      </c>
      <c r="J339" s="15">
        <f t="shared" si="194"/>
        <v>25</v>
      </c>
      <c r="K339" s="3" t="s">
        <v>55</v>
      </c>
      <c r="L339" s="3" t="s">
        <v>56</v>
      </c>
      <c r="M339" s="3" t="s">
        <v>186</v>
      </c>
      <c r="N339" s="3" t="s">
        <v>190</v>
      </c>
      <c r="O339" s="3" t="s">
        <v>59</v>
      </c>
      <c r="P339" s="8">
        <v>3931.72</v>
      </c>
      <c r="Q339" s="44" t="s">
        <v>100</v>
      </c>
      <c r="R339" s="57">
        <f t="shared" si="219"/>
        <v>46198</v>
      </c>
      <c r="S339" s="13" t="s">
        <v>61</v>
      </c>
      <c r="T339" s="35">
        <v>46211</v>
      </c>
      <c r="U339" s="37">
        <v>46216</v>
      </c>
      <c r="V339" s="37">
        <f t="shared" si="197"/>
        <v>46223</v>
      </c>
      <c r="W339" s="59">
        <f t="shared" si="214"/>
        <v>25</v>
      </c>
      <c r="X339" s="59">
        <f t="shared" si="215"/>
        <v>18</v>
      </c>
      <c r="Y339" s="59">
        <f t="shared" si="216"/>
        <v>7</v>
      </c>
      <c r="Z339" s="39"/>
      <c r="AA339" s="4" t="s">
        <v>735</v>
      </c>
      <c r="AB339" s="410">
        <v>46211</v>
      </c>
      <c r="AC339" s="358" t="s">
        <v>845</v>
      </c>
      <c r="AD339" s="13">
        <v>7759</v>
      </c>
      <c r="AE339" s="13" t="s">
        <v>677</v>
      </c>
      <c r="AF339" s="35" t="s">
        <v>714</v>
      </c>
      <c r="AG339" s="3" t="str">
        <f t="shared" si="198"/>
        <v>FOB</v>
      </c>
      <c r="AH339" s="13" t="s">
        <v>846</v>
      </c>
      <c r="AI339" s="36" t="e">
        <f>#REF!</f>
        <v>#REF!</v>
      </c>
      <c r="AJ339" s="36">
        <v>0</v>
      </c>
      <c r="AK339" s="142">
        <f t="shared" si="208"/>
        <v>0</v>
      </c>
      <c r="AL339" s="47">
        <v>46089</v>
      </c>
      <c r="AM339" s="153">
        <v>46216</v>
      </c>
      <c r="AN339" s="63">
        <f t="shared" si="209"/>
        <v>-11</v>
      </c>
      <c r="AO339" s="34" t="s">
        <v>65</v>
      </c>
      <c r="AP339" s="64">
        <f t="shared" si="199"/>
        <v>46223</v>
      </c>
      <c r="AQ339" s="64">
        <f t="shared" si="210"/>
        <v>46216</v>
      </c>
      <c r="AR339" s="65">
        <f t="shared" si="217"/>
        <v>25</v>
      </c>
      <c r="AS339" s="65">
        <f t="shared" si="218"/>
        <v>18</v>
      </c>
      <c r="AT339" s="157">
        <f t="shared" si="200"/>
        <v>7</v>
      </c>
      <c r="AU339" s="28"/>
      <c r="AV339" s="28"/>
      <c r="AW339" s="109" t="str">
        <f t="shared" si="211"/>
        <v>3.931,72</v>
      </c>
      <c r="AX339" s="66">
        <f t="shared" si="212"/>
        <v>0</v>
      </c>
      <c r="AY339" s="66"/>
      <c r="AZ339" s="66">
        <f t="shared" si="213"/>
        <v>0</v>
      </c>
      <c r="BA339" s="30"/>
    </row>
    <row r="340" spans="1:53" ht="21.6" customHeight="1" x14ac:dyDescent="0.3">
      <c r="A340" s="2" t="s">
        <v>716</v>
      </c>
      <c r="B340" s="3" t="s">
        <v>91</v>
      </c>
      <c r="C340" s="3" t="s">
        <v>52</v>
      </c>
      <c r="D340" s="3" t="s">
        <v>53</v>
      </c>
      <c r="E340" s="3">
        <v>4996622473</v>
      </c>
      <c r="F340" s="3" t="s">
        <v>717</v>
      </c>
      <c r="G340" s="144" t="s">
        <v>847</v>
      </c>
      <c r="H340" s="394">
        <v>46168</v>
      </c>
      <c r="I340" s="50">
        <v>46203</v>
      </c>
      <c r="J340" s="15">
        <f t="shared" si="194"/>
        <v>35</v>
      </c>
      <c r="K340" s="3" t="s">
        <v>70</v>
      </c>
      <c r="L340" s="3" t="s">
        <v>56</v>
      </c>
      <c r="M340" s="3" t="s">
        <v>92</v>
      </c>
      <c r="N340" s="3" t="s">
        <v>718</v>
      </c>
      <c r="O340" s="3" t="s">
        <v>59</v>
      </c>
      <c r="P340" s="8">
        <v>27766.44</v>
      </c>
      <c r="Q340" s="44" t="s">
        <v>60</v>
      </c>
      <c r="R340" s="57">
        <f t="shared" si="219"/>
        <v>46168</v>
      </c>
      <c r="S340" s="13" t="s">
        <v>61</v>
      </c>
      <c r="T340" s="35">
        <v>46199</v>
      </c>
      <c r="U340" s="37">
        <v>46198</v>
      </c>
      <c r="V340" s="37">
        <f t="shared" si="197"/>
        <v>46203</v>
      </c>
      <c r="W340" s="59">
        <f t="shared" si="214"/>
        <v>35</v>
      </c>
      <c r="X340" s="59">
        <f t="shared" si="215"/>
        <v>30</v>
      </c>
      <c r="Y340" s="59">
        <f t="shared" si="216"/>
        <v>5</v>
      </c>
      <c r="Z340" s="39"/>
      <c r="AA340" s="4" t="s">
        <v>643</v>
      </c>
      <c r="AB340" s="35">
        <v>46199</v>
      </c>
      <c r="AC340" s="358" t="s">
        <v>848</v>
      </c>
      <c r="AD340" s="13">
        <v>7710</v>
      </c>
      <c r="AE340" s="13" t="s">
        <v>63</v>
      </c>
      <c r="AF340" s="35">
        <v>46185</v>
      </c>
      <c r="AG340" s="3" t="str">
        <f t="shared" si="198"/>
        <v>CIF</v>
      </c>
      <c r="AH340" s="247" t="s">
        <v>667</v>
      </c>
      <c r="AI340" s="36" t="e">
        <f>#REF!</f>
        <v>#REF!</v>
      </c>
      <c r="AJ340" s="36">
        <v>0</v>
      </c>
      <c r="AK340" s="142">
        <f t="shared" si="208"/>
        <v>0</v>
      </c>
      <c r="AL340" s="47"/>
      <c r="AM340" s="153">
        <v>46199</v>
      </c>
      <c r="AN340" s="63">
        <f t="shared" si="209"/>
        <v>14</v>
      </c>
      <c r="AO340" s="34" t="s">
        <v>65</v>
      </c>
      <c r="AP340" s="64">
        <f t="shared" ref="AP340:AP370" si="220">I340</f>
        <v>46203</v>
      </c>
      <c r="AQ340" s="64">
        <f t="shared" si="210"/>
        <v>46199</v>
      </c>
      <c r="AR340" s="65">
        <f t="shared" si="217"/>
        <v>35</v>
      </c>
      <c r="AS340" s="65">
        <f t="shared" si="218"/>
        <v>31</v>
      </c>
      <c r="AT340" s="157">
        <f t="shared" si="200"/>
        <v>4</v>
      </c>
      <c r="AU340" s="28"/>
      <c r="AV340" s="28"/>
      <c r="AW340" s="109" t="str">
        <f t="shared" si="211"/>
        <v>27.766,44</v>
      </c>
      <c r="AX340" s="66">
        <f t="shared" si="212"/>
        <v>0</v>
      </c>
      <c r="AY340" s="66"/>
      <c r="AZ340" s="66">
        <f t="shared" si="213"/>
        <v>0</v>
      </c>
      <c r="BA340" s="30"/>
    </row>
    <row r="341" spans="1:53" ht="21.6" customHeight="1" x14ac:dyDescent="0.3">
      <c r="A341" s="2" t="s">
        <v>90</v>
      </c>
      <c r="B341" s="3" t="s">
        <v>91</v>
      </c>
      <c r="C341" s="3" t="s">
        <v>78</v>
      </c>
      <c r="D341" s="3" t="s">
        <v>53</v>
      </c>
      <c r="E341" s="3">
        <v>4413395742</v>
      </c>
      <c r="F341" s="3" t="s">
        <v>53</v>
      </c>
      <c r="G341" s="144" t="s">
        <v>849</v>
      </c>
      <c r="H341" s="394">
        <v>46181</v>
      </c>
      <c r="I341" s="50">
        <v>46196</v>
      </c>
      <c r="J341" s="15">
        <f t="shared" ref="J341:J342" si="221">I341-H341</f>
        <v>15</v>
      </c>
      <c r="K341" s="3" t="s">
        <v>70</v>
      </c>
      <c r="L341" s="3" t="s">
        <v>56</v>
      </c>
      <c r="M341" s="3" t="s">
        <v>92</v>
      </c>
      <c r="N341" s="3" t="s">
        <v>93</v>
      </c>
      <c r="O341" s="3" t="s">
        <v>59</v>
      </c>
      <c r="P341" s="8">
        <v>665</v>
      </c>
      <c r="Q341" s="44" t="s">
        <v>60</v>
      </c>
      <c r="R341" s="57">
        <f t="shared" si="219"/>
        <v>46181</v>
      </c>
      <c r="S341" s="13" t="s">
        <v>61</v>
      </c>
      <c r="T341" s="35">
        <v>46206</v>
      </c>
      <c r="U341" s="37">
        <v>46206</v>
      </c>
      <c r="V341" s="37">
        <f t="shared" si="197"/>
        <v>46196</v>
      </c>
      <c r="W341" s="59">
        <f t="shared" si="214"/>
        <v>15</v>
      </c>
      <c r="X341" s="59">
        <f t="shared" si="215"/>
        <v>25</v>
      </c>
      <c r="Y341" s="59">
        <f t="shared" si="216"/>
        <v>-10</v>
      </c>
      <c r="Z341" s="39"/>
      <c r="AA341" s="4" t="s">
        <v>726</v>
      </c>
      <c r="AB341" s="35">
        <v>46196</v>
      </c>
      <c r="AC341" s="13" t="s">
        <v>850</v>
      </c>
      <c r="AD341" s="13">
        <v>7700</v>
      </c>
      <c r="AE341" s="13" t="s">
        <v>63</v>
      </c>
      <c r="AF341" s="35">
        <v>46196</v>
      </c>
      <c r="AG341" s="3" t="str">
        <f t="shared" si="198"/>
        <v>CIF</v>
      </c>
      <c r="AH341" s="247" t="s">
        <v>667</v>
      </c>
      <c r="AI341" s="36" t="e">
        <f>#REF!</f>
        <v>#REF!</v>
      </c>
      <c r="AJ341" s="36">
        <v>0</v>
      </c>
      <c r="AK341" s="142">
        <f t="shared" si="208"/>
        <v>0</v>
      </c>
      <c r="AL341" s="47"/>
      <c r="AM341" s="153">
        <v>46196</v>
      </c>
      <c r="AN341" s="63">
        <f t="shared" si="209"/>
        <v>0</v>
      </c>
      <c r="AO341" s="34" t="s">
        <v>65</v>
      </c>
      <c r="AP341" s="64">
        <f t="shared" si="220"/>
        <v>46196</v>
      </c>
      <c r="AQ341" s="64">
        <f t="shared" si="210"/>
        <v>46196</v>
      </c>
      <c r="AR341" s="65">
        <f t="shared" si="217"/>
        <v>15</v>
      </c>
      <c r="AS341" s="65">
        <f t="shared" si="218"/>
        <v>15</v>
      </c>
      <c r="AT341" s="157">
        <f t="shared" si="200"/>
        <v>0</v>
      </c>
      <c r="AU341" s="28"/>
      <c r="AV341" s="28"/>
      <c r="AW341" s="109" t="str">
        <f t="shared" si="211"/>
        <v>8125,00</v>
      </c>
      <c r="AX341" s="66">
        <f t="shared" si="212"/>
        <v>0</v>
      </c>
      <c r="AY341" s="66"/>
      <c r="AZ341" s="66">
        <f t="shared" si="213"/>
        <v>0</v>
      </c>
      <c r="BA341" s="30"/>
    </row>
    <row r="342" spans="1:53" ht="21.6" customHeight="1" x14ac:dyDescent="0.3">
      <c r="A342" s="2" t="s">
        <v>401</v>
      </c>
      <c r="B342" s="3" t="s">
        <v>91</v>
      </c>
      <c r="C342" s="3" t="s">
        <v>78</v>
      </c>
      <c r="D342" s="3"/>
      <c r="E342" s="3">
        <v>1200397979</v>
      </c>
      <c r="F342" s="3" t="s">
        <v>784</v>
      </c>
      <c r="G342" s="144" t="s">
        <v>851</v>
      </c>
      <c r="H342" s="394">
        <v>46188</v>
      </c>
      <c r="I342" s="50">
        <v>46218</v>
      </c>
      <c r="J342" s="15">
        <f t="shared" si="221"/>
        <v>30</v>
      </c>
      <c r="K342" s="3" t="s">
        <v>55</v>
      </c>
      <c r="L342" s="3" t="s">
        <v>56</v>
      </c>
      <c r="M342" s="3" t="s">
        <v>92</v>
      </c>
      <c r="N342" s="3" t="s">
        <v>252</v>
      </c>
      <c r="O342" s="3" t="s">
        <v>59</v>
      </c>
      <c r="P342" s="8">
        <v>31476.7</v>
      </c>
      <c r="Q342" s="44" t="s">
        <v>100</v>
      </c>
      <c r="R342" s="57">
        <f t="shared" si="219"/>
        <v>46188</v>
      </c>
      <c r="S342" s="13" t="s">
        <v>61</v>
      </c>
      <c r="T342" s="35">
        <v>46213</v>
      </c>
      <c r="U342" s="37">
        <v>46216</v>
      </c>
      <c r="V342" s="37">
        <f t="shared" si="197"/>
        <v>46218</v>
      </c>
      <c r="W342" s="59">
        <f t="shared" si="214"/>
        <v>30</v>
      </c>
      <c r="X342" s="59">
        <f t="shared" si="215"/>
        <v>28</v>
      </c>
      <c r="Y342" s="59">
        <f t="shared" si="216"/>
        <v>2</v>
      </c>
      <c r="Z342" s="39"/>
      <c r="AA342" s="4" t="s">
        <v>735</v>
      </c>
      <c r="AB342" s="35">
        <v>46217</v>
      </c>
      <c r="AC342" s="13"/>
      <c r="AD342" s="13">
        <v>7764</v>
      </c>
      <c r="AE342" s="13"/>
      <c r="AF342" s="35"/>
      <c r="AG342" s="3" t="str">
        <f t="shared" si="198"/>
        <v>FOB</v>
      </c>
      <c r="AH342" s="13" t="s">
        <v>786</v>
      </c>
      <c r="AI342" s="36" t="e">
        <f>#REF!</f>
        <v>#REF!</v>
      </c>
      <c r="AJ342" s="36">
        <v>0</v>
      </c>
      <c r="AK342" s="142" t="e">
        <f t="shared" si="208"/>
        <v>#DIV/0!</v>
      </c>
      <c r="AL342" s="47"/>
      <c r="AM342" s="153">
        <v>46216</v>
      </c>
      <c r="AN342" s="63">
        <f t="shared" si="209"/>
        <v>46216</v>
      </c>
      <c r="AO342" s="34" t="s">
        <v>65</v>
      </c>
      <c r="AP342" s="64">
        <f t="shared" si="220"/>
        <v>46218</v>
      </c>
      <c r="AQ342" s="64">
        <f t="shared" si="210"/>
        <v>46216</v>
      </c>
      <c r="AR342" s="65">
        <f t="shared" si="217"/>
        <v>30</v>
      </c>
      <c r="AS342" s="65">
        <f t="shared" si="218"/>
        <v>28</v>
      </c>
      <c r="AT342" s="157">
        <f t="shared" si="200"/>
        <v>2</v>
      </c>
      <c r="AU342" s="28"/>
      <c r="AV342" s="28"/>
      <c r="AW342" s="109">
        <f t="shared" si="211"/>
        <v>0</v>
      </c>
      <c r="AX342" s="66">
        <f t="shared" si="212"/>
        <v>0</v>
      </c>
      <c r="AY342" s="66"/>
      <c r="AZ342" s="66">
        <f t="shared" si="213"/>
        <v>0</v>
      </c>
      <c r="BA342" s="30"/>
    </row>
    <row r="343" spans="1:53" ht="21.6" customHeight="1" x14ac:dyDescent="0.45">
      <c r="A343" s="2" t="s">
        <v>852</v>
      </c>
      <c r="B343" s="3" t="s">
        <v>96</v>
      </c>
      <c r="C343" s="3" t="s">
        <v>78</v>
      </c>
      <c r="D343" s="3"/>
      <c r="E343" s="3"/>
      <c r="F343" s="3" t="s">
        <v>853</v>
      </c>
      <c r="G343" s="144">
        <v>697</v>
      </c>
      <c r="H343" s="394">
        <v>46199</v>
      </c>
      <c r="I343" s="50">
        <v>46229</v>
      </c>
      <c r="J343" s="15">
        <f t="shared" si="194"/>
        <v>30</v>
      </c>
      <c r="K343" s="3" t="s">
        <v>55</v>
      </c>
      <c r="L343" s="3" t="s">
        <v>56</v>
      </c>
      <c r="M343" s="3" t="s">
        <v>98</v>
      </c>
      <c r="N343" s="3" t="s">
        <v>854</v>
      </c>
      <c r="O343" s="3" t="s">
        <v>59</v>
      </c>
      <c r="P343" s="8">
        <v>2290</v>
      </c>
      <c r="Q343" s="44" t="s">
        <v>100</v>
      </c>
      <c r="R343" s="57">
        <f t="shared" si="219"/>
        <v>46199</v>
      </c>
      <c r="S343" s="13" t="s">
        <v>61</v>
      </c>
      <c r="T343" s="35">
        <v>46203</v>
      </c>
      <c r="U343" s="37">
        <v>46205</v>
      </c>
      <c r="V343" s="37">
        <f t="shared" si="197"/>
        <v>46229</v>
      </c>
      <c r="W343" s="59">
        <f t="shared" si="214"/>
        <v>30</v>
      </c>
      <c r="X343" s="59">
        <f t="shared" si="215"/>
        <v>6</v>
      </c>
      <c r="Y343" s="59">
        <f t="shared" si="216"/>
        <v>24</v>
      </c>
      <c r="Z343" s="39"/>
      <c r="AA343" s="4" t="s">
        <v>643</v>
      </c>
      <c r="AB343" s="35">
        <v>46180</v>
      </c>
      <c r="AC343" s="13" t="s">
        <v>855</v>
      </c>
      <c r="AD343" s="13">
        <v>7735</v>
      </c>
      <c r="AE343" s="13" t="s">
        <v>63</v>
      </c>
      <c r="AF343" s="35">
        <v>46180</v>
      </c>
      <c r="AG343" s="3" t="str">
        <f t="shared" si="198"/>
        <v>FOB</v>
      </c>
      <c r="AH343" s="13" t="s">
        <v>829</v>
      </c>
      <c r="AI343" s="36" t="e">
        <f>#REF!</f>
        <v>#REF!</v>
      </c>
      <c r="AJ343" s="36">
        <v>0</v>
      </c>
      <c r="AK343" s="142">
        <f t="shared" si="208"/>
        <v>0</v>
      </c>
      <c r="AL343" s="47"/>
      <c r="AM343" s="155">
        <v>46205</v>
      </c>
      <c r="AN343" s="63">
        <f t="shared" si="209"/>
        <v>25</v>
      </c>
      <c r="AO343" s="34" t="s">
        <v>65</v>
      </c>
      <c r="AP343" s="64">
        <f t="shared" si="220"/>
        <v>46229</v>
      </c>
      <c r="AQ343" s="64">
        <f t="shared" si="210"/>
        <v>46205</v>
      </c>
      <c r="AR343" s="65">
        <f t="shared" si="217"/>
        <v>30</v>
      </c>
      <c r="AS343" s="65">
        <f t="shared" si="218"/>
        <v>6</v>
      </c>
      <c r="AT343" s="157">
        <f t="shared" si="200"/>
        <v>24</v>
      </c>
      <c r="AU343" s="28"/>
      <c r="AV343" s="28"/>
      <c r="AW343" s="109" t="str">
        <f t="shared" si="211"/>
        <v>2290,00</v>
      </c>
      <c r="AX343" s="66">
        <f t="shared" si="212"/>
        <v>0</v>
      </c>
      <c r="AY343" s="66"/>
      <c r="AZ343" s="66">
        <f t="shared" si="213"/>
        <v>0</v>
      </c>
      <c r="BA343" s="30"/>
    </row>
    <row r="344" spans="1:53" ht="21.6" customHeight="1" x14ac:dyDescent="0.3">
      <c r="A344" s="2" t="s">
        <v>307</v>
      </c>
      <c r="B344" s="3" t="s">
        <v>91</v>
      </c>
      <c r="C344" s="3" t="s">
        <v>78</v>
      </c>
      <c r="D344" s="3">
        <v>4600016155</v>
      </c>
      <c r="E344" s="3">
        <v>4501948037</v>
      </c>
      <c r="F344" s="3" t="s">
        <v>53</v>
      </c>
      <c r="G344" s="144" t="s">
        <v>856</v>
      </c>
      <c r="H344" s="394">
        <v>46192</v>
      </c>
      <c r="I344" s="50">
        <v>46251</v>
      </c>
      <c r="J344" s="15">
        <f t="shared" ref="J344" si="222">I344-H344</f>
        <v>59</v>
      </c>
      <c r="K344" s="3" t="s">
        <v>70</v>
      </c>
      <c r="L344" s="3" t="s">
        <v>56</v>
      </c>
      <c r="M344" s="3" t="s">
        <v>92</v>
      </c>
      <c r="N344" s="3" t="s">
        <v>363</v>
      </c>
      <c r="O344" s="3" t="s">
        <v>59</v>
      </c>
      <c r="P344" s="8">
        <v>10527.8</v>
      </c>
      <c r="Q344" s="44" t="s">
        <v>100</v>
      </c>
      <c r="R344" s="57">
        <f t="shared" si="219"/>
        <v>46192</v>
      </c>
      <c r="S344" s="13" t="s">
        <v>61</v>
      </c>
      <c r="T344" s="35">
        <v>46183</v>
      </c>
      <c r="U344" s="37">
        <v>46216</v>
      </c>
      <c r="V344" s="37">
        <f t="shared" si="197"/>
        <v>46251</v>
      </c>
      <c r="W344" s="59">
        <f t="shared" si="214"/>
        <v>59</v>
      </c>
      <c r="X344" s="59">
        <f t="shared" si="215"/>
        <v>24</v>
      </c>
      <c r="Y344" s="59">
        <f t="shared" si="216"/>
        <v>35</v>
      </c>
      <c r="Z344" s="39"/>
      <c r="AA344" s="4" t="s">
        <v>735</v>
      </c>
      <c r="AB344" s="410">
        <v>46216</v>
      </c>
      <c r="AC344" s="358" t="s">
        <v>857</v>
      </c>
      <c r="AD344" s="13">
        <v>7761</v>
      </c>
      <c r="AE344" s="13" t="s">
        <v>63</v>
      </c>
      <c r="AF344" s="35">
        <v>46197</v>
      </c>
      <c r="AG344" s="3" t="str">
        <f t="shared" si="198"/>
        <v>CIF</v>
      </c>
      <c r="AH344" s="13" t="s">
        <v>858</v>
      </c>
      <c r="AI344" s="36" t="e">
        <f>#REF!</f>
        <v>#REF!</v>
      </c>
      <c r="AJ344" s="36">
        <v>0</v>
      </c>
      <c r="AK344" s="142">
        <f t="shared" si="208"/>
        <v>0</v>
      </c>
      <c r="AL344" s="47"/>
      <c r="AM344" s="153">
        <v>46217</v>
      </c>
      <c r="AN344" s="63">
        <f t="shared" si="209"/>
        <v>20</v>
      </c>
      <c r="AO344" s="34" t="s">
        <v>65</v>
      </c>
      <c r="AP344" s="64">
        <f t="shared" si="220"/>
        <v>46251</v>
      </c>
      <c r="AQ344" s="64">
        <f t="shared" si="210"/>
        <v>46217</v>
      </c>
      <c r="AR344" s="65">
        <f t="shared" si="217"/>
        <v>59</v>
      </c>
      <c r="AS344" s="65">
        <f t="shared" si="218"/>
        <v>25</v>
      </c>
      <c r="AT344" s="157">
        <f t="shared" si="200"/>
        <v>34</v>
      </c>
      <c r="AU344" s="28"/>
      <c r="AV344" s="28"/>
      <c r="AW344" s="109" t="str">
        <f t="shared" si="211"/>
        <v>10.527,80</v>
      </c>
      <c r="AX344" s="66">
        <f t="shared" si="212"/>
        <v>0</v>
      </c>
      <c r="AY344" s="66"/>
      <c r="AZ344" s="66">
        <f t="shared" si="213"/>
        <v>0</v>
      </c>
      <c r="BA344" s="30"/>
    </row>
    <row r="345" spans="1:53" ht="21.6" customHeight="1" x14ac:dyDescent="0.3">
      <c r="A345" s="2" t="s">
        <v>148</v>
      </c>
      <c r="B345" s="3" t="s">
        <v>51</v>
      </c>
      <c r="C345" s="3" t="s">
        <v>52</v>
      </c>
      <c r="D345" s="3" t="s">
        <v>53</v>
      </c>
      <c r="E345" s="3"/>
      <c r="F345" s="3" t="s">
        <v>801</v>
      </c>
      <c r="G345" s="144" t="s">
        <v>859</v>
      </c>
      <c r="H345" s="394">
        <v>46190</v>
      </c>
      <c r="I345" s="50">
        <v>46205</v>
      </c>
      <c r="J345" s="15">
        <f>I345-H345</f>
        <v>15</v>
      </c>
      <c r="K345" s="3" t="s">
        <v>55</v>
      </c>
      <c r="L345" s="3" t="s">
        <v>56</v>
      </c>
      <c r="M345" s="3" t="s">
        <v>57</v>
      </c>
      <c r="N345" s="3" t="s">
        <v>87</v>
      </c>
      <c r="O345" s="3" t="s">
        <v>59</v>
      </c>
      <c r="P345" s="8">
        <v>12539.2</v>
      </c>
      <c r="Q345" s="44" t="s">
        <v>100</v>
      </c>
      <c r="R345" s="57">
        <f>H345</f>
        <v>46190</v>
      </c>
      <c r="S345" s="13" t="s">
        <v>61</v>
      </c>
      <c r="T345" s="35">
        <v>46203</v>
      </c>
      <c r="U345" s="37">
        <v>46202</v>
      </c>
      <c r="V345" s="37">
        <f>I345</f>
        <v>46205</v>
      </c>
      <c r="W345" s="59">
        <f t="shared" si="214"/>
        <v>15</v>
      </c>
      <c r="X345" s="59">
        <f t="shared" si="215"/>
        <v>12</v>
      </c>
      <c r="Y345" s="59">
        <f t="shared" si="216"/>
        <v>3</v>
      </c>
      <c r="Z345" s="39"/>
      <c r="AA345" s="4" t="s">
        <v>643</v>
      </c>
      <c r="AB345" s="35">
        <v>46192</v>
      </c>
      <c r="AC345" s="353">
        <v>6224.58</v>
      </c>
      <c r="AD345" s="13">
        <v>7694</v>
      </c>
      <c r="AE345" s="13" t="s">
        <v>63</v>
      </c>
      <c r="AF345" s="35">
        <v>46192</v>
      </c>
      <c r="AG345" s="3" t="str">
        <f>K345</f>
        <v>FOB</v>
      </c>
      <c r="AH345" s="13" t="s">
        <v>860</v>
      </c>
      <c r="AI345" s="36" t="e">
        <f>#REF!</f>
        <v>#REF!</v>
      </c>
      <c r="AJ345" s="36">
        <v>0</v>
      </c>
      <c r="AK345" s="142">
        <f t="shared" si="208"/>
        <v>0</v>
      </c>
      <c r="AL345" s="47"/>
      <c r="AM345" s="153">
        <v>46202</v>
      </c>
      <c r="AN345" s="63">
        <f t="shared" si="209"/>
        <v>10</v>
      </c>
      <c r="AO345" s="34" t="s">
        <v>65</v>
      </c>
      <c r="AP345" s="64">
        <f>I345</f>
        <v>46205</v>
      </c>
      <c r="AQ345" s="64">
        <f t="shared" si="210"/>
        <v>46202</v>
      </c>
      <c r="AR345" s="65">
        <f t="shared" si="217"/>
        <v>15</v>
      </c>
      <c r="AS345" s="65">
        <f t="shared" si="218"/>
        <v>12</v>
      </c>
      <c r="AT345" s="157">
        <f t="shared" si="200"/>
        <v>3</v>
      </c>
      <c r="AU345" s="28"/>
      <c r="AV345" s="28"/>
      <c r="AW345" s="109">
        <f t="shared" si="211"/>
        <v>6224.58</v>
      </c>
      <c r="AX345" s="66">
        <f t="shared" si="212"/>
        <v>0</v>
      </c>
      <c r="AY345" s="66"/>
      <c r="AZ345" s="66">
        <f t="shared" si="213"/>
        <v>0</v>
      </c>
      <c r="BA345" s="30"/>
    </row>
    <row r="346" spans="1:53" ht="21.6" customHeight="1" x14ac:dyDescent="0.3">
      <c r="A346" s="2" t="s">
        <v>137</v>
      </c>
      <c r="B346" s="3"/>
      <c r="C346" s="3" t="s">
        <v>78</v>
      </c>
      <c r="D346" s="3"/>
      <c r="E346" s="3"/>
      <c r="F346" s="3"/>
      <c r="G346" s="144">
        <v>698</v>
      </c>
      <c r="H346" s="394">
        <v>46202</v>
      </c>
      <c r="I346" s="50">
        <v>46232</v>
      </c>
      <c r="J346" s="15">
        <f t="shared" si="194"/>
        <v>30</v>
      </c>
      <c r="K346" s="3" t="s">
        <v>55</v>
      </c>
      <c r="L346" s="3" t="s">
        <v>139</v>
      </c>
      <c r="M346" s="3" t="s">
        <v>72</v>
      </c>
      <c r="N346" s="3"/>
      <c r="O346" s="3" t="s">
        <v>59</v>
      </c>
      <c r="P346" s="8">
        <v>28029</v>
      </c>
      <c r="Q346" s="44" t="s">
        <v>60</v>
      </c>
      <c r="R346" s="57">
        <f t="shared" si="219"/>
        <v>46202</v>
      </c>
      <c r="S346" s="13" t="s">
        <v>61</v>
      </c>
      <c r="T346" s="35">
        <v>46234</v>
      </c>
      <c r="U346" s="37">
        <v>46237</v>
      </c>
      <c r="V346" s="37">
        <f t="shared" si="197"/>
        <v>46232</v>
      </c>
      <c r="W346" s="59">
        <f t="shared" si="214"/>
        <v>30</v>
      </c>
      <c r="X346" s="59">
        <f t="shared" si="215"/>
        <v>35</v>
      </c>
      <c r="Y346" s="59">
        <f t="shared" si="216"/>
        <v>-5</v>
      </c>
      <c r="Z346" s="39"/>
      <c r="AA346" s="4" t="s">
        <v>702</v>
      </c>
      <c r="AB346" s="35">
        <v>46234</v>
      </c>
      <c r="AC346" s="13"/>
      <c r="AD346" s="13">
        <v>7814</v>
      </c>
      <c r="AE346" s="13"/>
      <c r="AF346" s="35">
        <v>46334</v>
      </c>
      <c r="AG346" s="3" t="str">
        <f t="shared" si="198"/>
        <v>FOB</v>
      </c>
      <c r="AH346" s="13"/>
      <c r="AI346" s="36" t="e">
        <f>#REF!</f>
        <v>#REF!</v>
      </c>
      <c r="AJ346" s="36">
        <v>0</v>
      </c>
      <c r="AK346" s="142" t="e">
        <f t="shared" si="208"/>
        <v>#DIV/0!</v>
      </c>
      <c r="AL346" s="47"/>
      <c r="AM346" s="153">
        <v>46240</v>
      </c>
      <c r="AN346" s="63">
        <f t="shared" si="209"/>
        <v>-94</v>
      </c>
      <c r="AO346" s="34" t="s">
        <v>103</v>
      </c>
      <c r="AP346" s="64">
        <f t="shared" si="220"/>
        <v>46232</v>
      </c>
      <c r="AQ346" s="64">
        <f t="shared" si="210"/>
        <v>46240</v>
      </c>
      <c r="AR346" s="65">
        <f t="shared" si="217"/>
        <v>30</v>
      </c>
      <c r="AS346" s="65">
        <f t="shared" si="218"/>
        <v>38</v>
      </c>
      <c r="AT346" s="157">
        <f t="shared" si="200"/>
        <v>-8</v>
      </c>
      <c r="AU346" s="28" t="s">
        <v>861</v>
      </c>
      <c r="AV346" s="28" t="s">
        <v>116</v>
      </c>
      <c r="AW346" s="109">
        <f t="shared" si="211"/>
        <v>0</v>
      </c>
      <c r="AX346" s="66">
        <f t="shared" si="212"/>
        <v>0</v>
      </c>
      <c r="AY346" s="66"/>
      <c r="AZ346" s="66">
        <f t="shared" si="213"/>
        <v>0</v>
      </c>
      <c r="BA346" s="30"/>
    </row>
    <row r="347" spans="1:53" ht="21.6" customHeight="1" x14ac:dyDescent="0.3">
      <c r="A347" s="2" t="s">
        <v>570</v>
      </c>
      <c r="B347" s="3" t="s">
        <v>51</v>
      </c>
      <c r="C347" s="3" t="s">
        <v>78</v>
      </c>
      <c r="D347" s="3">
        <v>4600677427</v>
      </c>
      <c r="E347" s="3">
        <v>4515365836</v>
      </c>
      <c r="F347" s="3" t="s">
        <v>53</v>
      </c>
      <c r="G347" s="144">
        <v>699</v>
      </c>
      <c r="H347" s="394">
        <v>46203</v>
      </c>
      <c r="I347" s="50">
        <v>46232</v>
      </c>
      <c r="J347" s="15">
        <f t="shared" si="194"/>
        <v>29</v>
      </c>
      <c r="K347" s="3" t="s">
        <v>70</v>
      </c>
      <c r="L347" s="3" t="s">
        <v>56</v>
      </c>
      <c r="M347" s="3" t="s">
        <v>57</v>
      </c>
      <c r="N347" s="3" t="s">
        <v>862</v>
      </c>
      <c r="O347" s="3" t="s">
        <v>59</v>
      </c>
      <c r="P347" s="8">
        <v>1685.29</v>
      </c>
      <c r="Q347" s="44" t="s">
        <v>100</v>
      </c>
      <c r="R347" s="57">
        <f t="shared" si="219"/>
        <v>46203</v>
      </c>
      <c r="S347" s="13" t="s">
        <v>61</v>
      </c>
      <c r="T347" s="35">
        <v>46213</v>
      </c>
      <c r="U347" s="37">
        <v>46218</v>
      </c>
      <c r="V347" s="37">
        <f t="shared" si="197"/>
        <v>46232</v>
      </c>
      <c r="W347" s="59">
        <f t="shared" si="214"/>
        <v>29</v>
      </c>
      <c r="X347" s="59">
        <f t="shared" si="215"/>
        <v>15</v>
      </c>
      <c r="Y347" s="59">
        <f t="shared" si="216"/>
        <v>14</v>
      </c>
      <c r="Z347" s="39"/>
      <c r="AA347" s="4" t="s">
        <v>735</v>
      </c>
      <c r="AB347" s="410">
        <v>46219</v>
      </c>
      <c r="AC347" s="13" t="s">
        <v>863</v>
      </c>
      <c r="AD347" s="13">
        <v>7769</v>
      </c>
      <c r="AE347" s="13"/>
      <c r="AF347" s="35" t="s">
        <v>864</v>
      </c>
      <c r="AG347" s="3" t="str">
        <f t="shared" si="198"/>
        <v>CIF</v>
      </c>
      <c r="AH347" s="13" t="s">
        <v>865</v>
      </c>
      <c r="AI347" s="36" t="e">
        <f>#REF!</f>
        <v>#REF!</v>
      </c>
      <c r="AJ347" s="36">
        <v>0</v>
      </c>
      <c r="AK347" s="142">
        <f t="shared" si="208"/>
        <v>0</v>
      </c>
      <c r="AL347" s="47"/>
      <c r="AM347" s="153">
        <v>46231</v>
      </c>
      <c r="AN347" s="63">
        <f t="shared" si="209"/>
        <v>11</v>
      </c>
      <c r="AO347" s="34" t="s">
        <v>65</v>
      </c>
      <c r="AP347" s="64">
        <f t="shared" si="220"/>
        <v>46232</v>
      </c>
      <c r="AQ347" s="64">
        <f t="shared" si="210"/>
        <v>46231</v>
      </c>
      <c r="AR347" s="65">
        <f t="shared" si="217"/>
        <v>29</v>
      </c>
      <c r="AS347" s="65">
        <f t="shared" si="218"/>
        <v>28</v>
      </c>
      <c r="AT347" s="157">
        <f t="shared" si="200"/>
        <v>1</v>
      </c>
      <c r="AU347" s="28"/>
      <c r="AV347" s="28"/>
      <c r="AW347" s="109" t="str">
        <f t="shared" si="211"/>
        <v>1685,20</v>
      </c>
      <c r="AX347" s="66">
        <f t="shared" si="212"/>
        <v>0</v>
      </c>
      <c r="AY347" s="66"/>
      <c r="AZ347" s="66">
        <f t="shared" si="213"/>
        <v>0</v>
      </c>
      <c r="BA347" s="30"/>
    </row>
    <row r="348" spans="1:53" ht="21.6" customHeight="1" x14ac:dyDescent="0.3">
      <c r="A348" s="2" t="s">
        <v>90</v>
      </c>
      <c r="B348" s="3" t="s">
        <v>91</v>
      </c>
      <c r="C348" s="3" t="s">
        <v>78</v>
      </c>
      <c r="D348" s="3" t="s">
        <v>53</v>
      </c>
      <c r="E348" s="3">
        <v>4413607073</v>
      </c>
      <c r="F348" s="3" t="s">
        <v>53</v>
      </c>
      <c r="G348" s="144">
        <v>700</v>
      </c>
      <c r="H348" s="394">
        <v>46203</v>
      </c>
      <c r="I348" s="50">
        <v>46223</v>
      </c>
      <c r="J348" s="15">
        <f t="shared" si="194"/>
        <v>20</v>
      </c>
      <c r="K348" s="3" t="s">
        <v>70</v>
      </c>
      <c r="L348" s="3" t="s">
        <v>56</v>
      </c>
      <c r="M348" s="3" t="s">
        <v>92</v>
      </c>
      <c r="N348" s="3" t="s">
        <v>866</v>
      </c>
      <c r="O348" s="3" t="s">
        <v>59</v>
      </c>
      <c r="P348" s="8">
        <v>2456</v>
      </c>
      <c r="Q348" s="44" t="s">
        <v>100</v>
      </c>
      <c r="R348" s="57">
        <f t="shared" si="219"/>
        <v>46203</v>
      </c>
      <c r="S348" s="13" t="s">
        <v>61</v>
      </c>
      <c r="T348" s="35">
        <v>46211</v>
      </c>
      <c r="U348" s="37">
        <v>46206</v>
      </c>
      <c r="V348" s="37">
        <f t="shared" si="197"/>
        <v>46223</v>
      </c>
      <c r="W348" s="59">
        <f t="shared" si="214"/>
        <v>20</v>
      </c>
      <c r="X348" s="59">
        <f t="shared" si="215"/>
        <v>3</v>
      </c>
      <c r="Y348" s="59">
        <f t="shared" si="216"/>
        <v>17</v>
      </c>
      <c r="Z348" s="39"/>
      <c r="AA348" s="4" t="s">
        <v>726</v>
      </c>
      <c r="AB348" s="35">
        <v>46206</v>
      </c>
      <c r="AC348" s="13" t="s">
        <v>867</v>
      </c>
      <c r="AD348" s="13">
        <v>7751</v>
      </c>
      <c r="AE348" s="13" t="s">
        <v>63</v>
      </c>
      <c r="AF348" s="35">
        <v>46206</v>
      </c>
      <c r="AG348" s="3" t="str">
        <f t="shared" si="198"/>
        <v>CIF</v>
      </c>
      <c r="AH348" s="13" t="s">
        <v>588</v>
      </c>
      <c r="AI348" s="36" t="e">
        <f>#REF!</f>
        <v>#REF!</v>
      </c>
      <c r="AJ348" s="36">
        <v>0</v>
      </c>
      <c r="AK348" s="142">
        <f t="shared" si="208"/>
        <v>0</v>
      </c>
      <c r="AL348" s="47"/>
      <c r="AM348" s="153">
        <v>46206</v>
      </c>
      <c r="AN348" s="63">
        <f t="shared" si="209"/>
        <v>0</v>
      </c>
      <c r="AO348" s="34" t="s">
        <v>65</v>
      </c>
      <c r="AP348" s="64">
        <f t="shared" si="220"/>
        <v>46223</v>
      </c>
      <c r="AQ348" s="64">
        <f t="shared" si="210"/>
        <v>46206</v>
      </c>
      <c r="AR348" s="65">
        <f t="shared" si="217"/>
        <v>20</v>
      </c>
      <c r="AS348" s="65">
        <f t="shared" si="218"/>
        <v>3</v>
      </c>
      <c r="AT348" s="157">
        <f t="shared" si="200"/>
        <v>17</v>
      </c>
      <c r="AU348" s="28"/>
      <c r="AV348" s="28"/>
      <c r="AW348" s="109" t="str">
        <f t="shared" si="211"/>
        <v>2456,00</v>
      </c>
      <c r="AX348" s="66">
        <f t="shared" si="212"/>
        <v>0</v>
      </c>
      <c r="AY348" s="66"/>
      <c r="AZ348" s="66">
        <f t="shared" si="213"/>
        <v>0</v>
      </c>
      <c r="BA348" s="30"/>
    </row>
    <row r="349" spans="1:53" ht="21.6" customHeight="1" x14ac:dyDescent="0.3">
      <c r="A349" s="2" t="s">
        <v>692</v>
      </c>
      <c r="B349" s="3" t="s">
        <v>96</v>
      </c>
      <c r="C349" s="3"/>
      <c r="D349" s="3"/>
      <c r="E349" s="3"/>
      <c r="F349" s="3"/>
      <c r="G349" s="144">
        <v>701</v>
      </c>
      <c r="H349" s="394">
        <v>46203</v>
      </c>
      <c r="I349" s="50">
        <v>46233</v>
      </c>
      <c r="J349" s="15">
        <f t="shared" si="194"/>
        <v>30</v>
      </c>
      <c r="K349" s="3" t="s">
        <v>55</v>
      </c>
      <c r="L349" s="3" t="s">
        <v>56</v>
      </c>
      <c r="M349" s="3" t="s">
        <v>98</v>
      </c>
      <c r="N349" s="3" t="s">
        <v>868</v>
      </c>
      <c r="O349" s="3" t="s">
        <v>59</v>
      </c>
      <c r="P349" s="8">
        <v>5150.7</v>
      </c>
      <c r="Q349" s="44" t="s">
        <v>100</v>
      </c>
      <c r="R349" s="57">
        <f t="shared" si="219"/>
        <v>46203</v>
      </c>
      <c r="S349" s="13" t="s">
        <v>61</v>
      </c>
      <c r="T349" s="35">
        <v>46213</v>
      </c>
      <c r="U349" s="37">
        <v>46216</v>
      </c>
      <c r="V349" s="37">
        <f t="shared" si="197"/>
        <v>46233</v>
      </c>
      <c r="W349" s="59">
        <f t="shared" si="214"/>
        <v>30</v>
      </c>
      <c r="X349" s="59">
        <f t="shared" si="215"/>
        <v>13</v>
      </c>
      <c r="Y349" s="59">
        <f t="shared" si="216"/>
        <v>17</v>
      </c>
      <c r="Z349" s="39"/>
      <c r="AA349" s="4" t="s">
        <v>735</v>
      </c>
      <c r="AB349" s="410">
        <v>46220</v>
      </c>
      <c r="AC349" s="389" t="s">
        <v>869</v>
      </c>
      <c r="AD349" s="13">
        <v>7775</v>
      </c>
      <c r="AE349" s="13" t="s">
        <v>63</v>
      </c>
      <c r="AF349" s="35" t="s">
        <v>870</v>
      </c>
      <c r="AG349" s="3" t="str">
        <f t="shared" si="198"/>
        <v>FOB</v>
      </c>
      <c r="AH349" s="389" t="s">
        <v>871</v>
      </c>
      <c r="AI349" s="36" t="e">
        <f>#REF!</f>
        <v>#REF!</v>
      </c>
      <c r="AJ349" s="36">
        <v>0</v>
      </c>
      <c r="AK349" s="142">
        <f t="shared" si="208"/>
        <v>0</v>
      </c>
      <c r="AL349" s="47"/>
      <c r="AM349" s="153">
        <v>46216</v>
      </c>
      <c r="AN349" s="63">
        <f t="shared" si="209"/>
        <v>-9</v>
      </c>
      <c r="AO349" s="34" t="s">
        <v>65</v>
      </c>
      <c r="AP349" s="64">
        <f t="shared" si="220"/>
        <v>46233</v>
      </c>
      <c r="AQ349" s="64">
        <f t="shared" si="210"/>
        <v>46216</v>
      </c>
      <c r="AR349" s="65">
        <f t="shared" si="217"/>
        <v>30</v>
      </c>
      <c r="AS349" s="65">
        <f t="shared" si="218"/>
        <v>13</v>
      </c>
      <c r="AT349" s="157">
        <f t="shared" si="200"/>
        <v>17</v>
      </c>
      <c r="AU349" s="28"/>
      <c r="AV349" s="28"/>
      <c r="AW349" s="109" t="str">
        <f t="shared" si="211"/>
        <v>5.150,70</v>
      </c>
      <c r="AX349" s="66">
        <f t="shared" si="212"/>
        <v>0</v>
      </c>
      <c r="AY349" s="66"/>
      <c r="AZ349" s="66">
        <f t="shared" si="213"/>
        <v>0</v>
      </c>
      <c r="BA349" s="30"/>
    </row>
    <row r="350" spans="1:53" ht="21.6" customHeight="1" x14ac:dyDescent="0.3">
      <c r="A350" s="2" t="s">
        <v>455</v>
      </c>
      <c r="B350" s="3" t="s">
        <v>91</v>
      </c>
      <c r="C350" s="3" t="s">
        <v>78</v>
      </c>
      <c r="D350" s="3" t="s">
        <v>53</v>
      </c>
      <c r="E350" s="3">
        <v>4500763062</v>
      </c>
      <c r="F350" s="3" t="s">
        <v>872</v>
      </c>
      <c r="G350" s="144" t="s">
        <v>873</v>
      </c>
      <c r="H350" s="394">
        <v>46204</v>
      </c>
      <c r="I350" s="50">
        <v>46233</v>
      </c>
      <c r="J350" s="15">
        <f t="shared" si="194"/>
        <v>29</v>
      </c>
      <c r="K350" s="3" t="s">
        <v>55</v>
      </c>
      <c r="L350" s="3" t="s">
        <v>56</v>
      </c>
      <c r="M350" s="3" t="s">
        <v>92</v>
      </c>
      <c r="N350" s="3" t="s">
        <v>363</v>
      </c>
      <c r="O350" s="3" t="s">
        <v>59</v>
      </c>
      <c r="P350" s="8">
        <v>6300</v>
      </c>
      <c r="Q350" s="44" t="s">
        <v>60</v>
      </c>
      <c r="R350" s="57">
        <f t="shared" si="219"/>
        <v>46204</v>
      </c>
      <c r="S350" s="13" t="s">
        <v>61</v>
      </c>
      <c r="T350" s="35">
        <v>46220</v>
      </c>
      <c r="U350" s="37">
        <v>46218</v>
      </c>
      <c r="V350" s="37">
        <f t="shared" si="197"/>
        <v>46233</v>
      </c>
      <c r="W350" s="59">
        <f t="shared" si="214"/>
        <v>29</v>
      </c>
      <c r="X350" s="59">
        <f t="shared" si="215"/>
        <v>14</v>
      </c>
      <c r="Y350" s="59">
        <f t="shared" si="216"/>
        <v>15</v>
      </c>
      <c r="Z350" s="39"/>
      <c r="AA350" s="4" t="s">
        <v>814</v>
      </c>
      <c r="AB350" s="410">
        <v>46223</v>
      </c>
      <c r="AC350" s="389" t="s">
        <v>874</v>
      </c>
      <c r="AD350" s="13">
        <v>7772</v>
      </c>
      <c r="AE350" s="13" t="s">
        <v>63</v>
      </c>
      <c r="AF350" s="35" t="s">
        <v>875</v>
      </c>
      <c r="AG350" s="3" t="str">
        <f t="shared" si="198"/>
        <v>FOB</v>
      </c>
      <c r="AH350" s="389" t="s">
        <v>876</v>
      </c>
      <c r="AI350" s="36" t="e">
        <f>#REF!</f>
        <v>#REF!</v>
      </c>
      <c r="AJ350" s="36">
        <v>0</v>
      </c>
      <c r="AK350" s="142">
        <f t="shared" si="208"/>
        <v>0</v>
      </c>
      <c r="AL350" s="47"/>
      <c r="AM350" s="153">
        <v>46218</v>
      </c>
      <c r="AN350" s="63">
        <f t="shared" si="209"/>
        <v>-6</v>
      </c>
      <c r="AO350" s="34" t="s">
        <v>65</v>
      </c>
      <c r="AP350" s="64">
        <f t="shared" si="220"/>
        <v>46233</v>
      </c>
      <c r="AQ350" s="64">
        <f t="shared" si="210"/>
        <v>46218</v>
      </c>
      <c r="AR350" s="65">
        <f t="shared" si="217"/>
        <v>29</v>
      </c>
      <c r="AS350" s="65">
        <f t="shared" si="218"/>
        <v>14</v>
      </c>
      <c r="AT350" s="157">
        <f t="shared" si="200"/>
        <v>15</v>
      </c>
      <c r="AU350" s="28"/>
      <c r="AV350" s="28"/>
      <c r="AW350" s="109" t="str">
        <f t="shared" si="211"/>
        <v>1.260,00</v>
      </c>
      <c r="AX350" s="66">
        <f t="shared" si="212"/>
        <v>0</v>
      </c>
      <c r="AY350" s="66"/>
      <c r="AZ350" s="66">
        <f t="shared" si="213"/>
        <v>0</v>
      </c>
      <c r="BA350" s="30"/>
    </row>
    <row r="351" spans="1:53" ht="21.6" customHeight="1" x14ac:dyDescent="0.3">
      <c r="A351" s="2" t="s">
        <v>877</v>
      </c>
      <c r="B351" s="3" t="s">
        <v>51</v>
      </c>
      <c r="C351" s="3" t="s">
        <v>78</v>
      </c>
      <c r="D351" s="3" t="s">
        <v>53</v>
      </c>
      <c r="E351" s="3">
        <v>4510079520</v>
      </c>
      <c r="F351" s="3" t="s">
        <v>878</v>
      </c>
      <c r="G351" s="144">
        <v>704</v>
      </c>
      <c r="H351" s="394">
        <v>46204</v>
      </c>
      <c r="I351" s="50">
        <v>46228</v>
      </c>
      <c r="J351" s="15">
        <f t="shared" si="194"/>
        <v>24</v>
      </c>
      <c r="K351" s="3" t="s">
        <v>55</v>
      </c>
      <c r="L351" s="3" t="s">
        <v>56</v>
      </c>
      <c r="M351" s="3" t="s">
        <v>57</v>
      </c>
      <c r="N351" s="3" t="s">
        <v>315</v>
      </c>
      <c r="O351" s="3" t="s">
        <v>59</v>
      </c>
      <c r="P351" s="8">
        <v>38899</v>
      </c>
      <c r="Q351" s="44" t="s">
        <v>60</v>
      </c>
      <c r="R351" s="57">
        <f t="shared" si="219"/>
        <v>46204</v>
      </c>
      <c r="S351" s="13" t="s">
        <v>61</v>
      </c>
      <c r="T351" s="35">
        <v>46217</v>
      </c>
      <c r="U351" s="37">
        <v>46220</v>
      </c>
      <c r="V351" s="37">
        <f t="shared" si="197"/>
        <v>46228</v>
      </c>
      <c r="W351" s="59">
        <f t="shared" si="214"/>
        <v>24</v>
      </c>
      <c r="X351" s="59">
        <f t="shared" si="215"/>
        <v>16</v>
      </c>
      <c r="Y351" s="59">
        <f t="shared" si="216"/>
        <v>8</v>
      </c>
      <c r="Z351" s="39"/>
      <c r="AA351" s="4" t="s">
        <v>735</v>
      </c>
      <c r="AB351" s="410">
        <v>46230</v>
      </c>
      <c r="AC351" s="389" t="s">
        <v>879</v>
      </c>
      <c r="AD351" s="13">
        <v>7794</v>
      </c>
      <c r="AE351" s="13"/>
      <c r="AF351" s="35">
        <v>46234</v>
      </c>
      <c r="AG351" s="3" t="str">
        <f t="shared" si="198"/>
        <v>FOB</v>
      </c>
      <c r="AH351" s="389" t="s">
        <v>127</v>
      </c>
      <c r="AI351" s="36" t="e">
        <f>#REF!</f>
        <v>#REF!</v>
      </c>
      <c r="AJ351" s="36">
        <v>0</v>
      </c>
      <c r="AK351" s="142">
        <f t="shared" ref="AK351:AK382" si="223">AJ351/AC351</f>
        <v>0</v>
      </c>
      <c r="AL351" s="47"/>
      <c r="AM351" s="153">
        <v>46220</v>
      </c>
      <c r="AN351" s="63">
        <f t="shared" si="209"/>
        <v>-14</v>
      </c>
      <c r="AO351" s="34" t="s">
        <v>65</v>
      </c>
      <c r="AP351" s="64">
        <f t="shared" si="220"/>
        <v>46228</v>
      </c>
      <c r="AQ351" s="64">
        <f t="shared" si="210"/>
        <v>46220</v>
      </c>
      <c r="AR351" s="65">
        <f t="shared" si="217"/>
        <v>24</v>
      </c>
      <c r="AS351" s="65">
        <f t="shared" si="218"/>
        <v>16</v>
      </c>
      <c r="AT351" s="157">
        <f t="shared" si="200"/>
        <v>8</v>
      </c>
      <c r="AU351" s="28"/>
      <c r="AV351" s="28"/>
      <c r="AW351" s="109" t="str">
        <f t="shared" si="211"/>
        <v>38.899,00</v>
      </c>
      <c r="AX351" s="66">
        <f t="shared" si="212"/>
        <v>0</v>
      </c>
      <c r="AY351" s="66"/>
      <c r="AZ351" s="66">
        <f t="shared" si="213"/>
        <v>0</v>
      </c>
      <c r="BA351" s="30"/>
    </row>
    <row r="352" spans="1:53" ht="21.6" customHeight="1" x14ac:dyDescent="0.3">
      <c r="A352" s="2" t="s">
        <v>90</v>
      </c>
      <c r="B352" s="3" t="s">
        <v>91</v>
      </c>
      <c r="C352" s="3" t="s">
        <v>78</v>
      </c>
      <c r="D352" s="3" t="s">
        <v>53</v>
      </c>
      <c r="E352" s="3">
        <v>4413203224</v>
      </c>
      <c r="F352" s="3" t="s">
        <v>53</v>
      </c>
      <c r="G352" s="144" t="s">
        <v>880</v>
      </c>
      <c r="H352" s="394">
        <v>46153</v>
      </c>
      <c r="I352" s="50">
        <v>46181</v>
      </c>
      <c r="J352" s="15">
        <v>28</v>
      </c>
      <c r="K352" s="3" t="s">
        <v>70</v>
      </c>
      <c r="L352" s="3" t="s">
        <v>56</v>
      </c>
      <c r="M352" s="3" t="s">
        <v>92</v>
      </c>
      <c r="N352" s="3" t="s">
        <v>93</v>
      </c>
      <c r="O352" s="3" t="s">
        <v>59</v>
      </c>
      <c r="P352" s="8">
        <v>4031</v>
      </c>
      <c r="Q352" s="44" t="s">
        <v>100</v>
      </c>
      <c r="R352" s="35">
        <f t="shared" si="219"/>
        <v>46153</v>
      </c>
      <c r="S352" s="13" t="s">
        <v>61</v>
      </c>
      <c r="T352" s="35">
        <v>46206</v>
      </c>
      <c r="U352" s="37">
        <v>46206</v>
      </c>
      <c r="V352" s="37">
        <f t="shared" si="197"/>
        <v>46181</v>
      </c>
      <c r="W352" s="59">
        <f t="shared" si="214"/>
        <v>28</v>
      </c>
      <c r="X352" s="59">
        <f t="shared" si="215"/>
        <v>53</v>
      </c>
      <c r="Y352" s="59">
        <f t="shared" si="216"/>
        <v>-25</v>
      </c>
      <c r="Z352" s="39"/>
      <c r="AA352" s="4" t="s">
        <v>726</v>
      </c>
      <c r="AB352" s="410">
        <v>46206</v>
      </c>
      <c r="AC352" s="246" t="s">
        <v>881</v>
      </c>
      <c r="AD352" s="13">
        <v>7750</v>
      </c>
      <c r="AE352" s="13" t="s">
        <v>63</v>
      </c>
      <c r="AF352" s="35">
        <v>46088</v>
      </c>
      <c r="AG352" s="3" t="str">
        <f t="shared" si="198"/>
        <v>CIF</v>
      </c>
      <c r="AH352" s="13" t="s">
        <v>882</v>
      </c>
      <c r="AI352" s="36" t="e">
        <f>#REF!</f>
        <v>#REF!</v>
      </c>
      <c r="AJ352" s="36">
        <v>0</v>
      </c>
      <c r="AK352" s="142">
        <f t="shared" si="223"/>
        <v>0</v>
      </c>
      <c r="AL352" s="47"/>
      <c r="AM352" s="153">
        <v>46206</v>
      </c>
      <c r="AN352" s="63">
        <f t="shared" si="209"/>
        <v>118</v>
      </c>
      <c r="AO352" s="34" t="s">
        <v>103</v>
      </c>
      <c r="AP352" s="64">
        <f t="shared" si="220"/>
        <v>46181</v>
      </c>
      <c r="AQ352" s="64">
        <f t="shared" si="210"/>
        <v>46206</v>
      </c>
      <c r="AR352" s="65">
        <f t="shared" si="217"/>
        <v>28</v>
      </c>
      <c r="AS352" s="65">
        <f t="shared" si="218"/>
        <v>53</v>
      </c>
      <c r="AT352" s="157">
        <f t="shared" si="200"/>
        <v>-25</v>
      </c>
      <c r="AU352" s="28"/>
      <c r="AV352" s="28"/>
      <c r="AW352" s="109" t="str">
        <f t="shared" si="211"/>
        <v>656,00</v>
      </c>
      <c r="AX352" s="66">
        <f t="shared" si="212"/>
        <v>0</v>
      </c>
      <c r="AY352" s="66"/>
      <c r="AZ352" s="66">
        <f t="shared" si="213"/>
        <v>0</v>
      </c>
      <c r="BA352" s="30"/>
    </row>
    <row r="353" spans="1:53" ht="21.6" customHeight="1" x14ac:dyDescent="0.3">
      <c r="A353" s="2" t="s">
        <v>581</v>
      </c>
      <c r="B353" s="3" t="s">
        <v>96</v>
      </c>
      <c r="C353" s="3" t="s">
        <v>52</v>
      </c>
      <c r="D353" s="3"/>
      <c r="E353" s="3"/>
      <c r="F353" s="3"/>
      <c r="G353" s="144">
        <v>703</v>
      </c>
      <c r="H353" s="394">
        <v>46206</v>
      </c>
      <c r="I353" s="50">
        <v>46234</v>
      </c>
      <c r="J353" s="15">
        <f t="shared" si="194"/>
        <v>28</v>
      </c>
      <c r="K353" s="3" t="s">
        <v>70</v>
      </c>
      <c r="L353" s="3" t="s">
        <v>56</v>
      </c>
      <c r="M353" s="3" t="s">
        <v>98</v>
      </c>
      <c r="N353" s="3" t="s">
        <v>883</v>
      </c>
      <c r="O353" s="3" t="s">
        <v>59</v>
      </c>
      <c r="P353" s="8">
        <v>1849.14</v>
      </c>
      <c r="Q353" s="44" t="s">
        <v>60</v>
      </c>
      <c r="R353" s="35">
        <f t="shared" si="219"/>
        <v>46206</v>
      </c>
      <c r="S353" s="13" t="s">
        <v>61</v>
      </c>
      <c r="T353" s="35">
        <v>46216</v>
      </c>
      <c r="U353" s="37">
        <v>46219</v>
      </c>
      <c r="V353" s="37">
        <f t="shared" si="197"/>
        <v>46234</v>
      </c>
      <c r="W353" s="59">
        <f t="shared" si="214"/>
        <v>28</v>
      </c>
      <c r="X353" s="59">
        <f t="shared" si="215"/>
        <v>13</v>
      </c>
      <c r="Y353" s="59">
        <f t="shared" si="216"/>
        <v>15</v>
      </c>
      <c r="Z353" s="39"/>
      <c r="AA353" s="4" t="s">
        <v>735</v>
      </c>
      <c r="AB353" s="410">
        <v>46219</v>
      </c>
      <c r="AC353" s="389" t="s">
        <v>884</v>
      </c>
      <c r="AD353" s="13">
        <v>7773</v>
      </c>
      <c r="AE353" s="13" t="s">
        <v>63</v>
      </c>
      <c r="AF353" s="35" t="s">
        <v>864</v>
      </c>
      <c r="AG353" s="3" t="str">
        <f t="shared" si="198"/>
        <v>CIF</v>
      </c>
      <c r="AH353" s="389" t="s">
        <v>201</v>
      </c>
      <c r="AI353" s="36" t="e">
        <f>#REF!</f>
        <v>#REF!</v>
      </c>
      <c r="AJ353" s="36">
        <v>0</v>
      </c>
      <c r="AK353" s="142">
        <f t="shared" si="223"/>
        <v>0</v>
      </c>
      <c r="AL353" s="47"/>
      <c r="AM353" s="153" t="s">
        <v>875</v>
      </c>
      <c r="AN353" s="63">
        <f t="shared" si="209"/>
        <v>4</v>
      </c>
      <c r="AO353" s="34" t="s">
        <v>65</v>
      </c>
      <c r="AP353" s="64">
        <f t="shared" si="220"/>
        <v>46234</v>
      </c>
      <c r="AQ353" s="64" t="str">
        <f t="shared" si="210"/>
        <v>21/07/2026</v>
      </c>
      <c r="AR353" s="65">
        <f t="shared" si="217"/>
        <v>28</v>
      </c>
      <c r="AS353" s="65">
        <f t="shared" si="218"/>
        <v>18</v>
      </c>
      <c r="AT353" s="157">
        <f t="shared" si="200"/>
        <v>10</v>
      </c>
      <c r="AU353" s="28"/>
      <c r="AV353" s="28"/>
      <c r="AW353" s="109" t="str">
        <f t="shared" si="211"/>
        <v>924,57</v>
      </c>
      <c r="AX353" s="66">
        <f t="shared" si="212"/>
        <v>0</v>
      </c>
      <c r="AY353" s="66"/>
      <c r="AZ353" s="66">
        <f t="shared" si="213"/>
        <v>0</v>
      </c>
      <c r="BA353" s="30"/>
    </row>
    <row r="354" spans="1:53" ht="21.6" customHeight="1" x14ac:dyDescent="0.3">
      <c r="A354" s="2" t="s">
        <v>157</v>
      </c>
      <c r="B354" s="3" t="s">
        <v>96</v>
      </c>
      <c r="C354" s="3" t="s">
        <v>52</v>
      </c>
      <c r="D354" s="3"/>
      <c r="E354" s="3">
        <v>1505384</v>
      </c>
      <c r="F354" s="3"/>
      <c r="G354" s="144">
        <v>710</v>
      </c>
      <c r="H354" s="394">
        <v>46206</v>
      </c>
      <c r="I354" s="50">
        <v>46227</v>
      </c>
      <c r="J354" s="15">
        <f t="shared" si="194"/>
        <v>21</v>
      </c>
      <c r="K354" s="3" t="s">
        <v>70</v>
      </c>
      <c r="L354" s="3" t="s">
        <v>56</v>
      </c>
      <c r="M354" s="3" t="s">
        <v>159</v>
      </c>
      <c r="N354" s="3" t="s">
        <v>169</v>
      </c>
      <c r="O354" s="3" t="s">
        <v>59</v>
      </c>
      <c r="P354" s="8">
        <v>1755</v>
      </c>
      <c r="Q354" s="44" t="s">
        <v>100</v>
      </c>
      <c r="R354" s="35">
        <f t="shared" si="219"/>
        <v>46206</v>
      </c>
      <c r="S354" s="13" t="s">
        <v>61</v>
      </c>
      <c r="T354" s="35">
        <v>46216</v>
      </c>
      <c r="U354" s="37">
        <v>46218</v>
      </c>
      <c r="V354" s="37">
        <f t="shared" si="197"/>
        <v>46227</v>
      </c>
      <c r="W354" s="59">
        <f t="shared" si="214"/>
        <v>21</v>
      </c>
      <c r="X354" s="59">
        <f t="shared" si="215"/>
        <v>12</v>
      </c>
      <c r="Y354" s="59">
        <f t="shared" si="216"/>
        <v>9</v>
      </c>
      <c r="Z354" s="39"/>
      <c r="AA354" s="4" t="s">
        <v>735</v>
      </c>
      <c r="AB354" s="410">
        <v>46218</v>
      </c>
      <c r="AC354" s="32" t="s">
        <v>885</v>
      </c>
      <c r="AD354" s="13">
        <v>7766</v>
      </c>
      <c r="AE354" s="13" t="s">
        <v>677</v>
      </c>
      <c r="AF354" s="35" t="s">
        <v>678</v>
      </c>
      <c r="AG354" s="3" t="str">
        <f t="shared" si="198"/>
        <v>CIF</v>
      </c>
      <c r="AH354" s="13" t="s">
        <v>245</v>
      </c>
      <c r="AI354" s="36" t="e">
        <f>#REF!</f>
        <v>#REF!</v>
      </c>
      <c r="AJ354" s="36">
        <v>0</v>
      </c>
      <c r="AK354" s="142">
        <f t="shared" si="223"/>
        <v>0</v>
      </c>
      <c r="AL354" s="47" t="s">
        <v>875</v>
      </c>
      <c r="AM354" s="153">
        <v>46224</v>
      </c>
      <c r="AN354" s="63">
        <f t="shared" si="209"/>
        <v>6</v>
      </c>
      <c r="AO354" s="34" t="s">
        <v>65</v>
      </c>
      <c r="AP354" s="64">
        <f t="shared" si="220"/>
        <v>46227</v>
      </c>
      <c r="AQ354" s="64">
        <f t="shared" si="210"/>
        <v>46224</v>
      </c>
      <c r="AR354" s="65">
        <f t="shared" si="217"/>
        <v>21</v>
      </c>
      <c r="AS354" s="65">
        <f t="shared" si="218"/>
        <v>18</v>
      </c>
      <c r="AT354" s="157">
        <f t="shared" si="200"/>
        <v>3</v>
      </c>
      <c r="AU354" s="28"/>
      <c r="AV354" s="28"/>
      <c r="AW354" s="109" t="str">
        <f t="shared" si="211"/>
        <v>1755,00</v>
      </c>
      <c r="AX354" s="66">
        <f t="shared" si="212"/>
        <v>0</v>
      </c>
      <c r="AY354" s="66"/>
      <c r="AZ354" s="66">
        <f t="shared" si="213"/>
        <v>0</v>
      </c>
      <c r="BA354" s="30"/>
    </row>
    <row r="355" spans="1:53" ht="21.6" customHeight="1" x14ac:dyDescent="0.3">
      <c r="A355" s="2" t="s">
        <v>122</v>
      </c>
      <c r="B355" s="3" t="s">
        <v>51</v>
      </c>
      <c r="C355" s="3" t="s">
        <v>78</v>
      </c>
      <c r="D355" s="3" t="s">
        <v>53</v>
      </c>
      <c r="E355" s="3">
        <v>950292496</v>
      </c>
      <c r="F355" s="3" t="s">
        <v>886</v>
      </c>
      <c r="G355" s="144">
        <v>713</v>
      </c>
      <c r="H355" s="394">
        <v>46223</v>
      </c>
      <c r="I355" s="50">
        <v>46254</v>
      </c>
      <c r="J355" s="15">
        <f t="shared" si="194"/>
        <v>31</v>
      </c>
      <c r="K355" s="3" t="s">
        <v>55</v>
      </c>
      <c r="L355" s="3" t="s">
        <v>56</v>
      </c>
      <c r="M355" s="3" t="s">
        <v>57</v>
      </c>
      <c r="N355" s="3" t="s">
        <v>432</v>
      </c>
      <c r="O355" s="3" t="s">
        <v>59</v>
      </c>
      <c r="P355" s="8">
        <v>12143.44</v>
      </c>
      <c r="Q355" s="44" t="s">
        <v>100</v>
      </c>
      <c r="R355" s="35">
        <f t="shared" si="219"/>
        <v>46223</v>
      </c>
      <c r="S355" s="13" t="s">
        <v>61</v>
      </c>
      <c r="T355" s="35">
        <v>46251</v>
      </c>
      <c r="U355" s="37">
        <v>46252</v>
      </c>
      <c r="V355" s="37">
        <f t="shared" si="197"/>
        <v>46254</v>
      </c>
      <c r="W355" s="59">
        <f t="shared" si="214"/>
        <v>31</v>
      </c>
      <c r="X355" s="59">
        <f t="shared" si="215"/>
        <v>29</v>
      </c>
      <c r="Y355" s="59">
        <f t="shared" si="216"/>
        <v>2</v>
      </c>
      <c r="Z355" s="39"/>
      <c r="AA355" s="4" t="s">
        <v>887</v>
      </c>
      <c r="AB355" s="35">
        <v>46253</v>
      </c>
      <c r="AC355" s="118" t="s">
        <v>888</v>
      </c>
      <c r="AD355" s="5">
        <v>7849</v>
      </c>
      <c r="AE355" s="13"/>
      <c r="AF355" s="35" t="s">
        <v>889</v>
      </c>
      <c r="AG355" s="3" t="str">
        <f t="shared" si="198"/>
        <v>FOB</v>
      </c>
      <c r="AH355" s="13" t="s">
        <v>890</v>
      </c>
      <c r="AI355" s="36" t="e">
        <f>#REF!</f>
        <v>#REF!</v>
      </c>
      <c r="AJ355" s="36">
        <v>0</v>
      </c>
      <c r="AK355" s="142">
        <f t="shared" si="223"/>
        <v>0</v>
      </c>
      <c r="AL355" s="47"/>
      <c r="AM355" s="153"/>
      <c r="AN355" s="63">
        <f t="shared" si="209"/>
        <v>-46262</v>
      </c>
      <c r="AO355" s="34"/>
      <c r="AP355" s="64">
        <f t="shared" si="220"/>
        <v>46254</v>
      </c>
      <c r="AQ355" s="64">
        <f t="shared" si="210"/>
        <v>0</v>
      </c>
      <c r="AR355" s="65">
        <f t="shared" si="217"/>
        <v>31</v>
      </c>
      <c r="AS355" s="65">
        <f t="shared" si="218"/>
        <v>-46223</v>
      </c>
      <c r="AT355" s="157">
        <f t="shared" si="200"/>
        <v>46254</v>
      </c>
      <c r="AU355" s="28"/>
      <c r="AV355" s="28"/>
      <c r="AW355" s="109" t="str">
        <f t="shared" si="211"/>
        <v>12143,44</v>
      </c>
      <c r="AX355" s="66">
        <f t="shared" si="212"/>
        <v>0</v>
      </c>
      <c r="AY355" s="66"/>
      <c r="AZ355" s="66">
        <f t="shared" si="213"/>
        <v>0</v>
      </c>
      <c r="BA355" s="30"/>
    </row>
    <row r="356" spans="1:53" ht="21.6" customHeight="1" x14ac:dyDescent="0.3">
      <c r="A356" s="2" t="s">
        <v>217</v>
      </c>
      <c r="B356" s="3" t="s">
        <v>51</v>
      </c>
      <c r="C356" s="3" t="s">
        <v>78</v>
      </c>
      <c r="D356" s="3" t="s">
        <v>53</v>
      </c>
      <c r="E356" s="3">
        <v>1038</v>
      </c>
      <c r="F356" s="3" t="s">
        <v>831</v>
      </c>
      <c r="G356" s="144">
        <v>714</v>
      </c>
      <c r="H356" s="394">
        <v>46206</v>
      </c>
      <c r="I356" s="50">
        <v>46220</v>
      </c>
      <c r="J356" s="15">
        <f t="shared" si="194"/>
        <v>14</v>
      </c>
      <c r="K356" s="3" t="s">
        <v>55</v>
      </c>
      <c r="L356" s="3" t="s">
        <v>56</v>
      </c>
      <c r="M356" s="3" t="s">
        <v>57</v>
      </c>
      <c r="N356" s="3" t="s">
        <v>832</v>
      </c>
      <c r="O356" s="3" t="s">
        <v>59</v>
      </c>
      <c r="P356" s="8">
        <v>11777.06</v>
      </c>
      <c r="Q356" s="44" t="s">
        <v>100</v>
      </c>
      <c r="R356" s="35">
        <f t="shared" si="219"/>
        <v>46206</v>
      </c>
      <c r="S356" s="13" t="s">
        <v>61</v>
      </c>
      <c r="T356" s="35">
        <v>46218</v>
      </c>
      <c r="U356" s="37">
        <v>46220</v>
      </c>
      <c r="V356" s="37">
        <f t="shared" si="197"/>
        <v>46220</v>
      </c>
      <c r="W356" s="59">
        <f t="shared" si="214"/>
        <v>14</v>
      </c>
      <c r="X356" s="59">
        <f t="shared" si="215"/>
        <v>14</v>
      </c>
      <c r="Y356" s="59">
        <f t="shared" si="216"/>
        <v>0</v>
      </c>
      <c r="Z356" s="39"/>
      <c r="AA356" s="4" t="s">
        <v>814</v>
      </c>
      <c r="AB356" s="410">
        <v>46233</v>
      </c>
      <c r="AC356" s="246">
        <v>11777.06</v>
      </c>
      <c r="AD356" s="5">
        <v>7777</v>
      </c>
      <c r="AE356" s="113"/>
      <c r="AF356" s="35" t="s">
        <v>824</v>
      </c>
      <c r="AG356" s="3" t="str">
        <f t="shared" si="198"/>
        <v>FOB</v>
      </c>
      <c r="AH356" s="403" t="s">
        <v>891</v>
      </c>
      <c r="AI356" s="36" t="e">
        <f>#REF!</f>
        <v>#REF!</v>
      </c>
      <c r="AJ356" s="36">
        <v>0</v>
      </c>
      <c r="AK356" s="142">
        <f t="shared" si="223"/>
        <v>0</v>
      </c>
      <c r="AL356" s="47"/>
      <c r="AM356" s="153">
        <v>46220</v>
      </c>
      <c r="AN356" s="63">
        <f t="shared" si="209"/>
        <v>-12</v>
      </c>
      <c r="AO356" s="34" t="s">
        <v>65</v>
      </c>
      <c r="AP356" s="64">
        <f t="shared" si="220"/>
        <v>46220</v>
      </c>
      <c r="AQ356" s="64">
        <f t="shared" si="210"/>
        <v>46220</v>
      </c>
      <c r="AR356" s="65">
        <f t="shared" si="217"/>
        <v>14</v>
      </c>
      <c r="AS356" s="65">
        <f t="shared" si="218"/>
        <v>14</v>
      </c>
      <c r="AT356" s="157">
        <f t="shared" si="200"/>
        <v>0</v>
      </c>
      <c r="AU356" s="28"/>
      <c r="AV356" s="28"/>
      <c r="AW356" s="109">
        <f t="shared" si="211"/>
        <v>11777.06</v>
      </c>
      <c r="AX356" s="66">
        <f t="shared" si="212"/>
        <v>0</v>
      </c>
      <c r="AY356" s="66"/>
      <c r="AZ356" s="66">
        <f t="shared" si="213"/>
        <v>0</v>
      </c>
      <c r="BA356" s="30"/>
    </row>
    <row r="357" spans="1:53" ht="21.6" customHeight="1" x14ac:dyDescent="0.3">
      <c r="A357" s="2" t="s">
        <v>307</v>
      </c>
      <c r="B357" s="3" t="s">
        <v>91</v>
      </c>
      <c r="C357" s="3" t="s">
        <v>78</v>
      </c>
      <c r="D357" s="3">
        <v>4600016155</v>
      </c>
      <c r="E357" s="3">
        <v>4501951049</v>
      </c>
      <c r="F357" s="3" t="s">
        <v>53</v>
      </c>
      <c r="G357" s="144">
        <v>711</v>
      </c>
      <c r="H357" s="394">
        <v>46209</v>
      </c>
      <c r="I357" s="50">
        <v>46265</v>
      </c>
      <c r="J357" s="15">
        <f t="shared" si="194"/>
        <v>56</v>
      </c>
      <c r="K357" s="3" t="s">
        <v>70</v>
      </c>
      <c r="L357" s="3" t="s">
        <v>56</v>
      </c>
      <c r="M357" s="3" t="s">
        <v>92</v>
      </c>
      <c r="N357" s="3" t="s">
        <v>577</v>
      </c>
      <c r="O357" s="3" t="s">
        <v>59</v>
      </c>
      <c r="P357" s="8">
        <v>10237.48</v>
      </c>
      <c r="Q357" s="44" t="s">
        <v>100</v>
      </c>
      <c r="R357" s="35">
        <f t="shared" si="219"/>
        <v>46209</v>
      </c>
      <c r="S357" s="13" t="s">
        <v>61</v>
      </c>
      <c r="T357" s="35">
        <v>46220</v>
      </c>
      <c r="U357" s="37">
        <v>46227</v>
      </c>
      <c r="V357" s="37">
        <f t="shared" si="197"/>
        <v>46265</v>
      </c>
      <c r="W357" s="59">
        <f t="shared" si="214"/>
        <v>56</v>
      </c>
      <c r="X357" s="59">
        <f t="shared" si="215"/>
        <v>18</v>
      </c>
      <c r="Y357" s="59">
        <f t="shared" si="216"/>
        <v>38</v>
      </c>
      <c r="Z357" s="39"/>
      <c r="AA357" s="4" t="s">
        <v>814</v>
      </c>
      <c r="AB357" s="410">
        <v>46227</v>
      </c>
      <c r="AC357" s="389" t="s">
        <v>892</v>
      </c>
      <c r="AD357" s="13">
        <v>7788</v>
      </c>
      <c r="AE357" s="402" t="s">
        <v>63</v>
      </c>
      <c r="AF357" s="35" t="s">
        <v>893</v>
      </c>
      <c r="AG357" s="3" t="str">
        <f t="shared" si="198"/>
        <v>CIF</v>
      </c>
      <c r="AH357" s="389" t="s">
        <v>588</v>
      </c>
      <c r="AI357" s="36" t="e">
        <f>#REF!</f>
        <v>#REF!</v>
      </c>
      <c r="AJ357" s="36">
        <v>0</v>
      </c>
      <c r="AK357" s="142">
        <f t="shared" si="223"/>
        <v>0</v>
      </c>
      <c r="AL357" s="47"/>
      <c r="AM357" s="153" t="s">
        <v>893</v>
      </c>
      <c r="AN357" s="63">
        <f t="shared" si="209"/>
        <v>0</v>
      </c>
      <c r="AO357" s="34" t="s">
        <v>65</v>
      </c>
      <c r="AP357" s="64">
        <f t="shared" si="220"/>
        <v>46265</v>
      </c>
      <c r="AQ357" s="64" t="str">
        <f t="shared" si="210"/>
        <v>28/07/2026</v>
      </c>
      <c r="AR357" s="65">
        <f t="shared" si="217"/>
        <v>56</v>
      </c>
      <c r="AS357" s="65">
        <f t="shared" si="218"/>
        <v>22</v>
      </c>
      <c r="AT357" s="157">
        <f t="shared" si="200"/>
        <v>34</v>
      </c>
      <c r="AU357" s="28"/>
      <c r="AV357" s="28"/>
      <c r="AW357" s="109" t="str">
        <f t="shared" si="211"/>
        <v>10.237,48</v>
      </c>
      <c r="AX357" s="66">
        <f t="shared" si="212"/>
        <v>0</v>
      </c>
      <c r="AY357" s="66"/>
      <c r="AZ357" s="66">
        <f t="shared" si="213"/>
        <v>0</v>
      </c>
      <c r="BA357" s="30"/>
    </row>
    <row r="358" spans="1:53" ht="21.6" customHeight="1" x14ac:dyDescent="0.3">
      <c r="A358" s="2" t="s">
        <v>90</v>
      </c>
      <c r="B358" s="3" t="s">
        <v>91</v>
      </c>
      <c r="C358" s="3" t="s">
        <v>78</v>
      </c>
      <c r="D358" s="3" t="s">
        <v>53</v>
      </c>
      <c r="E358" s="381">
        <v>4413654108</v>
      </c>
      <c r="F358" s="3" t="s">
        <v>53</v>
      </c>
      <c r="G358" s="144">
        <v>717</v>
      </c>
      <c r="H358" s="394">
        <v>46209</v>
      </c>
      <c r="I358" s="50">
        <v>46238</v>
      </c>
      <c r="J358" s="15">
        <f t="shared" si="194"/>
        <v>29</v>
      </c>
      <c r="K358" s="3" t="s">
        <v>70</v>
      </c>
      <c r="L358" s="3" t="s">
        <v>56</v>
      </c>
      <c r="M358" s="3" t="s">
        <v>92</v>
      </c>
      <c r="N358" s="3" t="s">
        <v>93</v>
      </c>
      <c r="O358" s="3" t="s">
        <v>59</v>
      </c>
      <c r="P358" s="8">
        <v>4184</v>
      </c>
      <c r="Q358" s="44" t="s">
        <v>100</v>
      </c>
      <c r="R358" s="35">
        <f t="shared" si="219"/>
        <v>46209</v>
      </c>
      <c r="S358" s="13" t="s">
        <v>61</v>
      </c>
      <c r="T358" s="35">
        <v>46237</v>
      </c>
      <c r="U358" s="37">
        <v>46237</v>
      </c>
      <c r="V358" s="37">
        <f t="shared" si="197"/>
        <v>46238</v>
      </c>
      <c r="W358" s="59">
        <f t="shared" si="214"/>
        <v>29</v>
      </c>
      <c r="X358" s="59">
        <f t="shared" si="215"/>
        <v>28</v>
      </c>
      <c r="Y358" s="59">
        <f t="shared" si="216"/>
        <v>1</v>
      </c>
      <c r="Z358" s="39"/>
      <c r="AA358" s="4" t="s">
        <v>894</v>
      </c>
      <c r="AB358" s="35"/>
      <c r="AC358" s="32"/>
      <c r="AD358" s="13"/>
      <c r="AE358" s="13"/>
      <c r="AF358" s="35">
        <v>46120</v>
      </c>
      <c r="AG358" s="3" t="str">
        <f t="shared" si="198"/>
        <v>CIF</v>
      </c>
      <c r="AH358" s="32"/>
      <c r="AI358" s="36" t="e">
        <f>#REF!</f>
        <v>#REF!</v>
      </c>
      <c r="AJ358" s="36">
        <v>0</v>
      </c>
      <c r="AK358" s="142" t="e">
        <f t="shared" si="223"/>
        <v>#DIV/0!</v>
      </c>
      <c r="AL358" s="47"/>
      <c r="AM358" s="153"/>
      <c r="AN358" s="63">
        <f t="shared" si="209"/>
        <v>-46120</v>
      </c>
      <c r="AO358" s="34"/>
      <c r="AP358" s="64">
        <f t="shared" si="220"/>
        <v>46238</v>
      </c>
      <c r="AQ358" s="64">
        <f t="shared" si="210"/>
        <v>0</v>
      </c>
      <c r="AR358" s="65">
        <f t="shared" si="217"/>
        <v>29</v>
      </c>
      <c r="AS358" s="65">
        <f t="shared" si="218"/>
        <v>-46209</v>
      </c>
      <c r="AT358" s="157">
        <f t="shared" si="200"/>
        <v>46238</v>
      </c>
      <c r="AU358" s="28"/>
      <c r="AV358" s="28"/>
      <c r="AW358" s="109">
        <f t="shared" si="211"/>
        <v>0</v>
      </c>
      <c r="AX358" s="66">
        <f t="shared" si="212"/>
        <v>0</v>
      </c>
      <c r="AY358" s="66"/>
      <c r="AZ358" s="66">
        <f t="shared" si="213"/>
        <v>0</v>
      </c>
      <c r="BA358" s="30"/>
    </row>
    <row r="359" spans="1:53" ht="21.6" customHeight="1" x14ac:dyDescent="0.3">
      <c r="A359" s="2" t="s">
        <v>137</v>
      </c>
      <c r="B359" s="3" t="s">
        <v>67</v>
      </c>
      <c r="C359" s="3" t="s">
        <v>78</v>
      </c>
      <c r="D359" s="3"/>
      <c r="E359" s="3">
        <v>85</v>
      </c>
      <c r="F359" s="3"/>
      <c r="G359" s="144">
        <v>718</v>
      </c>
      <c r="H359" s="394">
        <v>46210</v>
      </c>
      <c r="I359" s="50">
        <v>46237</v>
      </c>
      <c r="J359" s="15">
        <f t="shared" si="194"/>
        <v>27</v>
      </c>
      <c r="K359" s="3" t="s">
        <v>55</v>
      </c>
      <c r="L359" s="3" t="s">
        <v>139</v>
      </c>
      <c r="M359" s="3" t="s">
        <v>72</v>
      </c>
      <c r="N359" s="3"/>
      <c r="O359" s="3" t="s">
        <v>59</v>
      </c>
      <c r="P359" s="8">
        <v>100000.048</v>
      </c>
      <c r="Q359" s="44" t="s">
        <v>60</v>
      </c>
      <c r="R359" s="35">
        <f t="shared" si="219"/>
        <v>46210</v>
      </c>
      <c r="S359" s="13" t="s">
        <v>61</v>
      </c>
      <c r="T359" s="35">
        <v>46234</v>
      </c>
      <c r="U359" s="37">
        <v>46231</v>
      </c>
      <c r="V359" s="37">
        <f t="shared" si="197"/>
        <v>46237</v>
      </c>
      <c r="W359" s="59">
        <f t="shared" si="214"/>
        <v>27</v>
      </c>
      <c r="X359" s="59">
        <f t="shared" si="215"/>
        <v>21</v>
      </c>
      <c r="Y359" s="59">
        <f t="shared" si="216"/>
        <v>6</v>
      </c>
      <c r="Z359" s="39"/>
      <c r="AA359" s="4" t="s">
        <v>702</v>
      </c>
      <c r="AB359" s="410">
        <v>46234</v>
      </c>
      <c r="AC359" s="13" t="s">
        <v>895</v>
      </c>
      <c r="AD359" s="174">
        <v>7820</v>
      </c>
      <c r="AE359" s="13"/>
      <c r="AF359" s="35">
        <v>46334</v>
      </c>
      <c r="AG359" s="3" t="str">
        <f t="shared" si="198"/>
        <v>FOB</v>
      </c>
      <c r="AH359" s="13"/>
      <c r="AI359" s="36" t="e">
        <f>#REF!</f>
        <v>#REF!</v>
      </c>
      <c r="AJ359" s="36">
        <v>0</v>
      </c>
      <c r="AK359" s="142">
        <f t="shared" si="223"/>
        <v>0</v>
      </c>
      <c r="AL359" s="47"/>
      <c r="AM359" s="153">
        <v>46237</v>
      </c>
      <c r="AN359" s="63">
        <f t="shared" si="209"/>
        <v>-97</v>
      </c>
      <c r="AO359" s="34" t="s">
        <v>65</v>
      </c>
      <c r="AP359" s="64">
        <f t="shared" si="220"/>
        <v>46237</v>
      </c>
      <c r="AQ359" s="64">
        <f t="shared" si="210"/>
        <v>46237</v>
      </c>
      <c r="AR359" s="65">
        <f t="shared" si="217"/>
        <v>27</v>
      </c>
      <c r="AS359" s="65">
        <f t="shared" si="218"/>
        <v>27</v>
      </c>
      <c r="AT359" s="157">
        <f t="shared" si="200"/>
        <v>0</v>
      </c>
      <c r="AU359" s="28"/>
      <c r="AV359" s="28"/>
      <c r="AW359" s="109" t="str">
        <f t="shared" si="211"/>
        <v>101514,71</v>
      </c>
      <c r="AX359" s="66">
        <f t="shared" si="212"/>
        <v>0</v>
      </c>
      <c r="AY359" s="66"/>
      <c r="AZ359" s="66">
        <f t="shared" si="213"/>
        <v>0</v>
      </c>
      <c r="BA359" s="30"/>
    </row>
    <row r="360" spans="1:53" ht="21.6" customHeight="1" x14ac:dyDescent="0.3">
      <c r="A360" s="2" t="s">
        <v>307</v>
      </c>
      <c r="B360" s="3" t="s">
        <v>91</v>
      </c>
      <c r="C360" s="3" t="s">
        <v>52</v>
      </c>
      <c r="D360" s="3">
        <v>4600016615</v>
      </c>
      <c r="E360" s="3">
        <v>4501941487</v>
      </c>
      <c r="F360" s="3" t="s">
        <v>53</v>
      </c>
      <c r="G360" s="144">
        <v>720</v>
      </c>
      <c r="H360" s="394">
        <v>46211</v>
      </c>
      <c r="I360" s="50">
        <v>46223</v>
      </c>
      <c r="J360" s="15">
        <f t="shared" si="194"/>
        <v>12</v>
      </c>
      <c r="K360" s="3" t="s">
        <v>70</v>
      </c>
      <c r="L360" s="3" t="s">
        <v>56</v>
      </c>
      <c r="M360" s="3" t="s">
        <v>92</v>
      </c>
      <c r="N360" s="3" t="s">
        <v>896</v>
      </c>
      <c r="O360" s="3" t="s">
        <v>59</v>
      </c>
      <c r="P360" s="8">
        <v>3375.02</v>
      </c>
      <c r="Q360" s="44" t="s">
        <v>60</v>
      </c>
      <c r="R360" s="35">
        <f t="shared" si="219"/>
        <v>46211</v>
      </c>
      <c r="S360" s="13" t="s">
        <v>61</v>
      </c>
      <c r="T360" s="35">
        <v>46219</v>
      </c>
      <c r="U360" s="37">
        <v>46219</v>
      </c>
      <c r="V360" s="37">
        <f t="shared" si="197"/>
        <v>46223</v>
      </c>
      <c r="W360" s="59">
        <f t="shared" si="214"/>
        <v>12</v>
      </c>
      <c r="X360" s="59">
        <f t="shared" si="215"/>
        <v>8</v>
      </c>
      <c r="Y360" s="59">
        <f t="shared" si="216"/>
        <v>4</v>
      </c>
      <c r="Z360" s="39"/>
      <c r="AA360" s="4" t="s">
        <v>814</v>
      </c>
      <c r="AB360" s="410">
        <v>46219</v>
      </c>
      <c r="AC360" s="358" t="s">
        <v>897</v>
      </c>
      <c r="AD360" s="174">
        <v>7770</v>
      </c>
      <c r="AE360" s="13" t="s">
        <v>63</v>
      </c>
      <c r="AF360" s="35" t="s">
        <v>864</v>
      </c>
      <c r="AG360" s="3" t="str">
        <f t="shared" si="198"/>
        <v>CIF</v>
      </c>
      <c r="AH360" s="358" t="s">
        <v>588</v>
      </c>
      <c r="AI360" s="36" t="e">
        <f>#REF!</f>
        <v>#REF!</v>
      </c>
      <c r="AJ360" s="36">
        <v>0</v>
      </c>
      <c r="AK360" s="142">
        <f t="shared" si="223"/>
        <v>0</v>
      </c>
      <c r="AL360" s="47"/>
      <c r="AM360" s="153" t="s">
        <v>864</v>
      </c>
      <c r="AN360" s="63">
        <f t="shared" si="209"/>
        <v>0</v>
      </c>
      <c r="AO360" s="34" t="s">
        <v>65</v>
      </c>
      <c r="AP360" s="64">
        <f t="shared" si="220"/>
        <v>46223</v>
      </c>
      <c r="AQ360" s="64" t="str">
        <f t="shared" si="210"/>
        <v>17/07/2026</v>
      </c>
      <c r="AR360" s="65">
        <f t="shared" si="217"/>
        <v>12</v>
      </c>
      <c r="AS360" s="65">
        <f t="shared" si="218"/>
        <v>9</v>
      </c>
      <c r="AT360" s="157">
        <f t="shared" si="200"/>
        <v>3</v>
      </c>
      <c r="AU360" s="28"/>
      <c r="AV360" s="28"/>
      <c r="AW360" s="109" t="str">
        <f t="shared" si="211"/>
        <v>3.375,02</v>
      </c>
      <c r="AX360" s="66">
        <f t="shared" si="212"/>
        <v>0</v>
      </c>
      <c r="AY360" s="66"/>
      <c r="AZ360" s="66">
        <f t="shared" si="213"/>
        <v>0</v>
      </c>
      <c r="BA360" s="30"/>
    </row>
    <row r="361" spans="1:53" ht="21.6" customHeight="1" x14ac:dyDescent="0.3">
      <c r="A361" s="2" t="s">
        <v>192</v>
      </c>
      <c r="B361" s="3" t="s">
        <v>171</v>
      </c>
      <c r="C361" s="3" t="s">
        <v>78</v>
      </c>
      <c r="D361" s="3"/>
      <c r="E361" s="3">
        <v>4500094386</v>
      </c>
      <c r="F361" s="3"/>
      <c r="G361" s="144">
        <v>721</v>
      </c>
      <c r="H361" s="394">
        <v>46211</v>
      </c>
      <c r="I361" s="50">
        <v>46241</v>
      </c>
      <c r="J361" s="15">
        <f t="shared" si="194"/>
        <v>30</v>
      </c>
      <c r="K361" s="3" t="s">
        <v>55</v>
      </c>
      <c r="L361" s="3" t="s">
        <v>56</v>
      </c>
      <c r="M361" s="3" t="s">
        <v>186</v>
      </c>
      <c r="N361" s="3" t="s">
        <v>554</v>
      </c>
      <c r="O361" s="3" t="s">
        <v>59</v>
      </c>
      <c r="P361" s="8">
        <v>1478.17</v>
      </c>
      <c r="Q361" s="44" t="s">
        <v>100</v>
      </c>
      <c r="R361" s="35">
        <f t="shared" si="219"/>
        <v>46211</v>
      </c>
      <c r="S361" s="13" t="s">
        <v>61</v>
      </c>
      <c r="T361" s="35">
        <v>46226</v>
      </c>
      <c r="U361" s="37">
        <v>46226</v>
      </c>
      <c r="V361" s="37">
        <f t="shared" si="197"/>
        <v>46241</v>
      </c>
      <c r="W361" s="59">
        <f t="shared" si="214"/>
        <v>30</v>
      </c>
      <c r="X361" s="59">
        <f t="shared" si="215"/>
        <v>15</v>
      </c>
      <c r="Y361" s="59">
        <f t="shared" si="216"/>
        <v>15</v>
      </c>
      <c r="Z361" s="39"/>
      <c r="AA361" s="4" t="s">
        <v>836</v>
      </c>
      <c r="AB361" s="410">
        <v>46225</v>
      </c>
      <c r="AC361" s="389" t="s">
        <v>898</v>
      </c>
      <c r="AD361" s="174">
        <v>7782</v>
      </c>
      <c r="AE361" s="13" t="s">
        <v>677</v>
      </c>
      <c r="AF361" s="35" t="s">
        <v>714</v>
      </c>
      <c r="AG361" s="3" t="str">
        <f t="shared" si="198"/>
        <v>FOB</v>
      </c>
      <c r="AH361" s="389" t="s">
        <v>404</v>
      </c>
      <c r="AI361" s="36" t="e">
        <f>#REF!</f>
        <v>#REF!</v>
      </c>
      <c r="AJ361" s="36">
        <v>0</v>
      </c>
      <c r="AK361" s="142">
        <f t="shared" si="223"/>
        <v>0</v>
      </c>
      <c r="AL361" s="47">
        <v>46334</v>
      </c>
      <c r="AM361" s="153">
        <v>46226</v>
      </c>
      <c r="AN361" s="63">
        <f t="shared" si="209"/>
        <v>-1</v>
      </c>
      <c r="AO361" s="34" t="s">
        <v>65</v>
      </c>
      <c r="AP361" s="64">
        <f t="shared" si="220"/>
        <v>46241</v>
      </c>
      <c r="AQ361" s="64">
        <f t="shared" si="210"/>
        <v>46226</v>
      </c>
      <c r="AR361" s="65">
        <f t="shared" si="217"/>
        <v>30</v>
      </c>
      <c r="AS361" s="65">
        <f t="shared" si="218"/>
        <v>15</v>
      </c>
      <c r="AT361" s="157">
        <f t="shared" si="200"/>
        <v>15</v>
      </c>
      <c r="AU361" s="28"/>
      <c r="AV361" s="28"/>
      <c r="AW361" s="109" t="str">
        <f t="shared" si="211"/>
        <v>1.478,17</v>
      </c>
      <c r="AX361" s="66">
        <f t="shared" si="212"/>
        <v>0</v>
      </c>
      <c r="AY361" s="66"/>
      <c r="AZ361" s="66">
        <f t="shared" si="213"/>
        <v>0</v>
      </c>
      <c r="BA361" s="30"/>
    </row>
    <row r="362" spans="1:53" ht="21.6" customHeight="1" x14ac:dyDescent="0.3">
      <c r="A362" s="2" t="s">
        <v>679</v>
      </c>
      <c r="B362" s="3" t="s">
        <v>51</v>
      </c>
      <c r="C362" s="3" t="s">
        <v>78</v>
      </c>
      <c r="D362" s="3" t="s">
        <v>53</v>
      </c>
      <c r="E362" s="3" t="s">
        <v>899</v>
      </c>
      <c r="F362" s="3" t="s">
        <v>635</v>
      </c>
      <c r="G362" s="144">
        <v>722</v>
      </c>
      <c r="H362" s="394">
        <v>46211</v>
      </c>
      <c r="I362" s="50">
        <v>46253</v>
      </c>
      <c r="J362" s="15">
        <f t="shared" si="194"/>
        <v>42</v>
      </c>
      <c r="K362" s="3" t="s">
        <v>55</v>
      </c>
      <c r="L362" s="3" t="s">
        <v>56</v>
      </c>
      <c r="M362" s="3" t="s">
        <v>57</v>
      </c>
      <c r="N362" s="3" t="s">
        <v>900</v>
      </c>
      <c r="O362" s="3" t="s">
        <v>59</v>
      </c>
      <c r="P362" s="137">
        <v>14717.44</v>
      </c>
      <c r="Q362" s="44" t="s">
        <v>100</v>
      </c>
      <c r="R362" s="35">
        <f t="shared" si="219"/>
        <v>46211</v>
      </c>
      <c r="S362" s="13" t="s">
        <v>61</v>
      </c>
      <c r="T362" s="35">
        <v>46234</v>
      </c>
      <c r="U362" s="37">
        <v>46234</v>
      </c>
      <c r="V362" s="37">
        <f t="shared" si="197"/>
        <v>46253</v>
      </c>
      <c r="W362" s="59">
        <f t="shared" si="214"/>
        <v>42</v>
      </c>
      <c r="X362" s="59">
        <f t="shared" si="215"/>
        <v>23</v>
      </c>
      <c r="Y362" s="59">
        <f t="shared" si="216"/>
        <v>19</v>
      </c>
      <c r="Z362" s="39"/>
      <c r="AA362" s="4" t="s">
        <v>702</v>
      </c>
      <c r="AB362" s="410">
        <v>46234</v>
      </c>
      <c r="AC362" s="32" t="s">
        <v>901</v>
      </c>
      <c r="AD362" s="174">
        <v>7804</v>
      </c>
      <c r="AE362" s="13"/>
      <c r="AF362" s="35">
        <v>46211</v>
      </c>
      <c r="AG362" s="3" t="str">
        <f t="shared" si="198"/>
        <v>FOB</v>
      </c>
      <c r="AH362" s="32"/>
      <c r="AI362" s="36" t="e">
        <f>#REF!</f>
        <v>#REF!</v>
      </c>
      <c r="AJ362" s="36">
        <v>0</v>
      </c>
      <c r="AK362" s="142">
        <f t="shared" si="223"/>
        <v>0</v>
      </c>
      <c r="AL362" s="47"/>
      <c r="AM362" s="153">
        <v>46234</v>
      </c>
      <c r="AN362" s="63">
        <f t="shared" si="209"/>
        <v>23</v>
      </c>
      <c r="AO362" s="34" t="s">
        <v>65</v>
      </c>
      <c r="AP362" s="64">
        <f t="shared" si="220"/>
        <v>46253</v>
      </c>
      <c r="AQ362" s="64">
        <f t="shared" si="210"/>
        <v>46234</v>
      </c>
      <c r="AR362" s="65">
        <f t="shared" ref="AR362:AR393" si="224">AP362-H362</f>
        <v>42</v>
      </c>
      <c r="AS362" s="65">
        <f t="shared" ref="AS362:AS393" si="225">AM362-H362</f>
        <v>23</v>
      </c>
      <c r="AT362" s="157">
        <f t="shared" si="200"/>
        <v>19</v>
      </c>
      <c r="AU362" s="28"/>
      <c r="AV362" s="28"/>
      <c r="AW362" s="109" t="str">
        <f t="shared" si="211"/>
        <v>14717,44</v>
      </c>
      <c r="AX362" s="66">
        <f t="shared" si="212"/>
        <v>0</v>
      </c>
      <c r="AY362" s="66"/>
      <c r="AZ362" s="66">
        <f t="shared" si="213"/>
        <v>0</v>
      </c>
      <c r="BA362" s="30"/>
    </row>
    <row r="363" spans="1:53" ht="21.6" customHeight="1" x14ac:dyDescent="0.3">
      <c r="A363" s="2" t="s">
        <v>902</v>
      </c>
      <c r="B363" s="3" t="s">
        <v>903</v>
      </c>
      <c r="C363" s="3" t="s">
        <v>78</v>
      </c>
      <c r="D363" s="3"/>
      <c r="E363" s="3">
        <v>25843</v>
      </c>
      <c r="F363" s="3" t="s">
        <v>904</v>
      </c>
      <c r="G363" s="144">
        <v>723</v>
      </c>
      <c r="H363" s="394">
        <v>46212</v>
      </c>
      <c r="I363" s="50">
        <v>46241</v>
      </c>
      <c r="J363" s="15">
        <f t="shared" ref="J363:J426" si="226">I363-H363</f>
        <v>29</v>
      </c>
      <c r="K363" s="3" t="s">
        <v>55</v>
      </c>
      <c r="L363" s="3" t="s">
        <v>56</v>
      </c>
      <c r="M363" s="3" t="s">
        <v>98</v>
      </c>
      <c r="N363" s="3" t="s">
        <v>868</v>
      </c>
      <c r="O363" s="3" t="s">
        <v>59</v>
      </c>
      <c r="P363" s="8">
        <v>8010.32</v>
      </c>
      <c r="Q363" s="44" t="s">
        <v>100</v>
      </c>
      <c r="R363" s="35">
        <f t="shared" si="219"/>
        <v>46212</v>
      </c>
      <c r="S363" s="13" t="s">
        <v>61</v>
      </c>
      <c r="T363" s="35">
        <v>46217</v>
      </c>
      <c r="U363" s="37">
        <v>46216</v>
      </c>
      <c r="V363" s="37">
        <f t="shared" si="197"/>
        <v>46241</v>
      </c>
      <c r="W363" s="59">
        <f t="shared" si="214"/>
        <v>29</v>
      </c>
      <c r="X363" s="59">
        <f t="shared" si="215"/>
        <v>4</v>
      </c>
      <c r="Y363" s="59">
        <f t="shared" si="216"/>
        <v>25</v>
      </c>
      <c r="Z363" s="39"/>
      <c r="AA363" s="4" t="s">
        <v>735</v>
      </c>
      <c r="AB363" s="410">
        <v>46219</v>
      </c>
      <c r="AC363" s="13" t="s">
        <v>905</v>
      </c>
      <c r="AD363" s="174">
        <v>7771</v>
      </c>
      <c r="AE363" s="13" t="s">
        <v>63</v>
      </c>
      <c r="AF363" s="35" t="s">
        <v>691</v>
      </c>
      <c r="AG363" s="3" t="str">
        <f t="shared" si="198"/>
        <v>FOB</v>
      </c>
      <c r="AH363" s="13" t="s">
        <v>906</v>
      </c>
      <c r="AI363" s="36" t="e">
        <f>#REF!</f>
        <v>#REF!</v>
      </c>
      <c r="AJ363" s="36">
        <v>0</v>
      </c>
      <c r="AK363" s="142">
        <f t="shared" si="223"/>
        <v>0</v>
      </c>
      <c r="AL363" s="47"/>
      <c r="AM363" s="153">
        <v>46216</v>
      </c>
      <c r="AN363" s="63">
        <f t="shared" si="209"/>
        <v>-3</v>
      </c>
      <c r="AO363" s="34" t="s">
        <v>65</v>
      </c>
      <c r="AP363" s="64">
        <f t="shared" si="220"/>
        <v>46241</v>
      </c>
      <c r="AQ363" s="64">
        <f t="shared" si="210"/>
        <v>46216</v>
      </c>
      <c r="AR363" s="65">
        <f t="shared" si="224"/>
        <v>29</v>
      </c>
      <c r="AS363" s="65">
        <f t="shared" si="225"/>
        <v>4</v>
      </c>
      <c r="AT363" s="157">
        <f t="shared" si="200"/>
        <v>25</v>
      </c>
      <c r="AU363" s="28"/>
      <c r="AV363" s="28"/>
      <c r="AW363" s="109" t="str">
        <f t="shared" si="211"/>
        <v>8010,32</v>
      </c>
      <c r="AX363" s="66">
        <f t="shared" si="212"/>
        <v>0</v>
      </c>
      <c r="AY363" s="66"/>
      <c r="AZ363" s="66">
        <f t="shared" si="213"/>
        <v>0</v>
      </c>
      <c r="BA363" s="30"/>
    </row>
    <row r="364" spans="1:53" ht="21.6" customHeight="1" x14ac:dyDescent="0.3">
      <c r="A364" s="2" t="s">
        <v>907</v>
      </c>
      <c r="B364" s="3" t="s">
        <v>51</v>
      </c>
      <c r="C364" s="3" t="s">
        <v>78</v>
      </c>
      <c r="D364" s="3" t="s">
        <v>53</v>
      </c>
      <c r="E364" s="3">
        <v>114322</v>
      </c>
      <c r="F364" s="3" t="s">
        <v>908</v>
      </c>
      <c r="G364" s="144">
        <v>724</v>
      </c>
      <c r="H364" s="394">
        <v>46212</v>
      </c>
      <c r="I364" s="50">
        <v>46218</v>
      </c>
      <c r="J364" s="15">
        <f t="shared" si="226"/>
        <v>6</v>
      </c>
      <c r="K364" s="3" t="s">
        <v>70</v>
      </c>
      <c r="L364" s="3" t="s">
        <v>56</v>
      </c>
      <c r="M364" s="3" t="s">
        <v>57</v>
      </c>
      <c r="N364" s="3" t="s">
        <v>432</v>
      </c>
      <c r="O364" s="3" t="s">
        <v>59</v>
      </c>
      <c r="P364" s="8">
        <v>10709.8</v>
      </c>
      <c r="Q364" s="44" t="s">
        <v>60</v>
      </c>
      <c r="R364" s="35">
        <f t="shared" si="219"/>
        <v>46212</v>
      </c>
      <c r="S364" s="13" t="s">
        <v>61</v>
      </c>
      <c r="T364" s="35">
        <v>46217</v>
      </c>
      <c r="U364" s="37">
        <v>46218</v>
      </c>
      <c r="V364" s="37">
        <f t="shared" si="197"/>
        <v>46218</v>
      </c>
      <c r="W364" s="59">
        <f t="shared" si="214"/>
        <v>6</v>
      </c>
      <c r="X364" s="59">
        <f t="shared" si="215"/>
        <v>6</v>
      </c>
      <c r="Y364" s="59">
        <f t="shared" si="216"/>
        <v>0</v>
      </c>
      <c r="Z364" s="39"/>
      <c r="AA364" s="4" t="s">
        <v>814</v>
      </c>
      <c r="AB364" s="410">
        <v>46218</v>
      </c>
      <c r="AC364" s="13" t="s">
        <v>909</v>
      </c>
      <c r="AD364" s="174">
        <v>7767</v>
      </c>
      <c r="AE364" s="13" t="s">
        <v>63</v>
      </c>
      <c r="AF364" s="35" t="s">
        <v>691</v>
      </c>
      <c r="AG364" s="3" t="str">
        <f t="shared" si="198"/>
        <v>CIF</v>
      </c>
      <c r="AH364" s="13" t="s">
        <v>245</v>
      </c>
      <c r="AI364" s="36" t="e">
        <f>#REF!</f>
        <v>#REF!</v>
      </c>
      <c r="AJ364" s="36">
        <v>0</v>
      </c>
      <c r="AK364" s="142">
        <f t="shared" si="223"/>
        <v>0</v>
      </c>
      <c r="AL364" s="47"/>
      <c r="AM364" s="153" t="s">
        <v>830</v>
      </c>
      <c r="AN364" s="63">
        <f t="shared" si="209"/>
        <v>4</v>
      </c>
      <c r="AO364" s="34" t="s">
        <v>103</v>
      </c>
      <c r="AP364" s="64">
        <f t="shared" si="220"/>
        <v>46218</v>
      </c>
      <c r="AQ364" s="64" t="str">
        <f t="shared" si="210"/>
        <v>20/07/2026</v>
      </c>
      <c r="AR364" s="65">
        <f t="shared" si="224"/>
        <v>6</v>
      </c>
      <c r="AS364" s="65">
        <f t="shared" si="225"/>
        <v>11</v>
      </c>
      <c r="AT364" s="157">
        <f t="shared" si="200"/>
        <v>-5</v>
      </c>
      <c r="AU364" s="28" t="s">
        <v>910</v>
      </c>
      <c r="AV364" s="28"/>
      <c r="AW364" s="109" t="str">
        <f t="shared" si="211"/>
        <v>16709,80</v>
      </c>
      <c r="AX364" s="66">
        <f t="shared" si="212"/>
        <v>0</v>
      </c>
      <c r="AY364" s="66"/>
      <c r="AZ364" s="66">
        <f t="shared" si="213"/>
        <v>0</v>
      </c>
      <c r="BA364" s="30"/>
    </row>
    <row r="365" spans="1:53" ht="21.6" customHeight="1" x14ac:dyDescent="0.3">
      <c r="A365" s="2" t="s">
        <v>692</v>
      </c>
      <c r="B365" s="3" t="s">
        <v>903</v>
      </c>
      <c r="C365" s="3" t="s">
        <v>52</v>
      </c>
      <c r="D365" s="3"/>
      <c r="E365" s="3" t="s">
        <v>911</v>
      </c>
      <c r="F365" s="3" t="s">
        <v>912</v>
      </c>
      <c r="G365" s="144">
        <v>725</v>
      </c>
      <c r="H365" s="394">
        <v>46212</v>
      </c>
      <c r="I365" s="50">
        <v>46219</v>
      </c>
      <c r="J365" s="15">
        <f t="shared" si="226"/>
        <v>7</v>
      </c>
      <c r="K365" s="3" t="s">
        <v>55</v>
      </c>
      <c r="L365" s="3" t="s">
        <v>56</v>
      </c>
      <c r="M365" s="3" t="s">
        <v>98</v>
      </c>
      <c r="N365" s="3" t="s">
        <v>99</v>
      </c>
      <c r="O365" s="3" t="s">
        <v>59</v>
      </c>
      <c r="P365" s="8">
        <v>5091.0600000000004</v>
      </c>
      <c r="Q365" s="44" t="s">
        <v>60</v>
      </c>
      <c r="R365" s="35">
        <f t="shared" si="219"/>
        <v>46212</v>
      </c>
      <c r="S365" s="13" t="s">
        <v>61</v>
      </c>
      <c r="T365" s="35">
        <v>46218</v>
      </c>
      <c r="U365" s="37">
        <v>46219</v>
      </c>
      <c r="V365" s="37">
        <f t="shared" si="197"/>
        <v>46219</v>
      </c>
      <c r="W365" s="59">
        <f t="shared" si="214"/>
        <v>7</v>
      </c>
      <c r="X365" s="59">
        <f t="shared" si="215"/>
        <v>7</v>
      </c>
      <c r="Y365" s="59">
        <f t="shared" si="216"/>
        <v>0</v>
      </c>
      <c r="Z365" s="39"/>
      <c r="AA365" s="4" t="s">
        <v>814</v>
      </c>
      <c r="AB365" s="410">
        <v>46220</v>
      </c>
      <c r="AC365" s="389" t="s">
        <v>913</v>
      </c>
      <c r="AD365" s="174">
        <v>7774</v>
      </c>
      <c r="AE365" s="13" t="s">
        <v>63</v>
      </c>
      <c r="AF365" s="35" t="s">
        <v>870</v>
      </c>
      <c r="AG365" s="3" t="str">
        <f t="shared" si="198"/>
        <v>FOB</v>
      </c>
      <c r="AH365" s="389" t="s">
        <v>871</v>
      </c>
      <c r="AI365" s="36" t="e">
        <f>#REF!</f>
        <v>#REF!</v>
      </c>
      <c r="AJ365" s="36">
        <v>0</v>
      </c>
      <c r="AK365" s="142">
        <f t="shared" si="223"/>
        <v>0</v>
      </c>
      <c r="AL365" s="47"/>
      <c r="AM365" s="153">
        <v>46219</v>
      </c>
      <c r="AN365" s="63">
        <f t="shared" si="209"/>
        <v>-6</v>
      </c>
      <c r="AO365" s="34" t="s">
        <v>65</v>
      </c>
      <c r="AP365" s="64">
        <f t="shared" si="220"/>
        <v>46219</v>
      </c>
      <c r="AQ365" s="64">
        <f t="shared" si="210"/>
        <v>46219</v>
      </c>
      <c r="AR365" s="65">
        <f t="shared" si="224"/>
        <v>7</v>
      </c>
      <c r="AS365" s="65">
        <f t="shared" si="225"/>
        <v>7</v>
      </c>
      <c r="AT365" s="157">
        <f t="shared" si="200"/>
        <v>0</v>
      </c>
      <c r="AU365" s="28"/>
      <c r="AV365" s="28"/>
      <c r="AW365" s="109" t="str">
        <f t="shared" si="211"/>
        <v>5.091,06</v>
      </c>
      <c r="AX365" s="66">
        <f t="shared" si="212"/>
        <v>0</v>
      </c>
      <c r="AY365" s="66"/>
      <c r="AZ365" s="66">
        <f t="shared" si="213"/>
        <v>0</v>
      </c>
      <c r="BA365" s="30"/>
    </row>
    <row r="366" spans="1:53" ht="21.6" customHeight="1" x14ac:dyDescent="0.3">
      <c r="A366" s="2" t="s">
        <v>416</v>
      </c>
      <c r="B366" s="3" t="s">
        <v>67</v>
      </c>
      <c r="C366" s="3" t="s">
        <v>78</v>
      </c>
      <c r="D366" s="3"/>
      <c r="E366" s="3">
        <v>84</v>
      </c>
      <c r="F366" s="3" t="s">
        <v>914</v>
      </c>
      <c r="G366" s="144">
        <v>726</v>
      </c>
      <c r="H366" s="394">
        <v>46216</v>
      </c>
      <c r="I366" s="50">
        <v>46244</v>
      </c>
      <c r="J366" s="15">
        <f t="shared" si="226"/>
        <v>28</v>
      </c>
      <c r="K366" s="3" t="s">
        <v>55</v>
      </c>
      <c r="L366" s="3" t="s">
        <v>113</v>
      </c>
      <c r="M366" s="3" t="s">
        <v>72</v>
      </c>
      <c r="N366" s="3"/>
      <c r="O366" s="3" t="s">
        <v>59</v>
      </c>
      <c r="P366" s="8">
        <v>2646</v>
      </c>
      <c r="Q366" s="44" t="s">
        <v>60</v>
      </c>
      <c r="R366" s="35">
        <f t="shared" si="219"/>
        <v>46216</v>
      </c>
      <c r="S366" s="13" t="s">
        <v>61</v>
      </c>
      <c r="T366" s="35">
        <v>46241</v>
      </c>
      <c r="U366" s="37">
        <v>46244</v>
      </c>
      <c r="V366" s="37">
        <f t="shared" si="197"/>
        <v>46244</v>
      </c>
      <c r="W366" s="59">
        <f t="shared" si="214"/>
        <v>28</v>
      </c>
      <c r="X366" s="59">
        <f t="shared" si="215"/>
        <v>28</v>
      </c>
      <c r="Y366" s="59">
        <f t="shared" si="216"/>
        <v>0</v>
      </c>
      <c r="Z366" s="39"/>
      <c r="AA366" s="4" t="s">
        <v>702</v>
      </c>
      <c r="AB366" s="35">
        <v>46234</v>
      </c>
      <c r="AC366" s="412">
        <v>2646</v>
      </c>
      <c r="AD366" s="174">
        <v>7826</v>
      </c>
      <c r="AE366" s="13"/>
      <c r="AF366" s="35" t="s">
        <v>915</v>
      </c>
      <c r="AG366" s="3" t="str">
        <f t="shared" si="198"/>
        <v>FOB</v>
      </c>
      <c r="AH366" s="13"/>
      <c r="AI366" s="36" t="e">
        <f>#REF!</f>
        <v>#REF!</v>
      </c>
      <c r="AJ366" s="36">
        <v>0</v>
      </c>
      <c r="AK366" s="142">
        <f t="shared" si="223"/>
        <v>0</v>
      </c>
      <c r="AL366" s="47"/>
      <c r="AM366" s="153">
        <v>46244</v>
      </c>
      <c r="AN366" s="63">
        <f t="shared" si="209"/>
        <v>-7</v>
      </c>
      <c r="AO366" s="34" t="s">
        <v>65</v>
      </c>
      <c r="AP366" s="64">
        <f t="shared" si="220"/>
        <v>46244</v>
      </c>
      <c r="AQ366" s="64">
        <f t="shared" si="210"/>
        <v>46244</v>
      </c>
      <c r="AR366" s="65">
        <f t="shared" si="224"/>
        <v>28</v>
      </c>
      <c r="AS366" s="65">
        <f t="shared" si="225"/>
        <v>28</v>
      </c>
      <c r="AT366" s="157">
        <f t="shared" si="200"/>
        <v>0</v>
      </c>
      <c r="AU366" s="28"/>
      <c r="AV366" s="28"/>
      <c r="AW366" s="109">
        <f t="shared" si="211"/>
        <v>2646</v>
      </c>
      <c r="AX366" s="66">
        <f t="shared" si="212"/>
        <v>0</v>
      </c>
      <c r="AY366" s="66"/>
      <c r="AZ366" s="66">
        <f t="shared" si="213"/>
        <v>0</v>
      </c>
      <c r="BA366" s="30"/>
    </row>
    <row r="367" spans="1:53" ht="21.6" customHeight="1" x14ac:dyDescent="0.3">
      <c r="A367" s="2" t="s">
        <v>95</v>
      </c>
      <c r="B367" s="3" t="s">
        <v>903</v>
      </c>
      <c r="C367" s="3" t="s">
        <v>78</v>
      </c>
      <c r="D367" s="3">
        <v>113</v>
      </c>
      <c r="E367" s="3">
        <v>4500014219</v>
      </c>
      <c r="F367" s="3"/>
      <c r="G367" s="144">
        <v>728</v>
      </c>
      <c r="H367" s="394">
        <v>46216</v>
      </c>
      <c r="I367" s="50">
        <v>46251</v>
      </c>
      <c r="J367" s="15">
        <f t="shared" si="226"/>
        <v>35</v>
      </c>
      <c r="K367" s="3" t="s">
        <v>70</v>
      </c>
      <c r="L367" s="3" t="s">
        <v>56</v>
      </c>
      <c r="M367" s="3" t="s">
        <v>98</v>
      </c>
      <c r="N367" s="3" t="s">
        <v>99</v>
      </c>
      <c r="O367" s="3" t="s">
        <v>59</v>
      </c>
      <c r="P367" s="8">
        <v>27005</v>
      </c>
      <c r="Q367" s="44" t="s">
        <v>60</v>
      </c>
      <c r="R367" s="35">
        <f t="shared" si="219"/>
        <v>46216</v>
      </c>
      <c r="S367" s="13" t="s">
        <v>61</v>
      </c>
      <c r="T367" s="35">
        <v>46227</v>
      </c>
      <c r="U367" s="37">
        <v>46231</v>
      </c>
      <c r="V367" s="37">
        <f t="shared" si="197"/>
        <v>46251</v>
      </c>
      <c r="W367" s="59">
        <f t="shared" si="214"/>
        <v>35</v>
      </c>
      <c r="X367" s="59">
        <f t="shared" si="215"/>
        <v>15</v>
      </c>
      <c r="Y367" s="59">
        <f t="shared" si="216"/>
        <v>20</v>
      </c>
      <c r="Z367" s="39"/>
      <c r="AA367" s="4" t="s">
        <v>836</v>
      </c>
      <c r="AB367" s="410">
        <v>46231</v>
      </c>
      <c r="AC367" s="389" t="s">
        <v>916</v>
      </c>
      <c r="AD367" s="174">
        <v>7790</v>
      </c>
      <c r="AE367" s="13"/>
      <c r="AF367" s="35" t="s">
        <v>893</v>
      </c>
      <c r="AG367" s="3" t="str">
        <f t="shared" si="198"/>
        <v>CIF</v>
      </c>
      <c r="AH367" s="389" t="s">
        <v>917</v>
      </c>
      <c r="AI367" s="36" t="e">
        <f>#REF!</f>
        <v>#REF!</v>
      </c>
      <c r="AJ367" s="36">
        <v>0</v>
      </c>
      <c r="AK367" s="142">
        <f t="shared" si="223"/>
        <v>0</v>
      </c>
      <c r="AL367" s="47"/>
      <c r="AM367" s="153">
        <v>46231</v>
      </c>
      <c r="AN367" s="63">
        <f t="shared" si="209"/>
        <v>0</v>
      </c>
      <c r="AO367" s="34" t="s">
        <v>65</v>
      </c>
      <c r="AP367" s="64">
        <f t="shared" si="220"/>
        <v>46251</v>
      </c>
      <c r="AQ367" s="64">
        <f t="shared" si="210"/>
        <v>46231</v>
      </c>
      <c r="AR367" s="65">
        <f t="shared" si="224"/>
        <v>35</v>
      </c>
      <c r="AS367" s="65">
        <f t="shared" si="225"/>
        <v>15</v>
      </c>
      <c r="AT367" s="157">
        <f t="shared" si="200"/>
        <v>20</v>
      </c>
      <c r="AU367" s="28"/>
      <c r="AV367" s="28"/>
      <c r="AW367" s="109" t="str">
        <f t="shared" si="211"/>
        <v>27.005,00</v>
      </c>
      <c r="AX367" s="66">
        <f t="shared" si="212"/>
        <v>0</v>
      </c>
      <c r="AY367" s="66"/>
      <c r="AZ367" s="66">
        <f t="shared" si="213"/>
        <v>0</v>
      </c>
      <c r="BA367" s="30"/>
    </row>
    <row r="368" spans="1:53" ht="21.6" customHeight="1" x14ac:dyDescent="0.3">
      <c r="A368" s="2" t="s">
        <v>918</v>
      </c>
      <c r="B368" s="3" t="s">
        <v>171</v>
      </c>
      <c r="C368" s="3" t="s">
        <v>78</v>
      </c>
      <c r="D368" s="3"/>
      <c r="E368" s="3">
        <v>4518855972</v>
      </c>
      <c r="F368" s="3"/>
      <c r="G368" s="144">
        <v>729</v>
      </c>
      <c r="H368" s="394">
        <v>46217</v>
      </c>
      <c r="I368" s="50">
        <v>46275</v>
      </c>
      <c r="J368" s="15">
        <f t="shared" si="226"/>
        <v>58</v>
      </c>
      <c r="K368" s="3" t="s">
        <v>70</v>
      </c>
      <c r="L368" s="3" t="s">
        <v>56</v>
      </c>
      <c r="M368" s="3" t="s">
        <v>186</v>
      </c>
      <c r="N368" s="3" t="s">
        <v>286</v>
      </c>
      <c r="O368" s="3" t="s">
        <v>59</v>
      </c>
      <c r="P368" s="8">
        <v>11056</v>
      </c>
      <c r="Q368" s="44" t="s">
        <v>100</v>
      </c>
      <c r="R368" s="35">
        <f t="shared" si="219"/>
        <v>46217</v>
      </c>
      <c r="S368" s="13" t="s">
        <v>61</v>
      </c>
      <c r="T368" s="35">
        <v>46234</v>
      </c>
      <c r="U368" s="37">
        <v>46238</v>
      </c>
      <c r="V368" s="37">
        <f t="shared" si="197"/>
        <v>46275</v>
      </c>
      <c r="W368" s="59">
        <f t="shared" si="214"/>
        <v>58</v>
      </c>
      <c r="X368" s="59">
        <f t="shared" si="215"/>
        <v>21</v>
      </c>
      <c r="Y368" s="59">
        <f t="shared" si="216"/>
        <v>37</v>
      </c>
      <c r="Z368" s="39"/>
      <c r="AA368" s="4" t="s">
        <v>702</v>
      </c>
      <c r="AB368" s="35">
        <v>46234</v>
      </c>
      <c r="AC368" s="32"/>
      <c r="AD368" s="174" t="s">
        <v>919</v>
      </c>
      <c r="AE368" s="13"/>
      <c r="AF368" s="35">
        <v>46237</v>
      </c>
      <c r="AG368" s="3" t="str">
        <f t="shared" si="198"/>
        <v>CIF</v>
      </c>
      <c r="AH368" s="13"/>
      <c r="AI368" s="36" t="e">
        <f>#REF!</f>
        <v>#REF!</v>
      </c>
      <c r="AJ368" s="36">
        <v>0</v>
      </c>
      <c r="AK368" s="142" t="e">
        <f t="shared" si="223"/>
        <v>#DIV/0!</v>
      </c>
      <c r="AL368" s="47"/>
      <c r="AM368" s="153">
        <v>46247</v>
      </c>
      <c r="AN368" s="63">
        <f t="shared" si="209"/>
        <v>10</v>
      </c>
      <c r="AO368" s="34" t="s">
        <v>65</v>
      </c>
      <c r="AP368" s="64">
        <f t="shared" si="220"/>
        <v>46275</v>
      </c>
      <c r="AQ368" s="64">
        <f t="shared" si="210"/>
        <v>46247</v>
      </c>
      <c r="AR368" s="65">
        <f t="shared" si="224"/>
        <v>58</v>
      </c>
      <c r="AS368" s="65">
        <f t="shared" si="225"/>
        <v>30</v>
      </c>
      <c r="AT368" s="157">
        <f t="shared" si="200"/>
        <v>28</v>
      </c>
      <c r="AU368" s="28"/>
      <c r="AV368" s="28"/>
      <c r="AW368" s="109">
        <f t="shared" si="211"/>
        <v>0</v>
      </c>
      <c r="AX368" s="66">
        <f t="shared" si="212"/>
        <v>0</v>
      </c>
      <c r="AY368" s="66"/>
      <c r="AZ368" s="66">
        <f t="shared" si="213"/>
        <v>0</v>
      </c>
      <c r="BA368" s="30"/>
    </row>
    <row r="369" spans="1:53" ht="21.6" customHeight="1" x14ac:dyDescent="0.3">
      <c r="A369" s="2" t="s">
        <v>307</v>
      </c>
      <c r="B369" s="3" t="s">
        <v>903</v>
      </c>
      <c r="C369" s="3" t="s">
        <v>78</v>
      </c>
      <c r="D369" s="3">
        <v>4600016155</v>
      </c>
      <c r="E369" s="3">
        <v>4501952450</v>
      </c>
      <c r="F369" s="3"/>
      <c r="G369" s="144">
        <v>730</v>
      </c>
      <c r="H369" s="394">
        <v>46217</v>
      </c>
      <c r="I369" s="50">
        <v>46271</v>
      </c>
      <c r="J369" s="15">
        <f t="shared" si="226"/>
        <v>54</v>
      </c>
      <c r="K369" s="3" t="s">
        <v>70</v>
      </c>
      <c r="L369" s="3" t="s">
        <v>56</v>
      </c>
      <c r="M369" s="3" t="s">
        <v>255</v>
      </c>
      <c r="N369" s="3" t="s">
        <v>311</v>
      </c>
      <c r="O369" s="3" t="s">
        <v>59</v>
      </c>
      <c r="P369" s="8">
        <v>3077.5</v>
      </c>
      <c r="Q369" s="44" t="s">
        <v>100</v>
      </c>
      <c r="R369" s="35">
        <f t="shared" si="219"/>
        <v>46217</v>
      </c>
      <c r="S369" s="13" t="s">
        <v>61</v>
      </c>
      <c r="T369" s="35">
        <v>46237</v>
      </c>
      <c r="U369" s="37">
        <v>46234</v>
      </c>
      <c r="V369" s="37">
        <f t="shared" si="197"/>
        <v>46271</v>
      </c>
      <c r="W369" s="59">
        <f t="shared" si="214"/>
        <v>54</v>
      </c>
      <c r="X369" s="59">
        <f t="shared" si="215"/>
        <v>17</v>
      </c>
      <c r="Y369" s="59">
        <f t="shared" si="216"/>
        <v>37</v>
      </c>
      <c r="Z369" s="39"/>
      <c r="AA369" s="4" t="s">
        <v>702</v>
      </c>
      <c r="AB369" s="410">
        <v>46233</v>
      </c>
      <c r="AC369" s="13" t="s">
        <v>920</v>
      </c>
      <c r="AD369" s="174">
        <v>7800</v>
      </c>
      <c r="AE369" s="13"/>
      <c r="AF369" s="35">
        <v>46237</v>
      </c>
      <c r="AG369" s="3" t="str">
        <f t="shared" si="198"/>
        <v>CIF</v>
      </c>
      <c r="AH369" s="13" t="s">
        <v>525</v>
      </c>
      <c r="AI369" s="36" t="e">
        <f>#REF!</f>
        <v>#REF!</v>
      </c>
      <c r="AJ369" s="36">
        <v>0</v>
      </c>
      <c r="AK369" s="142">
        <f t="shared" si="223"/>
        <v>0</v>
      </c>
      <c r="AL369" s="47"/>
      <c r="AM369" s="153">
        <v>46240</v>
      </c>
      <c r="AN369" s="63">
        <f t="shared" si="209"/>
        <v>3</v>
      </c>
      <c r="AO369" s="34" t="s">
        <v>65</v>
      </c>
      <c r="AP369" s="64">
        <f t="shared" si="220"/>
        <v>46271</v>
      </c>
      <c r="AQ369" s="64">
        <f t="shared" si="210"/>
        <v>46240</v>
      </c>
      <c r="AR369" s="65">
        <f t="shared" si="224"/>
        <v>54</v>
      </c>
      <c r="AS369" s="65">
        <f t="shared" si="225"/>
        <v>23</v>
      </c>
      <c r="AT369" s="157">
        <f t="shared" si="200"/>
        <v>31</v>
      </c>
      <c r="AU369" s="28"/>
      <c r="AV369" s="28"/>
      <c r="AW369" s="109" t="str">
        <f t="shared" si="211"/>
        <v>3077,50</v>
      </c>
      <c r="AX369" s="66">
        <f t="shared" si="212"/>
        <v>0</v>
      </c>
      <c r="AY369" s="66"/>
      <c r="AZ369" s="66">
        <f t="shared" si="213"/>
        <v>0</v>
      </c>
      <c r="BA369" s="30"/>
    </row>
    <row r="370" spans="1:53" ht="21.6" customHeight="1" x14ac:dyDescent="0.3">
      <c r="A370" s="2" t="s">
        <v>918</v>
      </c>
      <c r="B370" s="3" t="s">
        <v>171</v>
      </c>
      <c r="C370" s="3" t="s">
        <v>78</v>
      </c>
      <c r="D370" s="3"/>
      <c r="E370" s="3">
        <v>4518853966</v>
      </c>
      <c r="F370" s="3"/>
      <c r="G370" s="144">
        <v>731</v>
      </c>
      <c r="H370" s="394">
        <v>46217</v>
      </c>
      <c r="I370" s="50">
        <v>46260</v>
      </c>
      <c r="J370" s="15">
        <f t="shared" si="226"/>
        <v>43</v>
      </c>
      <c r="K370" s="3" t="s">
        <v>70</v>
      </c>
      <c r="L370" s="3" t="s">
        <v>56</v>
      </c>
      <c r="M370" s="3" t="s">
        <v>186</v>
      </c>
      <c r="N370" s="3" t="s">
        <v>286</v>
      </c>
      <c r="O370" s="3" t="s">
        <v>59</v>
      </c>
      <c r="P370" s="8">
        <v>14010</v>
      </c>
      <c r="Q370" s="44" t="s">
        <v>100</v>
      </c>
      <c r="R370" s="35">
        <f t="shared" si="219"/>
        <v>46217</v>
      </c>
      <c r="S370" s="13" t="s">
        <v>61</v>
      </c>
      <c r="T370" s="35">
        <v>46234</v>
      </c>
      <c r="U370" s="37">
        <v>46238</v>
      </c>
      <c r="V370" s="37">
        <f t="shared" si="197"/>
        <v>46260</v>
      </c>
      <c r="W370" s="59">
        <f t="shared" si="214"/>
        <v>43</v>
      </c>
      <c r="X370" s="59">
        <f t="shared" si="215"/>
        <v>21</v>
      </c>
      <c r="Y370" s="59">
        <f t="shared" si="216"/>
        <v>22</v>
      </c>
      <c r="Z370" s="39"/>
      <c r="AA370" s="4" t="s">
        <v>702</v>
      </c>
      <c r="AB370" s="35">
        <v>46234</v>
      </c>
      <c r="AC370" s="13"/>
      <c r="AD370" s="174">
        <v>7812</v>
      </c>
      <c r="AE370" s="13"/>
      <c r="AF370" s="35">
        <v>46237</v>
      </c>
      <c r="AG370" s="3" t="str">
        <f t="shared" si="198"/>
        <v>CIF</v>
      </c>
      <c r="AH370" s="13" t="s">
        <v>635</v>
      </c>
      <c r="AI370" s="36" t="e">
        <f>#REF!</f>
        <v>#REF!</v>
      </c>
      <c r="AJ370" s="36">
        <v>0</v>
      </c>
      <c r="AK370" s="142" t="e">
        <f t="shared" si="223"/>
        <v>#DIV/0!</v>
      </c>
      <c r="AL370" s="47"/>
      <c r="AM370" s="153">
        <v>46247</v>
      </c>
      <c r="AN370" s="63">
        <f t="shared" si="209"/>
        <v>10</v>
      </c>
      <c r="AO370" s="34" t="s">
        <v>65</v>
      </c>
      <c r="AP370" s="64">
        <f t="shared" si="220"/>
        <v>46260</v>
      </c>
      <c r="AQ370" s="64">
        <f t="shared" si="210"/>
        <v>46247</v>
      </c>
      <c r="AR370" s="65">
        <f t="shared" si="224"/>
        <v>43</v>
      </c>
      <c r="AS370" s="65">
        <f t="shared" si="225"/>
        <v>30</v>
      </c>
      <c r="AT370" s="157">
        <f t="shared" si="200"/>
        <v>13</v>
      </c>
      <c r="AU370" s="28"/>
      <c r="AV370" s="28"/>
      <c r="AW370" s="109">
        <f t="shared" si="211"/>
        <v>0</v>
      </c>
      <c r="AX370" s="66">
        <f t="shared" si="212"/>
        <v>0</v>
      </c>
      <c r="AY370" s="66"/>
      <c r="AZ370" s="66">
        <f t="shared" si="213"/>
        <v>0</v>
      </c>
      <c r="BA370" s="30"/>
    </row>
    <row r="371" spans="1:53" ht="21.6" customHeight="1" x14ac:dyDescent="0.3">
      <c r="A371" s="2" t="s">
        <v>291</v>
      </c>
      <c r="B371" s="3" t="s">
        <v>292</v>
      </c>
      <c r="C371" s="3" t="s">
        <v>78</v>
      </c>
      <c r="D371" s="3" t="s">
        <v>921</v>
      </c>
      <c r="E371" s="3">
        <v>11892</v>
      </c>
      <c r="F371" s="3"/>
      <c r="G371" s="144">
        <v>733</v>
      </c>
      <c r="H371" s="394">
        <v>46217</v>
      </c>
      <c r="I371" s="50">
        <v>46247</v>
      </c>
      <c r="J371" s="15">
        <f t="shared" si="226"/>
        <v>30</v>
      </c>
      <c r="K371" s="3" t="s">
        <v>55</v>
      </c>
      <c r="L371" s="3" t="s">
        <v>56</v>
      </c>
      <c r="M371" s="3" t="s">
        <v>294</v>
      </c>
      <c r="N371" s="3" t="s">
        <v>323</v>
      </c>
      <c r="O371" s="3" t="s">
        <v>59</v>
      </c>
      <c r="P371" s="8">
        <v>27014.639999999999</v>
      </c>
      <c r="Q371" s="44" t="s">
        <v>100</v>
      </c>
      <c r="R371" s="35">
        <f t="shared" si="219"/>
        <v>46217</v>
      </c>
      <c r="S371" s="13" t="s">
        <v>61</v>
      </c>
      <c r="T371" s="35">
        <v>46237</v>
      </c>
      <c r="U371" s="37">
        <v>46239</v>
      </c>
      <c r="V371" s="37">
        <f t="shared" ref="V371:V434" si="227">I371</f>
        <v>46247</v>
      </c>
      <c r="W371" s="59">
        <f t="shared" si="214"/>
        <v>30</v>
      </c>
      <c r="X371" s="59">
        <f t="shared" si="215"/>
        <v>22</v>
      </c>
      <c r="Y371" s="59">
        <f t="shared" si="216"/>
        <v>8</v>
      </c>
      <c r="Z371" s="39"/>
      <c r="AA371" s="4" t="s">
        <v>702</v>
      </c>
      <c r="AB371" s="410">
        <v>46234</v>
      </c>
      <c r="AC371" s="13" t="s">
        <v>922</v>
      </c>
      <c r="AD371" s="174">
        <v>7815</v>
      </c>
      <c r="AE371" s="13"/>
      <c r="AF371" s="35">
        <v>46181</v>
      </c>
      <c r="AG371" s="3" t="str">
        <f t="shared" ref="AG371:AG434" si="228">K371</f>
        <v>FOB</v>
      </c>
      <c r="AH371" s="13" t="s">
        <v>296</v>
      </c>
      <c r="AI371" s="36" t="e">
        <f>#REF!</f>
        <v>#REF!</v>
      </c>
      <c r="AJ371" s="36">
        <v>0</v>
      </c>
      <c r="AK371" s="142">
        <f t="shared" si="223"/>
        <v>0</v>
      </c>
      <c r="AL371" s="47"/>
      <c r="AM371" s="153">
        <v>46239</v>
      </c>
      <c r="AN371" s="63">
        <f t="shared" si="209"/>
        <v>58</v>
      </c>
      <c r="AO371" s="34" t="s">
        <v>65</v>
      </c>
      <c r="AP371" s="64">
        <f t="shared" ref="AP371:AP402" si="229">I371</f>
        <v>46247</v>
      </c>
      <c r="AQ371" s="64">
        <f t="shared" si="210"/>
        <v>46239</v>
      </c>
      <c r="AR371" s="65">
        <f t="shared" si="224"/>
        <v>30</v>
      </c>
      <c r="AS371" s="65">
        <f t="shared" si="225"/>
        <v>22</v>
      </c>
      <c r="AT371" s="157">
        <f t="shared" ref="AT371:AT434" si="230">AR371-AS371</f>
        <v>8</v>
      </c>
      <c r="AU371" s="28"/>
      <c r="AV371" s="28"/>
      <c r="AW371" s="109" t="str">
        <f t="shared" si="211"/>
        <v>27014,64</v>
      </c>
      <c r="AX371" s="66">
        <f t="shared" si="212"/>
        <v>0</v>
      </c>
      <c r="AY371" s="66"/>
      <c r="AZ371" s="66">
        <f t="shared" si="213"/>
        <v>0</v>
      </c>
      <c r="BA371" s="30"/>
    </row>
    <row r="372" spans="1:53" ht="21.6" customHeight="1" x14ac:dyDescent="0.3">
      <c r="A372" s="2" t="s">
        <v>162</v>
      </c>
      <c r="B372" s="3" t="s">
        <v>91</v>
      </c>
      <c r="C372" s="3" t="s">
        <v>78</v>
      </c>
      <c r="D372" s="3" t="s">
        <v>53</v>
      </c>
      <c r="E372" s="3">
        <v>5700024821</v>
      </c>
      <c r="F372" s="3" t="s">
        <v>923</v>
      </c>
      <c r="G372" s="144">
        <v>734</v>
      </c>
      <c r="H372" s="394">
        <v>46218</v>
      </c>
      <c r="I372" s="50">
        <v>46259</v>
      </c>
      <c r="J372" s="15">
        <f t="shared" si="226"/>
        <v>41</v>
      </c>
      <c r="K372" s="3" t="s">
        <v>70</v>
      </c>
      <c r="L372" s="3" t="s">
        <v>56</v>
      </c>
      <c r="M372" s="3" t="s">
        <v>368</v>
      </c>
      <c r="N372" s="3" t="s">
        <v>369</v>
      </c>
      <c r="O372" s="3" t="s">
        <v>59</v>
      </c>
      <c r="P372" s="8">
        <v>14881.2</v>
      </c>
      <c r="Q372" s="44" t="s">
        <v>100</v>
      </c>
      <c r="R372" s="35">
        <f t="shared" si="219"/>
        <v>46218</v>
      </c>
      <c r="S372" s="13" t="s">
        <v>61</v>
      </c>
      <c r="T372" s="35">
        <v>46237</v>
      </c>
      <c r="U372" s="37">
        <v>46239</v>
      </c>
      <c r="V372" s="37">
        <f t="shared" si="227"/>
        <v>46259</v>
      </c>
      <c r="W372" s="59">
        <f t="shared" si="214"/>
        <v>41</v>
      </c>
      <c r="X372" s="59">
        <f t="shared" si="215"/>
        <v>21</v>
      </c>
      <c r="Y372" s="59">
        <f t="shared" si="216"/>
        <v>20</v>
      </c>
      <c r="Z372" s="39"/>
      <c r="AA372" s="4" t="s">
        <v>702</v>
      </c>
      <c r="AB372" s="35">
        <v>46234</v>
      </c>
      <c r="AC372" s="13"/>
      <c r="AD372" s="174">
        <v>7809</v>
      </c>
      <c r="AE372" s="13"/>
      <c r="AF372" s="35">
        <v>46120</v>
      </c>
      <c r="AG372" s="3" t="str">
        <f t="shared" si="228"/>
        <v>CIF</v>
      </c>
      <c r="AH372" s="13"/>
      <c r="AI372" s="36" t="e">
        <f>#REF!</f>
        <v>#REF!</v>
      </c>
      <c r="AJ372" s="36">
        <v>0</v>
      </c>
      <c r="AK372" s="142" t="e">
        <f t="shared" si="223"/>
        <v>#DIV/0!</v>
      </c>
      <c r="AL372" s="47"/>
      <c r="AM372" s="153">
        <v>46255</v>
      </c>
      <c r="AN372" s="63">
        <f t="shared" si="209"/>
        <v>135</v>
      </c>
      <c r="AO372" s="34" t="s">
        <v>65</v>
      </c>
      <c r="AP372" s="64">
        <f t="shared" si="229"/>
        <v>46259</v>
      </c>
      <c r="AQ372" s="64">
        <f t="shared" si="210"/>
        <v>46255</v>
      </c>
      <c r="AR372" s="65">
        <f t="shared" si="224"/>
        <v>41</v>
      </c>
      <c r="AS372" s="65">
        <f t="shared" si="225"/>
        <v>37</v>
      </c>
      <c r="AT372" s="157">
        <f t="shared" si="230"/>
        <v>4</v>
      </c>
      <c r="AU372" s="28"/>
      <c r="AV372" s="28"/>
      <c r="AW372" s="109">
        <f t="shared" si="211"/>
        <v>0</v>
      </c>
      <c r="AX372" s="66">
        <f t="shared" si="212"/>
        <v>0</v>
      </c>
      <c r="AY372" s="66"/>
      <c r="AZ372" s="66">
        <f t="shared" si="213"/>
        <v>0</v>
      </c>
      <c r="BA372" s="30"/>
    </row>
    <row r="373" spans="1:53" ht="21.6" customHeight="1" x14ac:dyDescent="0.3">
      <c r="A373" s="2" t="s">
        <v>924</v>
      </c>
      <c r="B373" s="3" t="s">
        <v>51</v>
      </c>
      <c r="C373" s="3" t="s">
        <v>78</v>
      </c>
      <c r="D373" s="3"/>
      <c r="E373" s="3">
        <v>6274</v>
      </c>
      <c r="F373" s="3"/>
      <c r="G373" s="144">
        <v>735</v>
      </c>
      <c r="H373" s="394">
        <v>46218</v>
      </c>
      <c r="I373" s="50">
        <v>46249</v>
      </c>
      <c r="J373" s="15">
        <f t="shared" si="226"/>
        <v>31</v>
      </c>
      <c r="K373" s="3" t="s">
        <v>55</v>
      </c>
      <c r="L373" s="3" t="s">
        <v>56</v>
      </c>
      <c r="M373" s="3"/>
      <c r="N373" s="3"/>
      <c r="O373" s="3" t="s">
        <v>59</v>
      </c>
      <c r="P373" s="8">
        <v>11136.19</v>
      </c>
      <c r="Q373" s="44" t="s">
        <v>100</v>
      </c>
      <c r="R373" s="35">
        <f t="shared" si="219"/>
        <v>46218</v>
      </c>
      <c r="S373" s="13" t="s">
        <v>61</v>
      </c>
      <c r="T373" s="35">
        <v>46233</v>
      </c>
      <c r="U373" s="37">
        <v>46233</v>
      </c>
      <c r="V373" s="37">
        <f t="shared" si="227"/>
        <v>46249</v>
      </c>
      <c r="W373" s="59">
        <f t="shared" si="214"/>
        <v>31</v>
      </c>
      <c r="X373" s="59">
        <f t="shared" si="215"/>
        <v>15</v>
      </c>
      <c r="Y373" s="59">
        <f t="shared" si="216"/>
        <v>16</v>
      </c>
      <c r="Z373" s="39"/>
      <c r="AA373" s="4" t="s">
        <v>702</v>
      </c>
      <c r="AB373" s="35">
        <v>46233</v>
      </c>
      <c r="AC373" s="13"/>
      <c r="AD373" s="174">
        <v>7801</v>
      </c>
      <c r="AE373" s="13"/>
      <c r="AF373" s="35">
        <v>46089</v>
      </c>
      <c r="AG373" s="3" t="str">
        <f t="shared" si="228"/>
        <v>FOB</v>
      </c>
      <c r="AH373" s="13"/>
      <c r="AI373" s="36" t="e">
        <f>#REF!</f>
        <v>#REF!</v>
      </c>
      <c r="AJ373" s="36">
        <v>0</v>
      </c>
      <c r="AK373" s="142" t="e">
        <f t="shared" si="223"/>
        <v>#DIV/0!</v>
      </c>
      <c r="AL373" s="47"/>
      <c r="AM373" s="153">
        <v>46233</v>
      </c>
      <c r="AN373" s="63">
        <f t="shared" si="209"/>
        <v>144</v>
      </c>
      <c r="AO373" s="34" t="s">
        <v>65</v>
      </c>
      <c r="AP373" s="64">
        <f t="shared" si="229"/>
        <v>46249</v>
      </c>
      <c r="AQ373" s="64">
        <f t="shared" si="210"/>
        <v>46233</v>
      </c>
      <c r="AR373" s="65">
        <f t="shared" si="224"/>
        <v>31</v>
      </c>
      <c r="AS373" s="65">
        <f t="shared" si="225"/>
        <v>15</v>
      </c>
      <c r="AT373" s="157">
        <f t="shared" si="230"/>
        <v>16</v>
      </c>
      <c r="AU373" s="28"/>
      <c r="AV373" s="28"/>
      <c r="AW373" s="109">
        <f t="shared" si="211"/>
        <v>0</v>
      </c>
      <c r="AX373" s="66">
        <f t="shared" si="212"/>
        <v>0</v>
      </c>
      <c r="AY373" s="66"/>
      <c r="AZ373" s="66">
        <f t="shared" si="213"/>
        <v>0</v>
      </c>
      <c r="BA373" s="30"/>
    </row>
    <row r="374" spans="1:53" ht="21.6" customHeight="1" x14ac:dyDescent="0.3">
      <c r="A374" s="2" t="s">
        <v>276</v>
      </c>
      <c r="B374" s="3" t="s">
        <v>91</v>
      </c>
      <c r="C374" s="3" t="s">
        <v>78</v>
      </c>
      <c r="D374" s="3" t="s">
        <v>53</v>
      </c>
      <c r="E374" s="3" t="s">
        <v>925</v>
      </c>
      <c r="F374" s="3" t="s">
        <v>926</v>
      </c>
      <c r="G374" s="144">
        <v>737</v>
      </c>
      <c r="H374" s="394">
        <v>46218</v>
      </c>
      <c r="I374" s="50">
        <v>46247</v>
      </c>
      <c r="J374" s="15">
        <f t="shared" si="226"/>
        <v>29</v>
      </c>
      <c r="K374" s="3" t="s">
        <v>927</v>
      </c>
      <c r="L374" s="3" t="s">
        <v>56</v>
      </c>
      <c r="M374" s="3" t="s">
        <v>92</v>
      </c>
      <c r="N374" s="3" t="s">
        <v>928</v>
      </c>
      <c r="O374" s="3" t="s">
        <v>59</v>
      </c>
      <c r="P374" s="8">
        <v>4560</v>
      </c>
      <c r="Q374" s="44" t="s">
        <v>100</v>
      </c>
      <c r="R374" s="35">
        <f t="shared" si="219"/>
        <v>46218</v>
      </c>
      <c r="S374" s="13" t="s">
        <v>61</v>
      </c>
      <c r="T374" s="35">
        <v>46223</v>
      </c>
      <c r="U374" s="37">
        <v>46223</v>
      </c>
      <c r="V374" s="37">
        <f t="shared" si="227"/>
        <v>46247</v>
      </c>
      <c r="W374" s="59">
        <f t="shared" si="214"/>
        <v>29</v>
      </c>
      <c r="X374" s="59">
        <f t="shared" si="215"/>
        <v>5</v>
      </c>
      <c r="Y374" s="59">
        <f t="shared" si="216"/>
        <v>24</v>
      </c>
      <c r="Z374" s="39"/>
      <c r="AA374" s="4" t="s">
        <v>814</v>
      </c>
      <c r="AB374" s="410">
        <v>46223</v>
      </c>
      <c r="AC374" s="389" t="s">
        <v>929</v>
      </c>
      <c r="AD374" s="174">
        <v>7780</v>
      </c>
      <c r="AE374" s="13" t="s">
        <v>63</v>
      </c>
      <c r="AF374" s="389" t="s">
        <v>830</v>
      </c>
      <c r="AG374" s="3" t="s">
        <v>70</v>
      </c>
      <c r="AH374" s="13" t="s">
        <v>588</v>
      </c>
      <c r="AI374" s="36" t="e">
        <f>#REF!</f>
        <v>#REF!</v>
      </c>
      <c r="AJ374" s="36">
        <v>0</v>
      </c>
      <c r="AK374" s="142">
        <f t="shared" si="223"/>
        <v>0</v>
      </c>
      <c r="AL374" s="47"/>
      <c r="AM374" s="153" t="s">
        <v>830</v>
      </c>
      <c r="AN374" s="63">
        <f t="shared" si="209"/>
        <v>0</v>
      </c>
      <c r="AO374" s="34" t="s">
        <v>65</v>
      </c>
      <c r="AP374" s="64">
        <f t="shared" si="229"/>
        <v>46247</v>
      </c>
      <c r="AQ374" s="64" t="str">
        <f t="shared" si="210"/>
        <v>20/07/2026</v>
      </c>
      <c r="AR374" s="65">
        <f t="shared" si="224"/>
        <v>29</v>
      </c>
      <c r="AS374" s="65">
        <f t="shared" si="225"/>
        <v>5</v>
      </c>
      <c r="AT374" s="157">
        <f t="shared" si="230"/>
        <v>24</v>
      </c>
      <c r="AU374" s="28"/>
      <c r="AV374" s="28"/>
      <c r="AW374" s="109" t="str">
        <f t="shared" si="211"/>
        <v>4.560,00</v>
      </c>
      <c r="AX374" s="66">
        <f t="shared" si="212"/>
        <v>0</v>
      </c>
      <c r="AY374" s="66"/>
      <c r="AZ374" s="66">
        <f t="shared" si="213"/>
        <v>0</v>
      </c>
      <c r="BA374" s="30"/>
    </row>
    <row r="375" spans="1:53" ht="21.6" customHeight="1" x14ac:dyDescent="0.3">
      <c r="A375" s="2" t="s">
        <v>276</v>
      </c>
      <c r="B375" s="3" t="s">
        <v>91</v>
      </c>
      <c r="C375" s="3" t="s">
        <v>78</v>
      </c>
      <c r="D375" s="3" t="s">
        <v>53</v>
      </c>
      <c r="E375" s="3" t="s">
        <v>930</v>
      </c>
      <c r="F375" s="3" t="s">
        <v>926</v>
      </c>
      <c r="G375" s="144">
        <v>738</v>
      </c>
      <c r="H375" s="394">
        <v>46218</v>
      </c>
      <c r="I375" s="50">
        <v>46247</v>
      </c>
      <c r="J375" s="15">
        <f t="shared" si="226"/>
        <v>29</v>
      </c>
      <c r="K375" s="3" t="s">
        <v>927</v>
      </c>
      <c r="L375" s="3" t="s">
        <v>56</v>
      </c>
      <c r="M375" s="3" t="s">
        <v>92</v>
      </c>
      <c r="N375" s="3" t="s">
        <v>928</v>
      </c>
      <c r="O375" s="3" t="s">
        <v>59</v>
      </c>
      <c r="P375" s="8">
        <v>4560</v>
      </c>
      <c r="Q375" s="44" t="s">
        <v>100</v>
      </c>
      <c r="R375" s="35">
        <f t="shared" si="219"/>
        <v>46218</v>
      </c>
      <c r="S375" s="13" t="s">
        <v>61</v>
      </c>
      <c r="T375" s="35">
        <v>46223</v>
      </c>
      <c r="U375" s="37">
        <v>46223</v>
      </c>
      <c r="V375" s="37">
        <f t="shared" si="227"/>
        <v>46247</v>
      </c>
      <c r="W375" s="59">
        <f t="shared" si="214"/>
        <v>29</v>
      </c>
      <c r="X375" s="59">
        <f t="shared" si="215"/>
        <v>5</v>
      </c>
      <c r="Y375" s="59">
        <f t="shared" si="216"/>
        <v>24</v>
      </c>
      <c r="Z375" s="39"/>
      <c r="AA375" s="4" t="s">
        <v>814</v>
      </c>
      <c r="AB375" s="410">
        <v>46223</v>
      </c>
      <c r="AC375" s="389" t="s">
        <v>929</v>
      </c>
      <c r="AD375" s="174">
        <v>7781</v>
      </c>
      <c r="AE375" s="13" t="s">
        <v>63</v>
      </c>
      <c r="AF375" s="389" t="s">
        <v>830</v>
      </c>
      <c r="AG375" s="3" t="s">
        <v>70</v>
      </c>
      <c r="AH375" s="401" t="s">
        <v>931</v>
      </c>
      <c r="AI375" s="36" t="e">
        <f>#REF!</f>
        <v>#REF!</v>
      </c>
      <c r="AJ375" s="36">
        <v>0</v>
      </c>
      <c r="AK375" s="142">
        <f t="shared" si="223"/>
        <v>0</v>
      </c>
      <c r="AL375" s="47"/>
      <c r="AM375" s="153" t="s">
        <v>830</v>
      </c>
      <c r="AN375" s="63">
        <f t="shared" si="209"/>
        <v>0</v>
      </c>
      <c r="AO375" s="34" t="s">
        <v>65</v>
      </c>
      <c r="AP375" s="64">
        <f t="shared" si="229"/>
        <v>46247</v>
      </c>
      <c r="AQ375" s="64" t="str">
        <f t="shared" si="210"/>
        <v>20/07/2026</v>
      </c>
      <c r="AR375" s="65">
        <f t="shared" si="224"/>
        <v>29</v>
      </c>
      <c r="AS375" s="65">
        <f t="shared" si="225"/>
        <v>5</v>
      </c>
      <c r="AT375" s="157">
        <f t="shared" si="230"/>
        <v>24</v>
      </c>
      <c r="AU375" s="28"/>
      <c r="AV375" s="28"/>
      <c r="AW375" s="109" t="str">
        <f t="shared" si="211"/>
        <v>4.560,00</v>
      </c>
      <c r="AX375" s="66">
        <f t="shared" si="212"/>
        <v>0</v>
      </c>
      <c r="AY375" s="66"/>
      <c r="AZ375" s="66">
        <f t="shared" si="213"/>
        <v>0</v>
      </c>
      <c r="BA375" s="30"/>
    </row>
    <row r="376" spans="1:53" ht="21.6" customHeight="1" x14ac:dyDescent="0.3">
      <c r="A376" s="2" t="s">
        <v>416</v>
      </c>
      <c r="B376" s="3" t="s">
        <v>67</v>
      </c>
      <c r="C376" s="3" t="s">
        <v>52</v>
      </c>
      <c r="D376" s="3"/>
      <c r="E376" s="3">
        <v>85</v>
      </c>
      <c r="F376" s="3"/>
      <c r="G376" s="144">
        <v>739</v>
      </c>
      <c r="H376" s="394">
        <v>46219</v>
      </c>
      <c r="I376" s="50">
        <v>46232</v>
      </c>
      <c r="J376" s="15">
        <f t="shared" si="226"/>
        <v>13</v>
      </c>
      <c r="K376" s="3" t="s">
        <v>55</v>
      </c>
      <c r="L376" s="3" t="s">
        <v>113</v>
      </c>
      <c r="M376" s="3" t="s">
        <v>72</v>
      </c>
      <c r="N376" s="3" t="s">
        <v>418</v>
      </c>
      <c r="O376" s="3" t="s">
        <v>59</v>
      </c>
      <c r="P376" s="8">
        <v>5080.1000000000004</v>
      </c>
      <c r="Q376" s="44" t="s">
        <v>100</v>
      </c>
      <c r="R376" s="35">
        <f t="shared" si="219"/>
        <v>46219</v>
      </c>
      <c r="S376" s="13" t="s">
        <v>61</v>
      </c>
      <c r="T376" s="35">
        <v>46230</v>
      </c>
      <c r="U376" s="37">
        <v>46226</v>
      </c>
      <c r="V376" s="37">
        <f t="shared" si="227"/>
        <v>46232</v>
      </c>
      <c r="W376" s="59">
        <f t="shared" si="214"/>
        <v>13</v>
      </c>
      <c r="X376" s="59">
        <f t="shared" si="215"/>
        <v>7</v>
      </c>
      <c r="Y376" s="59">
        <f t="shared" si="216"/>
        <v>6</v>
      </c>
      <c r="Z376" s="39"/>
      <c r="AA376" s="4" t="s">
        <v>836</v>
      </c>
      <c r="AB376" s="410">
        <v>46227</v>
      </c>
      <c r="AC376" s="413">
        <v>5080.1000000000004</v>
      </c>
      <c r="AD376" s="174">
        <v>7789</v>
      </c>
      <c r="AE376" s="13"/>
      <c r="AF376" s="389" t="s">
        <v>932</v>
      </c>
      <c r="AG376" s="3" t="str">
        <f t="shared" si="228"/>
        <v>FOB</v>
      </c>
      <c r="AH376" s="389" t="s">
        <v>374</v>
      </c>
      <c r="AI376" s="36" t="e">
        <f>#REF!</f>
        <v>#REF!</v>
      </c>
      <c r="AJ376" s="36">
        <v>0</v>
      </c>
      <c r="AK376" s="142">
        <f t="shared" si="223"/>
        <v>0</v>
      </c>
      <c r="AL376" s="47"/>
      <c r="AM376" s="153">
        <v>46226</v>
      </c>
      <c r="AN376" s="63">
        <f t="shared" si="209"/>
        <v>-4</v>
      </c>
      <c r="AO376" s="34" t="s">
        <v>65</v>
      </c>
      <c r="AP376" s="64">
        <f t="shared" si="229"/>
        <v>46232</v>
      </c>
      <c r="AQ376" s="64">
        <f t="shared" si="210"/>
        <v>46226</v>
      </c>
      <c r="AR376" s="65">
        <f t="shared" si="224"/>
        <v>13</v>
      </c>
      <c r="AS376" s="65">
        <f t="shared" si="225"/>
        <v>7</v>
      </c>
      <c r="AT376" s="157">
        <f t="shared" si="230"/>
        <v>6</v>
      </c>
      <c r="AU376" s="28"/>
      <c r="AV376" s="28"/>
      <c r="AW376" s="109">
        <f t="shared" si="211"/>
        <v>5080.1000000000004</v>
      </c>
      <c r="AX376" s="66">
        <f t="shared" si="212"/>
        <v>0</v>
      </c>
      <c r="AY376" s="66"/>
      <c r="AZ376" s="66">
        <f t="shared" si="213"/>
        <v>0</v>
      </c>
      <c r="BA376" s="30"/>
    </row>
    <row r="377" spans="1:53" ht="21.6" customHeight="1" x14ac:dyDescent="0.3">
      <c r="A377" s="2" t="s">
        <v>589</v>
      </c>
      <c r="B377" s="3" t="s">
        <v>163</v>
      </c>
      <c r="C377" s="3" t="s">
        <v>78</v>
      </c>
      <c r="D377" s="3"/>
      <c r="E377" s="3">
        <v>34652</v>
      </c>
      <c r="F377" s="3" t="s">
        <v>933</v>
      </c>
      <c r="G377" s="144">
        <v>740</v>
      </c>
      <c r="H377" s="394">
        <v>46219</v>
      </c>
      <c r="I377" s="50">
        <v>46249</v>
      </c>
      <c r="J377" s="15">
        <f t="shared" si="226"/>
        <v>30</v>
      </c>
      <c r="K377" s="3" t="s">
        <v>70</v>
      </c>
      <c r="L377" s="3" t="s">
        <v>56</v>
      </c>
      <c r="M377" s="3" t="s">
        <v>242</v>
      </c>
      <c r="N377" s="3" t="s">
        <v>243</v>
      </c>
      <c r="O377" s="3" t="s">
        <v>59</v>
      </c>
      <c r="P377" s="8">
        <v>14197</v>
      </c>
      <c r="Q377" s="44" t="s">
        <v>60</v>
      </c>
      <c r="R377" s="35">
        <f t="shared" si="219"/>
        <v>46219</v>
      </c>
      <c r="S377" s="13" t="s">
        <v>61</v>
      </c>
      <c r="T377" s="35">
        <v>46233</v>
      </c>
      <c r="U377" s="37">
        <v>46237</v>
      </c>
      <c r="V377" s="37">
        <f t="shared" si="227"/>
        <v>46249</v>
      </c>
      <c r="W377" s="59">
        <f t="shared" si="214"/>
        <v>30</v>
      </c>
      <c r="X377" s="59">
        <f t="shared" si="215"/>
        <v>18</v>
      </c>
      <c r="Y377" s="59">
        <f t="shared" si="216"/>
        <v>12</v>
      </c>
      <c r="Z377" s="39"/>
      <c r="AA377" s="4" t="s">
        <v>702</v>
      </c>
      <c r="AB377" s="35">
        <v>46234</v>
      </c>
      <c r="AC377" s="32"/>
      <c r="AD377" s="174">
        <v>7807</v>
      </c>
      <c r="AE377" s="13"/>
      <c r="AF377" s="35">
        <v>46120</v>
      </c>
      <c r="AG377" s="3" t="str">
        <f t="shared" si="228"/>
        <v>CIF</v>
      </c>
      <c r="AH377" s="32"/>
      <c r="AI377" s="36" t="e">
        <f>#REF!</f>
        <v>#REF!</v>
      </c>
      <c r="AJ377" s="36">
        <v>0</v>
      </c>
      <c r="AK377" s="142" t="e">
        <f t="shared" si="223"/>
        <v>#DIV/0!</v>
      </c>
      <c r="AL377" s="47"/>
      <c r="AM377" s="153">
        <v>46247</v>
      </c>
      <c r="AN377" s="63">
        <f t="shared" si="209"/>
        <v>127</v>
      </c>
      <c r="AO377" s="34" t="s">
        <v>65</v>
      </c>
      <c r="AP377" s="64">
        <f t="shared" si="229"/>
        <v>46249</v>
      </c>
      <c r="AQ377" s="64">
        <f t="shared" si="210"/>
        <v>46247</v>
      </c>
      <c r="AR377" s="65">
        <f t="shared" si="224"/>
        <v>30</v>
      </c>
      <c r="AS377" s="65">
        <f t="shared" si="225"/>
        <v>28</v>
      </c>
      <c r="AT377" s="157">
        <f t="shared" si="230"/>
        <v>2</v>
      </c>
      <c r="AU377" s="28"/>
      <c r="AV377" s="28"/>
      <c r="AW377" s="109">
        <f t="shared" si="211"/>
        <v>0</v>
      </c>
      <c r="AX377" s="66">
        <f t="shared" si="212"/>
        <v>0</v>
      </c>
      <c r="AY377" s="66"/>
      <c r="AZ377" s="66">
        <f t="shared" si="213"/>
        <v>0</v>
      </c>
      <c r="BA377" s="30"/>
    </row>
    <row r="378" spans="1:53" ht="21.6" customHeight="1" x14ac:dyDescent="0.3">
      <c r="A378" s="2" t="s">
        <v>934</v>
      </c>
      <c r="B378" s="3" t="s">
        <v>51</v>
      </c>
      <c r="C378" s="3" t="s">
        <v>78</v>
      </c>
      <c r="D378" s="3"/>
      <c r="E378" s="3">
        <v>4210304906</v>
      </c>
      <c r="F378" s="3" t="s">
        <v>935</v>
      </c>
      <c r="G378" s="144">
        <v>741</v>
      </c>
      <c r="H378" s="394">
        <v>46220</v>
      </c>
      <c r="I378" s="50">
        <v>46250</v>
      </c>
      <c r="J378" s="15">
        <f t="shared" si="226"/>
        <v>30</v>
      </c>
      <c r="K378" s="3" t="s">
        <v>55</v>
      </c>
      <c r="L378" s="3" t="s">
        <v>56</v>
      </c>
      <c r="M378" s="3" t="s">
        <v>57</v>
      </c>
      <c r="N378" s="3" t="s">
        <v>315</v>
      </c>
      <c r="O378" s="3" t="s">
        <v>59</v>
      </c>
      <c r="P378" s="8">
        <v>10800</v>
      </c>
      <c r="Q378" s="44" t="s">
        <v>60</v>
      </c>
      <c r="R378" s="35">
        <f t="shared" si="219"/>
        <v>46220</v>
      </c>
      <c r="S378" s="13" t="s">
        <v>61</v>
      </c>
      <c r="T378" s="35">
        <v>46234</v>
      </c>
      <c r="U378" s="37">
        <v>46240</v>
      </c>
      <c r="V378" s="37">
        <f t="shared" si="227"/>
        <v>46250</v>
      </c>
      <c r="W378" s="59">
        <f t="shared" si="214"/>
        <v>30</v>
      </c>
      <c r="X378" s="59">
        <f t="shared" si="215"/>
        <v>20</v>
      </c>
      <c r="Y378" s="59">
        <f t="shared" si="216"/>
        <v>10</v>
      </c>
      <c r="Z378" s="39"/>
      <c r="AA378" s="4" t="s">
        <v>702</v>
      </c>
      <c r="AB378" s="35">
        <v>46233</v>
      </c>
      <c r="AC378" s="13"/>
      <c r="AD378" s="174">
        <v>7798</v>
      </c>
      <c r="AE378" s="13"/>
      <c r="AF378" s="35">
        <v>46211</v>
      </c>
      <c r="AG378" s="3" t="str">
        <f t="shared" si="228"/>
        <v>FOB</v>
      </c>
      <c r="AH378" s="13"/>
      <c r="AI378" s="36" t="e">
        <f>#REF!</f>
        <v>#REF!</v>
      </c>
      <c r="AJ378" s="36">
        <v>0</v>
      </c>
      <c r="AK378" s="142" t="e">
        <f t="shared" si="223"/>
        <v>#DIV/0!</v>
      </c>
      <c r="AL378" s="47"/>
      <c r="AM378" s="153">
        <v>46240</v>
      </c>
      <c r="AN378" s="63">
        <f t="shared" si="209"/>
        <v>29</v>
      </c>
      <c r="AO378" s="34" t="s">
        <v>65</v>
      </c>
      <c r="AP378" s="64">
        <f t="shared" si="229"/>
        <v>46250</v>
      </c>
      <c r="AQ378" s="64">
        <f t="shared" si="210"/>
        <v>46240</v>
      </c>
      <c r="AR378" s="65">
        <f t="shared" si="224"/>
        <v>30</v>
      </c>
      <c r="AS378" s="65">
        <f t="shared" si="225"/>
        <v>20</v>
      </c>
      <c r="AT378" s="157">
        <f t="shared" si="230"/>
        <v>10</v>
      </c>
      <c r="AU378" s="28"/>
      <c r="AV378" s="28"/>
      <c r="AW378" s="109">
        <f t="shared" si="211"/>
        <v>0</v>
      </c>
      <c r="AX378" s="66">
        <f t="shared" si="212"/>
        <v>0</v>
      </c>
      <c r="AY378" s="66"/>
      <c r="AZ378" s="66">
        <f t="shared" si="213"/>
        <v>0</v>
      </c>
      <c r="BA378" s="30"/>
    </row>
    <row r="379" spans="1:53" ht="21.6" customHeight="1" x14ac:dyDescent="0.3">
      <c r="A379" s="2" t="s">
        <v>570</v>
      </c>
      <c r="B379" s="3" t="s">
        <v>171</v>
      </c>
      <c r="C379" s="3" t="s">
        <v>78</v>
      </c>
      <c r="D379" s="3"/>
      <c r="E379" s="3">
        <v>4515431196</v>
      </c>
      <c r="F379" s="3" t="s">
        <v>936</v>
      </c>
      <c r="G379" s="144">
        <v>742</v>
      </c>
      <c r="H379" s="394">
        <v>46220</v>
      </c>
      <c r="I379" s="50">
        <v>46258</v>
      </c>
      <c r="J379" s="15">
        <f t="shared" si="226"/>
        <v>38</v>
      </c>
      <c r="K379" s="3" t="s">
        <v>70</v>
      </c>
      <c r="L379" s="3" t="s">
        <v>56</v>
      </c>
      <c r="M379" s="3" t="s">
        <v>186</v>
      </c>
      <c r="N379" s="3" t="s">
        <v>937</v>
      </c>
      <c r="O379" s="3" t="s">
        <v>59</v>
      </c>
      <c r="P379" s="8">
        <v>10571.36</v>
      </c>
      <c r="Q379" s="44" t="s">
        <v>100</v>
      </c>
      <c r="R379" s="35">
        <f t="shared" si="219"/>
        <v>46220</v>
      </c>
      <c r="S379" s="13" t="s">
        <v>61</v>
      </c>
      <c r="T379" s="35">
        <v>46234</v>
      </c>
      <c r="U379" s="37">
        <v>46240</v>
      </c>
      <c r="V379" s="37">
        <f t="shared" si="227"/>
        <v>46258</v>
      </c>
      <c r="W379" s="59">
        <f t="shared" si="214"/>
        <v>38</v>
      </c>
      <c r="X379" s="59">
        <f t="shared" si="215"/>
        <v>20</v>
      </c>
      <c r="Y379" s="59">
        <f t="shared" si="216"/>
        <v>18</v>
      </c>
      <c r="Z379" s="39"/>
      <c r="AA379" s="4" t="s">
        <v>702</v>
      </c>
      <c r="AB379" s="410">
        <v>46234</v>
      </c>
      <c r="AC379" s="13" t="s">
        <v>938</v>
      </c>
      <c r="AD379" s="174">
        <v>7822</v>
      </c>
      <c r="AE379" s="13"/>
      <c r="AF379" s="35">
        <v>46303</v>
      </c>
      <c r="AG379" s="3" t="str">
        <f t="shared" si="228"/>
        <v>CIF</v>
      </c>
      <c r="AH379" s="13"/>
      <c r="AI379" s="36" t="e">
        <f>#REF!</f>
        <v>#REF!</v>
      </c>
      <c r="AJ379" s="36">
        <v>0</v>
      </c>
      <c r="AK379" s="142">
        <f t="shared" si="223"/>
        <v>0</v>
      </c>
      <c r="AL379" s="47"/>
      <c r="AM379" s="153">
        <v>46245</v>
      </c>
      <c r="AN379" s="63">
        <f t="shared" si="209"/>
        <v>-58</v>
      </c>
      <c r="AO379" s="34" t="s">
        <v>65</v>
      </c>
      <c r="AP379" s="64">
        <f t="shared" si="229"/>
        <v>46258</v>
      </c>
      <c r="AQ379" s="64">
        <f t="shared" si="210"/>
        <v>46245</v>
      </c>
      <c r="AR379" s="65">
        <f t="shared" si="224"/>
        <v>38</v>
      </c>
      <c r="AS379" s="65">
        <f t="shared" si="225"/>
        <v>25</v>
      </c>
      <c r="AT379" s="157">
        <f t="shared" si="230"/>
        <v>13</v>
      </c>
      <c r="AU379" s="28"/>
      <c r="AV379" s="28"/>
      <c r="AW379" s="109" t="str">
        <f t="shared" si="211"/>
        <v>10571,36</v>
      </c>
      <c r="AX379" s="66">
        <f t="shared" si="212"/>
        <v>0</v>
      </c>
      <c r="AY379" s="66"/>
      <c r="AZ379" s="66">
        <f t="shared" si="213"/>
        <v>0</v>
      </c>
      <c r="BA379" s="30"/>
    </row>
    <row r="380" spans="1:53" ht="21.6" customHeight="1" x14ac:dyDescent="0.3">
      <c r="A380" s="2" t="s">
        <v>416</v>
      </c>
      <c r="B380" s="3" t="s">
        <v>67</v>
      </c>
      <c r="C380" s="3" t="s">
        <v>78</v>
      </c>
      <c r="D380" s="3"/>
      <c r="E380" s="3">
        <v>86</v>
      </c>
      <c r="F380" s="3"/>
      <c r="G380" s="144">
        <v>745</v>
      </c>
      <c r="H380" s="394">
        <v>46223</v>
      </c>
      <c r="I380" s="50">
        <v>46251</v>
      </c>
      <c r="J380" s="15">
        <f t="shared" si="226"/>
        <v>28</v>
      </c>
      <c r="K380" s="3" t="s">
        <v>55</v>
      </c>
      <c r="L380" s="3" t="s">
        <v>113</v>
      </c>
      <c r="M380" s="3" t="s">
        <v>72</v>
      </c>
      <c r="N380" s="3" t="s">
        <v>418</v>
      </c>
      <c r="O380" s="3" t="s">
        <v>59</v>
      </c>
      <c r="P380" s="8">
        <v>24860</v>
      </c>
      <c r="Q380" s="44" t="s">
        <v>60</v>
      </c>
      <c r="R380" s="35">
        <f t="shared" si="219"/>
        <v>46223</v>
      </c>
      <c r="S380" s="13" t="s">
        <v>61</v>
      </c>
      <c r="T380" s="35">
        <v>46247</v>
      </c>
      <c r="U380" s="37">
        <v>46251</v>
      </c>
      <c r="V380" s="37">
        <f t="shared" si="227"/>
        <v>46251</v>
      </c>
      <c r="W380" s="59">
        <f t="shared" si="214"/>
        <v>28</v>
      </c>
      <c r="X380" s="59">
        <f t="shared" si="215"/>
        <v>28</v>
      </c>
      <c r="Y380" s="59">
        <f t="shared" si="216"/>
        <v>0</v>
      </c>
      <c r="Z380" s="39"/>
      <c r="AA380" s="4" t="s">
        <v>887</v>
      </c>
      <c r="AB380" s="35" t="s">
        <v>939</v>
      </c>
      <c r="AC380" s="13" t="s">
        <v>940</v>
      </c>
      <c r="AD380" s="174">
        <v>7847</v>
      </c>
      <c r="AE380" s="13"/>
      <c r="AF380" s="35" t="s">
        <v>941</v>
      </c>
      <c r="AG380" s="3" t="str">
        <f t="shared" si="228"/>
        <v>FOB</v>
      </c>
      <c r="AH380" s="13"/>
      <c r="AI380" s="36" t="e">
        <f>#REF!</f>
        <v>#REF!</v>
      </c>
      <c r="AJ380" s="36">
        <v>0</v>
      </c>
      <c r="AK380" s="142">
        <f t="shared" si="223"/>
        <v>0</v>
      </c>
      <c r="AL380" s="47"/>
      <c r="AM380" s="153"/>
      <c r="AN380" s="63">
        <f t="shared" si="209"/>
        <v>-46254</v>
      </c>
      <c r="AO380" s="34"/>
      <c r="AP380" s="64">
        <f t="shared" si="229"/>
        <v>46251</v>
      </c>
      <c r="AQ380" s="64">
        <f t="shared" si="210"/>
        <v>0</v>
      </c>
      <c r="AR380" s="65">
        <f t="shared" si="224"/>
        <v>28</v>
      </c>
      <c r="AS380" s="65">
        <f t="shared" si="225"/>
        <v>-46223</v>
      </c>
      <c r="AT380" s="157">
        <f t="shared" si="230"/>
        <v>46251</v>
      </c>
      <c r="AU380" s="28"/>
      <c r="AV380" s="28"/>
      <c r="AW380" s="109" t="str">
        <f t="shared" si="211"/>
        <v>25872,79</v>
      </c>
      <c r="AX380" s="66">
        <f t="shared" si="212"/>
        <v>0</v>
      </c>
      <c r="AY380" s="66"/>
      <c r="AZ380" s="66">
        <f t="shared" si="213"/>
        <v>0</v>
      </c>
      <c r="BA380" s="30"/>
    </row>
    <row r="381" spans="1:53" ht="21.6" customHeight="1" x14ac:dyDescent="0.3">
      <c r="A381" s="2" t="s">
        <v>942</v>
      </c>
      <c r="B381" s="3" t="s">
        <v>67</v>
      </c>
      <c r="C381" s="3" t="s">
        <v>78</v>
      </c>
      <c r="D381" s="3"/>
      <c r="E381" s="3">
        <v>1087</v>
      </c>
      <c r="F381" s="3"/>
      <c r="G381" s="144">
        <v>746</v>
      </c>
      <c r="H381" s="394">
        <v>46224</v>
      </c>
      <c r="I381" s="50">
        <v>46241</v>
      </c>
      <c r="J381" s="15">
        <f t="shared" si="226"/>
        <v>17</v>
      </c>
      <c r="K381" s="3" t="s">
        <v>55</v>
      </c>
      <c r="L381" s="3" t="s">
        <v>513</v>
      </c>
      <c r="M381" s="3" t="s">
        <v>72</v>
      </c>
      <c r="N381" s="3" t="s">
        <v>943</v>
      </c>
      <c r="O381" s="3" t="s">
        <v>59</v>
      </c>
      <c r="P381" s="8">
        <v>900</v>
      </c>
      <c r="Q381" s="44" t="s">
        <v>100</v>
      </c>
      <c r="R381" s="35">
        <f t="shared" si="219"/>
        <v>46224</v>
      </c>
      <c r="S381" s="13" t="s">
        <v>61</v>
      </c>
      <c r="T381" s="35">
        <v>46234</v>
      </c>
      <c r="U381" s="37">
        <v>46238</v>
      </c>
      <c r="V381" s="37">
        <f t="shared" si="227"/>
        <v>46241</v>
      </c>
      <c r="W381" s="59">
        <f t="shared" si="214"/>
        <v>17</v>
      </c>
      <c r="X381" s="59">
        <f t="shared" si="215"/>
        <v>14</v>
      </c>
      <c r="Y381" s="59">
        <f t="shared" si="216"/>
        <v>3</v>
      </c>
      <c r="Z381" s="39"/>
      <c r="AA381" s="4" t="s">
        <v>702</v>
      </c>
      <c r="AB381" s="410">
        <v>46234</v>
      </c>
      <c r="AC381" s="13" t="s">
        <v>944</v>
      </c>
      <c r="AD381" s="174">
        <v>7816</v>
      </c>
      <c r="AE381" s="13"/>
      <c r="AF381" s="35">
        <v>46181</v>
      </c>
      <c r="AG381" s="3" t="str">
        <f t="shared" si="228"/>
        <v>FOB</v>
      </c>
      <c r="AH381" s="13"/>
      <c r="AI381" s="36" t="e">
        <f>#REF!</f>
        <v>#REF!</v>
      </c>
      <c r="AJ381" s="36">
        <v>0</v>
      </c>
      <c r="AK381" s="142">
        <f t="shared" si="223"/>
        <v>0</v>
      </c>
      <c r="AL381" s="47"/>
      <c r="AM381" s="153">
        <v>46238</v>
      </c>
      <c r="AN381" s="63">
        <f t="shared" si="209"/>
        <v>57</v>
      </c>
      <c r="AO381" s="34" t="s">
        <v>65</v>
      </c>
      <c r="AP381" s="64">
        <f t="shared" si="229"/>
        <v>46241</v>
      </c>
      <c r="AQ381" s="64">
        <f t="shared" si="210"/>
        <v>46238</v>
      </c>
      <c r="AR381" s="65">
        <f t="shared" si="224"/>
        <v>17</v>
      </c>
      <c r="AS381" s="65">
        <f t="shared" si="225"/>
        <v>14</v>
      </c>
      <c r="AT381" s="157">
        <f t="shared" si="230"/>
        <v>3</v>
      </c>
      <c r="AU381" s="28"/>
      <c r="AV381" s="28"/>
      <c r="AW381" s="109" t="str">
        <f t="shared" si="211"/>
        <v>913,19</v>
      </c>
      <c r="AX381" s="66">
        <f t="shared" si="212"/>
        <v>0</v>
      </c>
      <c r="AY381" s="66"/>
      <c r="AZ381" s="66">
        <f t="shared" si="213"/>
        <v>0</v>
      </c>
      <c r="BA381" s="30"/>
    </row>
    <row r="382" spans="1:53" ht="21.6" customHeight="1" x14ac:dyDescent="0.3">
      <c r="A382" s="2" t="s">
        <v>401</v>
      </c>
      <c r="B382" s="3" t="s">
        <v>91</v>
      </c>
      <c r="C382" s="3" t="s">
        <v>78</v>
      </c>
      <c r="D382" s="3"/>
      <c r="E382" s="3">
        <v>1200402762</v>
      </c>
      <c r="F382" s="3" t="s">
        <v>784</v>
      </c>
      <c r="G382" s="144">
        <v>747</v>
      </c>
      <c r="H382" s="394">
        <v>46224</v>
      </c>
      <c r="I382" s="50">
        <v>46254</v>
      </c>
      <c r="J382" s="15">
        <f t="shared" si="226"/>
        <v>30</v>
      </c>
      <c r="K382" s="3" t="s">
        <v>55</v>
      </c>
      <c r="L382" s="3" t="s">
        <v>56</v>
      </c>
      <c r="M382" s="3" t="s">
        <v>92</v>
      </c>
      <c r="N382" s="3" t="s">
        <v>252</v>
      </c>
      <c r="O382" s="3" t="s">
        <v>59</v>
      </c>
      <c r="P382" s="8">
        <v>13215</v>
      </c>
      <c r="Q382" s="44" t="s">
        <v>100</v>
      </c>
      <c r="R382" s="35">
        <f t="shared" si="219"/>
        <v>46224</v>
      </c>
      <c r="S382" s="13" t="s">
        <v>61</v>
      </c>
      <c r="T382" s="35">
        <v>46237</v>
      </c>
      <c r="U382" s="37">
        <v>46238</v>
      </c>
      <c r="V382" s="37">
        <f t="shared" si="227"/>
        <v>46254</v>
      </c>
      <c r="W382" s="59">
        <f t="shared" si="214"/>
        <v>30</v>
      </c>
      <c r="X382" s="59">
        <f t="shared" si="215"/>
        <v>14</v>
      </c>
      <c r="Y382" s="59">
        <f t="shared" si="216"/>
        <v>16</v>
      </c>
      <c r="Z382" s="39"/>
      <c r="AA382" s="4" t="s">
        <v>702</v>
      </c>
      <c r="AB382" s="410">
        <v>46234</v>
      </c>
      <c r="AC382" s="13" t="s">
        <v>945</v>
      </c>
      <c r="AD382" s="174">
        <v>7818</v>
      </c>
      <c r="AE382" s="13"/>
      <c r="AF382" s="35">
        <v>46211</v>
      </c>
      <c r="AG382" s="3" t="str">
        <f t="shared" si="228"/>
        <v>FOB</v>
      </c>
      <c r="AH382" s="13" t="s">
        <v>402</v>
      </c>
      <c r="AI382" s="36" t="e">
        <f>#REF!</f>
        <v>#REF!</v>
      </c>
      <c r="AJ382" s="36">
        <v>0</v>
      </c>
      <c r="AK382" s="142">
        <f t="shared" si="223"/>
        <v>0</v>
      </c>
      <c r="AL382" s="47"/>
      <c r="AM382" s="153">
        <v>46238</v>
      </c>
      <c r="AN382" s="63">
        <f t="shared" si="209"/>
        <v>27</v>
      </c>
      <c r="AO382" s="34" t="s">
        <v>65</v>
      </c>
      <c r="AP382" s="64">
        <f t="shared" si="229"/>
        <v>46254</v>
      </c>
      <c r="AQ382" s="64">
        <f t="shared" ref="AQ382:AQ445" si="231">AM382</f>
        <v>46238</v>
      </c>
      <c r="AR382" s="65">
        <f t="shared" si="224"/>
        <v>30</v>
      </c>
      <c r="AS382" s="65">
        <f t="shared" si="225"/>
        <v>14</v>
      </c>
      <c r="AT382" s="157">
        <f t="shared" si="230"/>
        <v>16</v>
      </c>
      <c r="AU382" s="28"/>
      <c r="AV382" s="28"/>
      <c r="AW382" s="109" t="str">
        <f t="shared" ref="AW382:AW445" si="232">AC382</f>
        <v>13215,00</v>
      </c>
      <c r="AX382" s="66">
        <f t="shared" ref="AX382:AX445" si="233">Z382</f>
        <v>0</v>
      </c>
      <c r="AY382" s="66"/>
      <c r="AZ382" s="66">
        <f t="shared" ref="AZ382:AZ445" si="234">AJ382</f>
        <v>0</v>
      </c>
      <c r="BA382" s="30"/>
    </row>
    <row r="383" spans="1:53" ht="21.6" customHeight="1" x14ac:dyDescent="0.3">
      <c r="A383" s="2" t="s">
        <v>148</v>
      </c>
      <c r="B383" s="3" t="s">
        <v>51</v>
      </c>
      <c r="C383" s="3" t="s">
        <v>78</v>
      </c>
      <c r="D383" s="3"/>
      <c r="E383" s="3">
        <v>67532</v>
      </c>
      <c r="F383" s="3" t="s">
        <v>946</v>
      </c>
      <c r="G383" s="144">
        <v>748</v>
      </c>
      <c r="H383" s="394">
        <v>46224</v>
      </c>
      <c r="I383" s="50">
        <v>46252</v>
      </c>
      <c r="J383" s="15">
        <f t="shared" si="226"/>
        <v>28</v>
      </c>
      <c r="K383" s="3" t="s">
        <v>55</v>
      </c>
      <c r="L383" s="3" t="s">
        <v>56</v>
      </c>
      <c r="M383" s="3" t="s">
        <v>57</v>
      </c>
      <c r="N383" s="3" t="s">
        <v>87</v>
      </c>
      <c r="O383" s="3" t="s">
        <v>59</v>
      </c>
      <c r="P383" s="8">
        <v>2662</v>
      </c>
      <c r="Q383" s="44" t="s">
        <v>60</v>
      </c>
      <c r="R383" s="35">
        <f t="shared" si="219"/>
        <v>46224</v>
      </c>
      <c r="S383" s="13" t="s">
        <v>61</v>
      </c>
      <c r="T383" s="35">
        <v>46234</v>
      </c>
      <c r="U383" s="37">
        <v>46234</v>
      </c>
      <c r="V383" s="37">
        <f t="shared" si="227"/>
        <v>46252</v>
      </c>
      <c r="W383" s="59">
        <f t="shared" si="214"/>
        <v>28</v>
      </c>
      <c r="X383" s="59">
        <f t="shared" si="215"/>
        <v>10</v>
      </c>
      <c r="Y383" s="59">
        <f t="shared" si="216"/>
        <v>18</v>
      </c>
      <c r="Z383" s="39"/>
      <c r="AA383" s="4" t="s">
        <v>702</v>
      </c>
      <c r="AB383" s="35">
        <v>46234</v>
      </c>
      <c r="AC383" s="13"/>
      <c r="AD383" s="174">
        <v>7802</v>
      </c>
      <c r="AE383" s="13"/>
      <c r="AF383" s="35">
        <v>46237</v>
      </c>
      <c r="AG383" s="3" t="str">
        <f t="shared" si="228"/>
        <v>FOB</v>
      </c>
      <c r="AH383" s="13"/>
      <c r="AI383" s="36" t="e">
        <f>#REF!</f>
        <v>#REF!</v>
      </c>
      <c r="AJ383" s="36">
        <v>0</v>
      </c>
      <c r="AK383" s="142" t="e">
        <f t="shared" ref="AK383:AK414" si="235">AJ383/AC383</f>
        <v>#DIV/0!</v>
      </c>
      <c r="AL383" s="47"/>
      <c r="AM383" s="153">
        <v>46234</v>
      </c>
      <c r="AN383" s="63">
        <f t="shared" ref="AN383:AN446" si="236">AM383-AF383</f>
        <v>-3</v>
      </c>
      <c r="AO383" s="34" t="s">
        <v>65</v>
      </c>
      <c r="AP383" s="64">
        <f t="shared" si="229"/>
        <v>46252</v>
      </c>
      <c r="AQ383" s="64">
        <f t="shared" si="231"/>
        <v>46234</v>
      </c>
      <c r="AR383" s="65">
        <f t="shared" si="224"/>
        <v>28</v>
      </c>
      <c r="AS383" s="65">
        <f t="shared" si="225"/>
        <v>10</v>
      </c>
      <c r="AT383" s="157">
        <f t="shared" si="230"/>
        <v>18</v>
      </c>
      <c r="AU383" s="28"/>
      <c r="AV383" s="28"/>
      <c r="AW383" s="109">
        <f t="shared" si="232"/>
        <v>0</v>
      </c>
      <c r="AX383" s="66">
        <f t="shared" si="233"/>
        <v>0</v>
      </c>
      <c r="AY383" s="66"/>
      <c r="AZ383" s="66">
        <f t="shared" si="234"/>
        <v>0</v>
      </c>
      <c r="BA383" s="30"/>
    </row>
    <row r="384" spans="1:53" ht="21.6" customHeight="1" x14ac:dyDescent="0.3">
      <c r="A384" s="2" t="s">
        <v>148</v>
      </c>
      <c r="B384" s="3" t="s">
        <v>51</v>
      </c>
      <c r="C384" s="3" t="s">
        <v>78</v>
      </c>
      <c r="D384" s="3"/>
      <c r="E384" s="3">
        <v>67533</v>
      </c>
      <c r="F384" s="3" t="s">
        <v>947</v>
      </c>
      <c r="G384" s="144">
        <v>752</v>
      </c>
      <c r="H384" s="394">
        <v>46224</v>
      </c>
      <c r="I384" s="50">
        <v>46254</v>
      </c>
      <c r="J384" s="15">
        <f t="shared" si="226"/>
        <v>30</v>
      </c>
      <c r="K384" s="3" t="s">
        <v>55</v>
      </c>
      <c r="L384" s="3" t="s">
        <v>56</v>
      </c>
      <c r="M384" s="3" t="s">
        <v>57</v>
      </c>
      <c r="N384" s="3" t="s">
        <v>87</v>
      </c>
      <c r="O384" s="3" t="s">
        <v>59</v>
      </c>
      <c r="P384" s="8">
        <v>13654.17</v>
      </c>
      <c r="Q384" s="44" t="s">
        <v>100</v>
      </c>
      <c r="R384" s="35">
        <f t="shared" si="219"/>
        <v>46224</v>
      </c>
      <c r="S384" s="13" t="s">
        <v>61</v>
      </c>
      <c r="T384" s="35">
        <v>46253</v>
      </c>
      <c r="U384" s="37">
        <v>46254</v>
      </c>
      <c r="V384" s="37">
        <f t="shared" si="227"/>
        <v>46254</v>
      </c>
      <c r="W384" s="59">
        <f t="shared" ref="W384:W447" si="237">V384-R384</f>
        <v>30</v>
      </c>
      <c r="X384" s="59">
        <f t="shared" ref="X384:X447" si="238">U384-R384</f>
        <v>30</v>
      </c>
      <c r="Y384" s="59">
        <f t="shared" ref="Y384:Y447" si="239">W384-X384</f>
        <v>0</v>
      </c>
      <c r="Z384" s="39"/>
      <c r="AA384" s="4" t="s">
        <v>948</v>
      </c>
      <c r="AB384" s="35">
        <v>46255</v>
      </c>
      <c r="AC384" s="13" t="s">
        <v>949</v>
      </c>
      <c r="AD384" s="174">
        <v>7855</v>
      </c>
      <c r="AE384" s="13"/>
      <c r="AF384" s="35" t="s">
        <v>950</v>
      </c>
      <c r="AG384" s="3" t="str">
        <f t="shared" si="228"/>
        <v>FOB</v>
      </c>
      <c r="AH384" s="13" t="s">
        <v>951</v>
      </c>
      <c r="AI384" s="36" t="e">
        <f>#REF!</f>
        <v>#REF!</v>
      </c>
      <c r="AJ384" s="36">
        <v>0</v>
      </c>
      <c r="AK384" s="142">
        <f t="shared" si="235"/>
        <v>0</v>
      </c>
      <c r="AL384" s="47"/>
      <c r="AM384" s="153"/>
      <c r="AN384" s="63">
        <f t="shared" si="236"/>
        <v>-46258</v>
      </c>
      <c r="AO384" s="34"/>
      <c r="AP384" s="64">
        <f t="shared" si="229"/>
        <v>46254</v>
      </c>
      <c r="AQ384" s="64">
        <f t="shared" si="231"/>
        <v>0</v>
      </c>
      <c r="AR384" s="65">
        <f t="shared" si="224"/>
        <v>30</v>
      </c>
      <c r="AS384" s="65">
        <f t="shared" si="225"/>
        <v>-46224</v>
      </c>
      <c r="AT384" s="157">
        <f t="shared" si="230"/>
        <v>46254</v>
      </c>
      <c r="AU384" s="28"/>
      <c r="AV384" s="28"/>
      <c r="AW384" s="109" t="str">
        <f t="shared" si="232"/>
        <v>13654,17</v>
      </c>
      <c r="AX384" s="66">
        <f t="shared" si="233"/>
        <v>0</v>
      </c>
      <c r="AY384" s="66"/>
      <c r="AZ384" s="66">
        <f t="shared" si="234"/>
        <v>0</v>
      </c>
      <c r="BA384" s="30"/>
    </row>
    <row r="385" spans="1:53" ht="21.6" customHeight="1" x14ac:dyDescent="0.3">
      <c r="A385" s="2" t="s">
        <v>148</v>
      </c>
      <c r="B385" s="3" t="s">
        <v>51</v>
      </c>
      <c r="C385" s="3" t="s">
        <v>78</v>
      </c>
      <c r="D385" s="3"/>
      <c r="E385" s="3">
        <v>67641</v>
      </c>
      <c r="F385" s="3" t="s">
        <v>947</v>
      </c>
      <c r="G385" s="144">
        <v>753</v>
      </c>
      <c r="H385" s="394">
        <v>46224</v>
      </c>
      <c r="I385" s="50">
        <v>46254</v>
      </c>
      <c r="J385" s="15">
        <f t="shared" si="226"/>
        <v>30</v>
      </c>
      <c r="K385" s="3" t="s">
        <v>55</v>
      </c>
      <c r="L385" s="3" t="s">
        <v>56</v>
      </c>
      <c r="M385" s="3" t="s">
        <v>57</v>
      </c>
      <c r="N385" s="3" t="s">
        <v>87</v>
      </c>
      <c r="O385" s="3" t="s">
        <v>59</v>
      </c>
      <c r="P385" s="8">
        <v>4551.3900000000003</v>
      </c>
      <c r="Q385" s="44" t="s">
        <v>100</v>
      </c>
      <c r="R385" s="35">
        <f t="shared" si="219"/>
        <v>46224</v>
      </c>
      <c r="S385" s="13" t="s">
        <v>61</v>
      </c>
      <c r="T385" s="35">
        <v>46253</v>
      </c>
      <c r="U385" s="37">
        <v>46254</v>
      </c>
      <c r="V385" s="37">
        <f t="shared" si="227"/>
        <v>46254</v>
      </c>
      <c r="W385" s="59">
        <f t="shared" si="237"/>
        <v>30</v>
      </c>
      <c r="X385" s="59">
        <f t="shared" si="238"/>
        <v>30</v>
      </c>
      <c r="Y385" s="59">
        <f t="shared" si="239"/>
        <v>0</v>
      </c>
      <c r="Z385" s="39"/>
      <c r="AA385" s="4" t="s">
        <v>948</v>
      </c>
      <c r="AB385" s="35">
        <v>46255</v>
      </c>
      <c r="AC385" s="13" t="s">
        <v>952</v>
      </c>
      <c r="AD385" s="174">
        <v>7856</v>
      </c>
      <c r="AE385" s="13"/>
      <c r="AF385" s="35" t="s">
        <v>950</v>
      </c>
      <c r="AG385" s="3" t="str">
        <f>K385</f>
        <v>FOB</v>
      </c>
      <c r="AH385" s="13" t="s">
        <v>951</v>
      </c>
      <c r="AI385" s="36" t="e">
        <f>#REF!</f>
        <v>#REF!</v>
      </c>
      <c r="AJ385" s="36">
        <v>0</v>
      </c>
      <c r="AK385" s="142">
        <f t="shared" si="235"/>
        <v>0</v>
      </c>
      <c r="AL385" s="47"/>
      <c r="AM385" s="153"/>
      <c r="AN385" s="63">
        <f t="shared" si="236"/>
        <v>-46258</v>
      </c>
      <c r="AO385" s="34"/>
      <c r="AP385" s="64">
        <f t="shared" si="229"/>
        <v>46254</v>
      </c>
      <c r="AQ385" s="64">
        <f t="shared" si="231"/>
        <v>0</v>
      </c>
      <c r="AR385" s="65">
        <f t="shared" si="224"/>
        <v>30</v>
      </c>
      <c r="AS385" s="65">
        <f t="shared" si="225"/>
        <v>-46224</v>
      </c>
      <c r="AT385" s="157">
        <f t="shared" si="230"/>
        <v>46254</v>
      </c>
      <c r="AU385" s="28"/>
      <c r="AV385" s="28"/>
      <c r="AW385" s="109" t="str">
        <f t="shared" si="232"/>
        <v>4551,39</v>
      </c>
      <c r="AX385" s="66">
        <f t="shared" si="233"/>
        <v>0</v>
      </c>
      <c r="AY385" s="66"/>
      <c r="AZ385" s="66">
        <f t="shared" si="234"/>
        <v>0</v>
      </c>
      <c r="BA385" s="30"/>
    </row>
    <row r="386" spans="1:53" ht="21.6" customHeight="1" x14ac:dyDescent="0.3">
      <c r="A386" s="2" t="s">
        <v>953</v>
      </c>
      <c r="B386" s="3" t="s">
        <v>292</v>
      </c>
      <c r="C386" s="3" t="s">
        <v>78</v>
      </c>
      <c r="D386" s="3"/>
      <c r="E386" s="3">
        <v>138</v>
      </c>
      <c r="F386" s="3" t="s">
        <v>954</v>
      </c>
      <c r="G386" s="144">
        <v>754</v>
      </c>
      <c r="H386" s="394">
        <v>46225</v>
      </c>
      <c r="I386" s="50">
        <v>46256</v>
      </c>
      <c r="J386" s="15">
        <f t="shared" si="226"/>
        <v>31</v>
      </c>
      <c r="K386" s="3" t="s">
        <v>55</v>
      </c>
      <c r="L386" s="3" t="s">
        <v>56</v>
      </c>
      <c r="M386" s="3" t="s">
        <v>486</v>
      </c>
      <c r="N386" s="3" t="s">
        <v>955</v>
      </c>
      <c r="O386" s="3" t="s">
        <v>59</v>
      </c>
      <c r="P386" s="8">
        <v>28114.53</v>
      </c>
      <c r="Q386" s="44" t="s">
        <v>100</v>
      </c>
      <c r="R386" s="35">
        <f t="shared" si="219"/>
        <v>46225</v>
      </c>
      <c r="S386" s="13" t="s">
        <v>61</v>
      </c>
      <c r="T386" s="35">
        <v>46254</v>
      </c>
      <c r="U386" s="37">
        <v>46255</v>
      </c>
      <c r="V386" s="37">
        <f t="shared" si="227"/>
        <v>46256</v>
      </c>
      <c r="W386" s="59">
        <f t="shared" si="237"/>
        <v>31</v>
      </c>
      <c r="X386" s="59">
        <f t="shared" si="238"/>
        <v>30</v>
      </c>
      <c r="Y386" s="59">
        <f t="shared" si="239"/>
        <v>1</v>
      </c>
      <c r="Z386" s="39"/>
      <c r="AA386" s="4" t="s">
        <v>948</v>
      </c>
      <c r="AB386" s="35">
        <v>46258</v>
      </c>
      <c r="AC386" s="13" t="s">
        <v>956</v>
      </c>
      <c r="AD386" s="174">
        <v>7863</v>
      </c>
      <c r="AE386" s="13"/>
      <c r="AF386" s="35"/>
      <c r="AG386" s="3" t="str">
        <f t="shared" si="228"/>
        <v>FOB</v>
      </c>
      <c r="AH386" s="13"/>
      <c r="AI386" s="36" t="e">
        <f>#REF!</f>
        <v>#REF!</v>
      </c>
      <c r="AJ386" s="36">
        <v>0</v>
      </c>
      <c r="AK386" s="142">
        <f t="shared" si="235"/>
        <v>0</v>
      </c>
      <c r="AL386" s="47"/>
      <c r="AM386" s="153"/>
      <c r="AN386" s="63">
        <f t="shared" si="236"/>
        <v>0</v>
      </c>
      <c r="AO386" s="34"/>
      <c r="AP386" s="64">
        <f t="shared" si="229"/>
        <v>46256</v>
      </c>
      <c r="AQ386" s="64">
        <f t="shared" si="231"/>
        <v>0</v>
      </c>
      <c r="AR386" s="65">
        <f t="shared" si="224"/>
        <v>31</v>
      </c>
      <c r="AS386" s="65">
        <f t="shared" si="225"/>
        <v>-46225</v>
      </c>
      <c r="AT386" s="157">
        <f t="shared" si="230"/>
        <v>46256</v>
      </c>
      <c r="AU386" s="28"/>
      <c r="AV386" s="28"/>
      <c r="AW386" s="109" t="str">
        <f t="shared" si="232"/>
        <v>28114,53</v>
      </c>
      <c r="AX386" s="66">
        <f t="shared" si="233"/>
        <v>0</v>
      </c>
      <c r="AY386" s="66"/>
      <c r="AZ386" s="66">
        <f t="shared" si="234"/>
        <v>0</v>
      </c>
      <c r="BA386" s="30"/>
    </row>
    <row r="387" spans="1:53" ht="21.6" customHeight="1" x14ac:dyDescent="0.3">
      <c r="A387" s="2" t="s">
        <v>581</v>
      </c>
      <c r="B387" s="3" t="s">
        <v>91</v>
      </c>
      <c r="C387" s="3" t="s">
        <v>78</v>
      </c>
      <c r="D387" s="3"/>
      <c r="E387" s="391">
        <v>4515231983</v>
      </c>
      <c r="F387" s="3" t="s">
        <v>957</v>
      </c>
      <c r="G387" s="144">
        <v>756</v>
      </c>
      <c r="H387" s="394">
        <v>46226</v>
      </c>
      <c r="I387" s="50">
        <v>46262</v>
      </c>
      <c r="J387" s="15">
        <f t="shared" si="226"/>
        <v>36</v>
      </c>
      <c r="K387" s="3" t="s">
        <v>55</v>
      </c>
      <c r="L387" s="3" t="s">
        <v>56</v>
      </c>
      <c r="M387" s="3" t="s">
        <v>92</v>
      </c>
      <c r="N387" s="3" t="s">
        <v>303</v>
      </c>
      <c r="O387" s="3" t="s">
        <v>59</v>
      </c>
      <c r="P387" s="8">
        <v>6172.14</v>
      </c>
      <c r="Q387" s="44" t="s">
        <v>100</v>
      </c>
      <c r="R387" s="35">
        <f t="shared" si="219"/>
        <v>46226</v>
      </c>
      <c r="S387" s="13" t="s">
        <v>61</v>
      </c>
      <c r="T387" s="35">
        <v>46254</v>
      </c>
      <c r="U387" s="37">
        <v>46253</v>
      </c>
      <c r="V387" s="37">
        <f t="shared" si="227"/>
        <v>46262</v>
      </c>
      <c r="W387" s="59">
        <f t="shared" si="237"/>
        <v>36</v>
      </c>
      <c r="X387" s="59">
        <f t="shared" si="238"/>
        <v>27</v>
      </c>
      <c r="Y387" s="59">
        <f t="shared" si="239"/>
        <v>9</v>
      </c>
      <c r="Z387" s="39"/>
      <c r="AA387" s="4" t="s">
        <v>948</v>
      </c>
      <c r="AB387" s="35"/>
      <c r="AC387" s="13"/>
      <c r="AD387" s="174"/>
      <c r="AE387" s="13"/>
      <c r="AF387" s="35" t="s">
        <v>950</v>
      </c>
      <c r="AG387" s="3" t="str">
        <f t="shared" si="228"/>
        <v>FOB</v>
      </c>
      <c r="AH387" s="13"/>
      <c r="AI387" s="36" t="e">
        <f>#REF!</f>
        <v>#REF!</v>
      </c>
      <c r="AJ387" s="36">
        <v>0</v>
      </c>
      <c r="AK387" s="142" t="e">
        <f t="shared" si="235"/>
        <v>#DIV/0!</v>
      </c>
      <c r="AL387" s="47"/>
      <c r="AM387" s="153"/>
      <c r="AN387" s="63">
        <f t="shared" si="236"/>
        <v>-46258</v>
      </c>
      <c r="AO387" s="34"/>
      <c r="AP387" s="64">
        <f t="shared" si="229"/>
        <v>46262</v>
      </c>
      <c r="AQ387" s="64">
        <f t="shared" si="231"/>
        <v>0</v>
      </c>
      <c r="AR387" s="65">
        <f t="shared" si="224"/>
        <v>36</v>
      </c>
      <c r="AS387" s="65">
        <f t="shared" si="225"/>
        <v>-46226</v>
      </c>
      <c r="AT387" s="157">
        <f t="shared" si="230"/>
        <v>46262</v>
      </c>
      <c r="AU387" s="28"/>
      <c r="AV387" s="28"/>
      <c r="AW387" s="109">
        <f t="shared" si="232"/>
        <v>0</v>
      </c>
      <c r="AX387" s="66">
        <f t="shared" si="233"/>
        <v>0</v>
      </c>
      <c r="AY387" s="66"/>
      <c r="AZ387" s="66">
        <f t="shared" si="234"/>
        <v>0</v>
      </c>
      <c r="BA387" s="30"/>
    </row>
    <row r="388" spans="1:53" ht="21.6" customHeight="1" x14ac:dyDescent="0.3">
      <c r="A388" s="2" t="s">
        <v>253</v>
      </c>
      <c r="B388" s="3" t="s">
        <v>96</v>
      </c>
      <c r="C388" s="3" t="s">
        <v>78</v>
      </c>
      <c r="D388" s="3"/>
      <c r="E388" s="3">
        <v>113592580</v>
      </c>
      <c r="F388" s="3"/>
      <c r="G388" s="144">
        <v>757</v>
      </c>
      <c r="H388" s="394">
        <v>46226</v>
      </c>
      <c r="I388" s="50">
        <v>46248</v>
      </c>
      <c r="J388" s="15">
        <f t="shared" si="226"/>
        <v>22</v>
      </c>
      <c r="K388" s="3" t="s">
        <v>55</v>
      </c>
      <c r="L388" s="3" t="s">
        <v>56</v>
      </c>
      <c r="M388" s="3" t="s">
        <v>255</v>
      </c>
      <c r="N388" s="3" t="s">
        <v>466</v>
      </c>
      <c r="O388" s="3" t="s">
        <v>59</v>
      </c>
      <c r="P388" s="8">
        <v>5072.32</v>
      </c>
      <c r="Q388" s="44" t="s">
        <v>100</v>
      </c>
      <c r="R388" s="35">
        <f t="shared" si="219"/>
        <v>46226</v>
      </c>
      <c r="S388" s="13" t="s">
        <v>61</v>
      </c>
      <c r="T388" s="35">
        <v>46233</v>
      </c>
      <c r="U388" s="37">
        <v>46237</v>
      </c>
      <c r="V388" s="37">
        <f t="shared" si="227"/>
        <v>46248</v>
      </c>
      <c r="W388" s="59">
        <f t="shared" si="237"/>
        <v>22</v>
      </c>
      <c r="X388" s="59">
        <f t="shared" si="238"/>
        <v>11</v>
      </c>
      <c r="Y388" s="59">
        <f t="shared" si="239"/>
        <v>11</v>
      </c>
      <c r="Z388" s="39"/>
      <c r="AA388" s="4" t="s">
        <v>702</v>
      </c>
      <c r="AB388" s="410">
        <v>46234</v>
      </c>
      <c r="AC388" s="13" t="s">
        <v>958</v>
      </c>
      <c r="AD388" s="174">
        <v>7803</v>
      </c>
      <c r="AE388" s="13"/>
      <c r="AF388" s="35">
        <v>46364</v>
      </c>
      <c r="AG388" s="3" t="str">
        <f t="shared" si="228"/>
        <v>FOB</v>
      </c>
      <c r="AH388" s="13"/>
      <c r="AI388" s="36" t="e">
        <f>#REF!</f>
        <v>#REF!</v>
      </c>
      <c r="AJ388" s="36">
        <v>0</v>
      </c>
      <c r="AK388" s="142">
        <f t="shared" si="235"/>
        <v>0</v>
      </c>
      <c r="AL388" s="47"/>
      <c r="AM388" s="153">
        <v>46237</v>
      </c>
      <c r="AN388" s="63">
        <f t="shared" si="236"/>
        <v>-127</v>
      </c>
      <c r="AO388" s="34" t="s">
        <v>65</v>
      </c>
      <c r="AP388" s="64">
        <f t="shared" si="229"/>
        <v>46248</v>
      </c>
      <c r="AQ388" s="64">
        <f t="shared" si="231"/>
        <v>46237</v>
      </c>
      <c r="AR388" s="65">
        <f t="shared" si="224"/>
        <v>22</v>
      </c>
      <c r="AS388" s="65">
        <f t="shared" si="225"/>
        <v>11</v>
      </c>
      <c r="AT388" s="157">
        <f t="shared" si="230"/>
        <v>11</v>
      </c>
      <c r="AU388" s="28"/>
      <c r="AV388" s="28"/>
      <c r="AW388" s="109" t="str">
        <f t="shared" si="232"/>
        <v>5072,32</v>
      </c>
      <c r="AX388" s="66">
        <f t="shared" si="233"/>
        <v>0</v>
      </c>
      <c r="AY388" s="66"/>
      <c r="AZ388" s="66">
        <f t="shared" si="234"/>
        <v>0</v>
      </c>
      <c r="BA388" s="30"/>
    </row>
    <row r="389" spans="1:53" ht="21.6" customHeight="1" x14ac:dyDescent="0.3">
      <c r="A389" s="404" t="s">
        <v>356</v>
      </c>
      <c r="B389" s="114" t="s">
        <v>77</v>
      </c>
      <c r="C389" s="114" t="s">
        <v>78</v>
      </c>
      <c r="D389" s="114"/>
      <c r="E389" s="114" t="s">
        <v>959</v>
      </c>
      <c r="F389" s="114" t="s">
        <v>960</v>
      </c>
      <c r="G389" s="405">
        <v>761</v>
      </c>
      <c r="H389" s="398">
        <v>46227</v>
      </c>
      <c r="I389" s="334">
        <v>46262</v>
      </c>
      <c r="J389" s="406">
        <f t="shared" si="226"/>
        <v>35</v>
      </c>
      <c r="K389" s="114" t="s">
        <v>70</v>
      </c>
      <c r="L389" s="114" t="s">
        <v>56</v>
      </c>
      <c r="M389" s="114" t="s">
        <v>81</v>
      </c>
      <c r="N389" s="114" t="s">
        <v>479</v>
      </c>
      <c r="O389" s="114" t="s">
        <v>59</v>
      </c>
      <c r="P389" s="82">
        <v>2646</v>
      </c>
      <c r="Q389" s="335" t="s">
        <v>60</v>
      </c>
      <c r="R389" s="336">
        <f t="shared" si="219"/>
        <v>46227</v>
      </c>
      <c r="S389" s="174" t="s">
        <v>61</v>
      </c>
      <c r="T389" s="336">
        <v>46237</v>
      </c>
      <c r="U389" s="337">
        <v>46240</v>
      </c>
      <c r="V389" s="337">
        <f t="shared" si="227"/>
        <v>46262</v>
      </c>
      <c r="W389" s="407">
        <f t="shared" si="237"/>
        <v>35</v>
      </c>
      <c r="X389" s="407">
        <f t="shared" si="238"/>
        <v>13</v>
      </c>
      <c r="Y389" s="407">
        <f t="shared" si="239"/>
        <v>22</v>
      </c>
      <c r="Z389" s="338"/>
      <c r="AA389" s="408" t="s">
        <v>702</v>
      </c>
      <c r="AB389" s="336">
        <v>46240</v>
      </c>
      <c r="AC389" s="174" t="s">
        <v>961</v>
      </c>
      <c r="AD389" s="174">
        <v>7826</v>
      </c>
      <c r="AE389" s="174"/>
      <c r="AF389" s="336" t="s">
        <v>962</v>
      </c>
      <c r="AG389" s="114" t="str">
        <f t="shared" si="228"/>
        <v>CIF</v>
      </c>
      <c r="AH389" s="174" t="s">
        <v>963</v>
      </c>
      <c r="AI389" s="342" t="e">
        <f>#REF!</f>
        <v>#REF!</v>
      </c>
      <c r="AJ389" s="342">
        <v>0</v>
      </c>
      <c r="AK389" s="343">
        <f t="shared" si="235"/>
        <v>0</v>
      </c>
      <c r="AL389" s="344"/>
      <c r="AM389" s="344"/>
      <c r="AN389" s="345" t="e">
        <f t="shared" si="236"/>
        <v>#VALUE!</v>
      </c>
      <c r="AO389" s="346"/>
      <c r="AP389" s="347">
        <f t="shared" si="229"/>
        <v>46262</v>
      </c>
      <c r="AQ389" s="347">
        <f t="shared" si="231"/>
        <v>0</v>
      </c>
      <c r="AR389" s="348">
        <f t="shared" si="224"/>
        <v>35</v>
      </c>
      <c r="AS389" s="348">
        <f t="shared" si="225"/>
        <v>-46227</v>
      </c>
      <c r="AT389" s="348">
        <f t="shared" si="230"/>
        <v>46262</v>
      </c>
      <c r="AU389" s="409"/>
      <c r="AV389" s="409"/>
      <c r="AW389" s="349" t="str">
        <f t="shared" si="232"/>
        <v>2646,00</v>
      </c>
      <c r="AX389" s="350">
        <f t="shared" si="233"/>
        <v>0</v>
      </c>
      <c r="AY389" s="350"/>
      <c r="AZ389" s="350">
        <f t="shared" si="234"/>
        <v>0</v>
      </c>
      <c r="BA389" s="329"/>
    </row>
    <row r="390" spans="1:53" ht="21.6" customHeight="1" x14ac:dyDescent="0.3">
      <c r="A390" s="2" t="s">
        <v>964</v>
      </c>
      <c r="B390" s="3" t="s">
        <v>77</v>
      </c>
      <c r="C390" s="3" t="s">
        <v>78</v>
      </c>
      <c r="D390" s="3"/>
      <c r="E390" s="9" t="s">
        <v>965</v>
      </c>
      <c r="F390" s="3" t="s">
        <v>966</v>
      </c>
      <c r="G390" s="144">
        <v>767</v>
      </c>
      <c r="H390" s="394">
        <v>46231</v>
      </c>
      <c r="I390" s="50">
        <v>46248</v>
      </c>
      <c r="J390" s="15">
        <f t="shared" si="226"/>
        <v>17</v>
      </c>
      <c r="K390" s="3" t="s">
        <v>70</v>
      </c>
      <c r="L390" s="3" t="s">
        <v>56</v>
      </c>
      <c r="M390" s="3" t="s">
        <v>81</v>
      </c>
      <c r="N390" s="3" t="s">
        <v>497</v>
      </c>
      <c r="O390" s="3" t="s">
        <v>59</v>
      </c>
      <c r="P390" s="8">
        <v>4218</v>
      </c>
      <c r="Q390" s="44" t="s">
        <v>60</v>
      </c>
      <c r="R390" s="35">
        <f t="shared" si="219"/>
        <v>46231</v>
      </c>
      <c r="S390" s="13" t="s">
        <v>61</v>
      </c>
      <c r="T390" s="35">
        <v>46237</v>
      </c>
      <c r="U390" s="37">
        <v>46240</v>
      </c>
      <c r="V390" s="37">
        <f t="shared" si="227"/>
        <v>46248</v>
      </c>
      <c r="W390" s="59">
        <f t="shared" si="237"/>
        <v>17</v>
      </c>
      <c r="X390" s="59">
        <f t="shared" si="238"/>
        <v>9</v>
      </c>
      <c r="Y390" s="59">
        <f t="shared" si="239"/>
        <v>8</v>
      </c>
      <c r="Z390" s="39"/>
      <c r="AA390" s="4" t="s">
        <v>702</v>
      </c>
      <c r="AB390" s="35">
        <v>46234</v>
      </c>
      <c r="AC390" s="13"/>
      <c r="AD390" s="174">
        <v>7805</v>
      </c>
      <c r="AE390" s="13"/>
      <c r="AF390" s="35">
        <v>46237</v>
      </c>
      <c r="AG390" s="3" t="str">
        <f t="shared" si="228"/>
        <v>CIF</v>
      </c>
      <c r="AH390" s="13"/>
      <c r="AI390" s="36" t="e">
        <f>#REF!</f>
        <v>#REF!</v>
      </c>
      <c r="AJ390" s="36">
        <v>0</v>
      </c>
      <c r="AK390" s="142" t="e">
        <f t="shared" si="235"/>
        <v>#DIV/0!</v>
      </c>
      <c r="AL390" s="47"/>
      <c r="AM390" s="153">
        <v>46240</v>
      </c>
      <c r="AN390" s="63">
        <f t="shared" si="236"/>
        <v>3</v>
      </c>
      <c r="AO390" s="34" t="s">
        <v>65</v>
      </c>
      <c r="AP390" s="64">
        <f t="shared" si="229"/>
        <v>46248</v>
      </c>
      <c r="AQ390" s="64">
        <f t="shared" si="231"/>
        <v>46240</v>
      </c>
      <c r="AR390" s="65">
        <f t="shared" si="224"/>
        <v>17</v>
      </c>
      <c r="AS390" s="65">
        <f t="shared" si="225"/>
        <v>9</v>
      </c>
      <c r="AT390" s="157">
        <f t="shared" si="230"/>
        <v>8</v>
      </c>
      <c r="AU390" s="28"/>
      <c r="AV390" s="28"/>
      <c r="AW390" s="109">
        <f t="shared" si="232"/>
        <v>0</v>
      </c>
      <c r="AX390" s="66">
        <f t="shared" si="233"/>
        <v>0</v>
      </c>
      <c r="AY390" s="66"/>
      <c r="AZ390" s="66">
        <f t="shared" si="234"/>
        <v>0</v>
      </c>
      <c r="BA390" s="30"/>
    </row>
    <row r="391" spans="1:53" ht="21.6" customHeight="1" x14ac:dyDescent="0.3">
      <c r="A391" s="2" t="s">
        <v>967</v>
      </c>
      <c r="B391" s="3" t="s">
        <v>91</v>
      </c>
      <c r="C391" s="3" t="s">
        <v>52</v>
      </c>
      <c r="D391" s="3"/>
      <c r="E391" s="3"/>
      <c r="F391" s="3" t="s">
        <v>968</v>
      </c>
      <c r="G391" s="144">
        <v>768</v>
      </c>
      <c r="H391" s="394">
        <v>46231</v>
      </c>
      <c r="I391" s="50">
        <v>46234</v>
      </c>
      <c r="J391" s="15">
        <f t="shared" si="226"/>
        <v>3</v>
      </c>
      <c r="K391" s="3" t="s">
        <v>55</v>
      </c>
      <c r="L391" s="3"/>
      <c r="M391" s="3" t="s">
        <v>92</v>
      </c>
      <c r="N391" s="3" t="s">
        <v>969</v>
      </c>
      <c r="O391" s="3" t="s">
        <v>59</v>
      </c>
      <c r="P391" s="8">
        <v>1040.8800000000001</v>
      </c>
      <c r="Q391" s="44" t="s">
        <v>60</v>
      </c>
      <c r="R391" s="35">
        <f t="shared" si="219"/>
        <v>46231</v>
      </c>
      <c r="S391" s="13" t="s">
        <v>61</v>
      </c>
      <c r="T391" s="35">
        <v>46237</v>
      </c>
      <c r="U391" s="37">
        <v>46234</v>
      </c>
      <c r="V391" s="37">
        <f t="shared" si="227"/>
        <v>46234</v>
      </c>
      <c r="W391" s="59">
        <f t="shared" si="237"/>
        <v>3</v>
      </c>
      <c r="X391" s="59">
        <f t="shared" si="238"/>
        <v>3</v>
      </c>
      <c r="Y391" s="59">
        <f t="shared" si="239"/>
        <v>0</v>
      </c>
      <c r="Z391" s="39"/>
      <c r="AA391" s="4" t="s">
        <v>702</v>
      </c>
      <c r="AB391" s="35">
        <v>46233</v>
      </c>
      <c r="AC391" s="13"/>
      <c r="AD391" s="174">
        <v>7799</v>
      </c>
      <c r="AE391" s="13"/>
      <c r="AF391" s="35">
        <v>46234</v>
      </c>
      <c r="AG391" s="3" t="str">
        <f t="shared" si="228"/>
        <v>FOB</v>
      </c>
      <c r="AH391" s="13"/>
      <c r="AI391" s="36" t="e">
        <f>#REF!</f>
        <v>#REF!</v>
      </c>
      <c r="AJ391" s="36">
        <v>0</v>
      </c>
      <c r="AK391" s="142" t="e">
        <f t="shared" si="235"/>
        <v>#DIV/0!</v>
      </c>
      <c r="AL391" s="47"/>
      <c r="AM391" s="153">
        <v>46234</v>
      </c>
      <c r="AN391" s="63">
        <f t="shared" si="236"/>
        <v>0</v>
      </c>
      <c r="AO391" s="34" t="s">
        <v>65</v>
      </c>
      <c r="AP391" s="64">
        <f t="shared" si="229"/>
        <v>46234</v>
      </c>
      <c r="AQ391" s="64">
        <f t="shared" si="231"/>
        <v>46234</v>
      </c>
      <c r="AR391" s="65">
        <f t="shared" si="224"/>
        <v>3</v>
      </c>
      <c r="AS391" s="65">
        <f t="shared" si="225"/>
        <v>3</v>
      </c>
      <c r="AT391" s="157">
        <f t="shared" si="230"/>
        <v>0</v>
      </c>
      <c r="AU391" s="28"/>
      <c r="AV391" s="28"/>
      <c r="AW391" s="109">
        <f t="shared" si="232"/>
        <v>0</v>
      </c>
      <c r="AX391" s="66">
        <f t="shared" si="233"/>
        <v>0</v>
      </c>
      <c r="AY391" s="66"/>
      <c r="AZ391" s="66">
        <f t="shared" si="234"/>
        <v>0</v>
      </c>
      <c r="BA391" s="30"/>
    </row>
    <row r="392" spans="1:53" ht="21.6" customHeight="1" x14ac:dyDescent="0.3">
      <c r="A392" s="2" t="s">
        <v>970</v>
      </c>
      <c r="B392" s="3" t="s">
        <v>67</v>
      </c>
      <c r="C392" s="3" t="s">
        <v>78</v>
      </c>
      <c r="D392" s="3" t="s">
        <v>53</v>
      </c>
      <c r="E392" s="3" t="s">
        <v>566</v>
      </c>
      <c r="F392" s="3" t="s">
        <v>566</v>
      </c>
      <c r="G392" s="144">
        <v>772</v>
      </c>
      <c r="H392" s="394">
        <v>46233</v>
      </c>
      <c r="I392" s="50">
        <v>46249</v>
      </c>
      <c r="J392" s="15">
        <f t="shared" si="226"/>
        <v>16</v>
      </c>
      <c r="K392" s="3" t="s">
        <v>70</v>
      </c>
      <c r="L392" s="3" t="s">
        <v>971</v>
      </c>
      <c r="M392" s="3" t="s">
        <v>53</v>
      </c>
      <c r="N392" s="3" t="s">
        <v>972</v>
      </c>
      <c r="O392" s="3" t="s">
        <v>59</v>
      </c>
      <c r="P392" s="8">
        <v>0</v>
      </c>
      <c r="Q392" s="44" t="s">
        <v>100</v>
      </c>
      <c r="R392" s="35">
        <f t="shared" si="219"/>
        <v>46233</v>
      </c>
      <c r="S392" s="13" t="s">
        <v>61</v>
      </c>
      <c r="T392" s="35">
        <v>46248</v>
      </c>
      <c r="U392" s="37">
        <v>46248</v>
      </c>
      <c r="V392" s="37">
        <f t="shared" si="227"/>
        <v>46249</v>
      </c>
      <c r="W392" s="59">
        <f t="shared" si="237"/>
        <v>16</v>
      </c>
      <c r="X392" s="59">
        <f t="shared" si="238"/>
        <v>15</v>
      </c>
      <c r="Y392" s="59">
        <f t="shared" si="239"/>
        <v>1</v>
      </c>
      <c r="Z392" s="39"/>
      <c r="AA392" s="4" t="s">
        <v>887</v>
      </c>
      <c r="AB392" s="35">
        <v>46251</v>
      </c>
      <c r="AC392" s="13" t="s">
        <v>973</v>
      </c>
      <c r="AD392" s="174">
        <v>7843</v>
      </c>
      <c r="AE392" s="13"/>
      <c r="AF392" s="35" t="s">
        <v>974</v>
      </c>
      <c r="AG392" s="3" t="str">
        <f t="shared" si="228"/>
        <v>CIF</v>
      </c>
      <c r="AH392" s="168" t="s">
        <v>975</v>
      </c>
      <c r="AI392" s="36" t="e">
        <f>#REF!</f>
        <v>#REF!</v>
      </c>
      <c r="AJ392" s="36">
        <v>0</v>
      </c>
      <c r="AK392" s="142">
        <f t="shared" si="235"/>
        <v>0</v>
      </c>
      <c r="AL392" s="47"/>
      <c r="AM392" s="153"/>
      <c r="AN392" s="63">
        <f t="shared" si="236"/>
        <v>-46252</v>
      </c>
      <c r="AO392" s="34"/>
      <c r="AP392" s="64">
        <f t="shared" si="229"/>
        <v>46249</v>
      </c>
      <c r="AQ392" s="64">
        <f t="shared" si="231"/>
        <v>0</v>
      </c>
      <c r="AR392" s="65">
        <f t="shared" si="224"/>
        <v>16</v>
      </c>
      <c r="AS392" s="65">
        <f t="shared" si="225"/>
        <v>-46233</v>
      </c>
      <c r="AT392" s="157">
        <f t="shared" si="230"/>
        <v>46249</v>
      </c>
      <c r="AU392" s="28"/>
      <c r="AV392" s="28"/>
      <c r="AW392" s="109" t="str">
        <f t="shared" si="232"/>
        <v>110,50</v>
      </c>
      <c r="AX392" s="66">
        <f t="shared" si="233"/>
        <v>0</v>
      </c>
      <c r="AY392" s="66"/>
      <c r="AZ392" s="66">
        <f t="shared" si="234"/>
        <v>0</v>
      </c>
      <c r="BA392" s="30"/>
    </row>
    <row r="393" spans="1:53" ht="21.6" customHeight="1" x14ac:dyDescent="0.3">
      <c r="A393" s="2" t="s">
        <v>122</v>
      </c>
      <c r="B393" s="3" t="s">
        <v>51</v>
      </c>
      <c r="C393" s="3" t="s">
        <v>78</v>
      </c>
      <c r="D393" s="3" t="s">
        <v>53</v>
      </c>
      <c r="E393" s="3">
        <v>950290628</v>
      </c>
      <c r="F393" s="3" t="s">
        <v>976</v>
      </c>
      <c r="G393" s="144">
        <v>771</v>
      </c>
      <c r="H393" s="394">
        <v>46233</v>
      </c>
      <c r="I393" s="50">
        <v>46251</v>
      </c>
      <c r="J393" s="15">
        <f t="shared" si="226"/>
        <v>18</v>
      </c>
      <c r="K393" s="3" t="s">
        <v>55</v>
      </c>
      <c r="L393" s="3" t="s">
        <v>56</v>
      </c>
      <c r="M393" s="3" t="s">
        <v>57</v>
      </c>
      <c r="N393" s="3" t="s">
        <v>87</v>
      </c>
      <c r="O393" s="3" t="s">
        <v>59</v>
      </c>
      <c r="P393" s="8">
        <v>4006.36</v>
      </c>
      <c r="Q393" s="44" t="s">
        <v>100</v>
      </c>
      <c r="R393" s="35">
        <f t="shared" si="219"/>
        <v>46233</v>
      </c>
      <c r="S393" s="13" t="s">
        <v>61</v>
      </c>
      <c r="T393" s="35">
        <v>46241</v>
      </c>
      <c r="U393" s="37">
        <v>46244</v>
      </c>
      <c r="V393" s="37">
        <f t="shared" si="227"/>
        <v>46251</v>
      </c>
      <c r="W393" s="59">
        <f t="shared" si="237"/>
        <v>18</v>
      </c>
      <c r="X393" s="59">
        <f t="shared" si="238"/>
        <v>11</v>
      </c>
      <c r="Y393" s="59">
        <f t="shared" si="239"/>
        <v>7</v>
      </c>
      <c r="Z393" s="39"/>
      <c r="AA393" s="4" t="s">
        <v>894</v>
      </c>
      <c r="AB393" s="35">
        <v>46253</v>
      </c>
      <c r="AC393" s="13" t="s">
        <v>977</v>
      </c>
      <c r="AD393" s="174">
        <v>7848</v>
      </c>
      <c r="AE393" s="13"/>
      <c r="AF393" s="35" t="s">
        <v>889</v>
      </c>
      <c r="AG393" s="3" t="str">
        <f t="shared" si="228"/>
        <v>FOB</v>
      </c>
      <c r="AH393" s="13" t="s">
        <v>890</v>
      </c>
      <c r="AI393" s="36" t="e">
        <f>#REF!</f>
        <v>#REF!</v>
      </c>
      <c r="AJ393" s="36">
        <v>0</v>
      </c>
      <c r="AK393" s="142">
        <f t="shared" si="235"/>
        <v>0</v>
      </c>
      <c r="AL393" s="47"/>
      <c r="AM393" s="153"/>
      <c r="AN393" s="63">
        <f t="shared" si="236"/>
        <v>-46262</v>
      </c>
      <c r="AO393" s="34"/>
      <c r="AP393" s="64">
        <f t="shared" si="229"/>
        <v>46251</v>
      </c>
      <c r="AQ393" s="64">
        <f t="shared" si="231"/>
        <v>0</v>
      </c>
      <c r="AR393" s="65">
        <f t="shared" si="224"/>
        <v>18</v>
      </c>
      <c r="AS393" s="65">
        <f t="shared" si="225"/>
        <v>-46233</v>
      </c>
      <c r="AT393" s="157">
        <f t="shared" si="230"/>
        <v>46251</v>
      </c>
      <c r="AU393" s="28"/>
      <c r="AV393" s="28"/>
      <c r="AW393" s="109" t="str">
        <f t="shared" si="232"/>
        <v>4006,36</v>
      </c>
      <c r="AX393" s="66">
        <f t="shared" si="233"/>
        <v>0</v>
      </c>
      <c r="AY393" s="66"/>
      <c r="AZ393" s="66">
        <f t="shared" si="234"/>
        <v>0</v>
      </c>
      <c r="BA393" s="30"/>
    </row>
    <row r="394" spans="1:53" ht="21.6" customHeight="1" x14ac:dyDescent="0.3">
      <c r="A394" s="2" t="s">
        <v>978</v>
      </c>
      <c r="B394" s="3" t="s">
        <v>171</v>
      </c>
      <c r="C394" s="3" t="s">
        <v>78</v>
      </c>
      <c r="D394" s="3" t="s">
        <v>53</v>
      </c>
      <c r="E394" s="3">
        <v>38485</v>
      </c>
      <c r="F394" s="3" t="s">
        <v>979</v>
      </c>
      <c r="G394" s="144">
        <v>773</v>
      </c>
      <c r="H394" s="394">
        <v>46233</v>
      </c>
      <c r="I394" s="50">
        <v>46237</v>
      </c>
      <c r="J394" s="15">
        <f t="shared" si="226"/>
        <v>4</v>
      </c>
      <c r="K394" s="3" t="s">
        <v>55</v>
      </c>
      <c r="L394" s="3" t="s">
        <v>56</v>
      </c>
      <c r="M394" s="3" t="s">
        <v>186</v>
      </c>
      <c r="N394" s="3" t="s">
        <v>527</v>
      </c>
      <c r="O394" s="3" t="s">
        <v>59</v>
      </c>
      <c r="P394" s="8">
        <v>2552.06</v>
      </c>
      <c r="Q394" s="44" t="s">
        <v>60</v>
      </c>
      <c r="R394" s="35">
        <f t="shared" si="219"/>
        <v>46233</v>
      </c>
      <c r="S394" s="13" t="s">
        <v>61</v>
      </c>
      <c r="T394" s="35">
        <v>46237</v>
      </c>
      <c r="U394" s="37">
        <v>46237</v>
      </c>
      <c r="V394" s="37">
        <f t="shared" si="227"/>
        <v>46237</v>
      </c>
      <c r="W394" s="59">
        <f t="shared" si="237"/>
        <v>4</v>
      </c>
      <c r="X394" s="59">
        <f t="shared" si="238"/>
        <v>4</v>
      </c>
      <c r="Y394" s="59">
        <f t="shared" si="239"/>
        <v>0</v>
      </c>
      <c r="Z394" s="39"/>
      <c r="AA394" s="4" t="s">
        <v>702</v>
      </c>
      <c r="AB394" s="410">
        <v>46234</v>
      </c>
      <c r="AC394" s="13" t="s">
        <v>980</v>
      </c>
      <c r="AD394" s="174">
        <v>7819</v>
      </c>
      <c r="AE394" s="13"/>
      <c r="AF394" s="35">
        <v>46240</v>
      </c>
      <c r="AG394" s="3" t="str">
        <f t="shared" si="228"/>
        <v>FOB</v>
      </c>
      <c r="AH394" s="13"/>
      <c r="AI394" s="36" t="e">
        <f>#REF!</f>
        <v>#REF!</v>
      </c>
      <c r="AJ394" s="36">
        <v>0</v>
      </c>
      <c r="AK394" s="142">
        <f t="shared" si="235"/>
        <v>0</v>
      </c>
      <c r="AL394" s="47"/>
      <c r="AM394" s="153">
        <v>46237</v>
      </c>
      <c r="AN394" s="63">
        <f t="shared" si="236"/>
        <v>-3</v>
      </c>
      <c r="AO394" s="34" t="s">
        <v>65</v>
      </c>
      <c r="AP394" s="64">
        <f t="shared" si="229"/>
        <v>46237</v>
      </c>
      <c r="AQ394" s="64">
        <f t="shared" si="231"/>
        <v>46237</v>
      </c>
      <c r="AR394" s="65">
        <f t="shared" ref="AR394:AR413" si="240">AP394-H394</f>
        <v>4</v>
      </c>
      <c r="AS394" s="65">
        <f t="shared" ref="AS394:AS413" si="241">AM394-H394</f>
        <v>4</v>
      </c>
      <c r="AT394" s="157">
        <f t="shared" si="230"/>
        <v>0</v>
      </c>
      <c r="AU394" s="28"/>
      <c r="AV394" s="28"/>
      <c r="AW394" s="109" t="str">
        <f t="shared" si="232"/>
        <v>2552,06</v>
      </c>
      <c r="AX394" s="66">
        <f t="shared" si="233"/>
        <v>0</v>
      </c>
      <c r="AY394" s="66"/>
      <c r="AZ394" s="66">
        <f t="shared" si="234"/>
        <v>0</v>
      </c>
      <c r="BA394" s="30"/>
    </row>
    <row r="395" spans="1:53" ht="21.6" customHeight="1" x14ac:dyDescent="0.3">
      <c r="A395" s="2" t="s">
        <v>291</v>
      </c>
      <c r="B395" s="3" t="s">
        <v>292</v>
      </c>
      <c r="C395" s="3" t="s">
        <v>78</v>
      </c>
      <c r="D395" s="3"/>
      <c r="E395" s="3">
        <v>4500267255</v>
      </c>
      <c r="F395" s="3"/>
      <c r="G395" s="144">
        <v>758</v>
      </c>
      <c r="H395" s="394">
        <v>46226</v>
      </c>
      <c r="I395" s="50">
        <v>46257</v>
      </c>
      <c r="J395" s="15">
        <f t="shared" si="226"/>
        <v>31</v>
      </c>
      <c r="K395" s="3" t="s">
        <v>55</v>
      </c>
      <c r="L395" s="3" t="s">
        <v>56</v>
      </c>
      <c r="M395" s="3" t="s">
        <v>294</v>
      </c>
      <c r="N395" s="3" t="s">
        <v>323</v>
      </c>
      <c r="O395" s="3" t="s">
        <v>59</v>
      </c>
      <c r="P395" s="8">
        <v>9004.8799999999992</v>
      </c>
      <c r="Q395" s="44" t="s">
        <v>100</v>
      </c>
      <c r="R395" s="35">
        <f t="shared" ref="R395:R458" si="242">H395</f>
        <v>46226</v>
      </c>
      <c r="S395" s="13" t="s">
        <v>61</v>
      </c>
      <c r="T395" s="35">
        <v>46237</v>
      </c>
      <c r="U395" s="37">
        <v>46239</v>
      </c>
      <c r="V395" s="37">
        <f t="shared" si="227"/>
        <v>46257</v>
      </c>
      <c r="W395" s="59">
        <f t="shared" si="237"/>
        <v>31</v>
      </c>
      <c r="X395" s="59">
        <f t="shared" si="238"/>
        <v>13</v>
      </c>
      <c r="Y395" s="59">
        <f t="shared" si="239"/>
        <v>18</v>
      </c>
      <c r="Z395" s="39"/>
      <c r="AA395" s="4" t="s">
        <v>702</v>
      </c>
      <c r="AB395" s="410">
        <v>46234</v>
      </c>
      <c r="AC395" s="13" t="s">
        <v>981</v>
      </c>
      <c r="AD395" s="174">
        <v>7817</v>
      </c>
      <c r="AE395" s="13"/>
      <c r="AF395" s="35">
        <v>46181</v>
      </c>
      <c r="AG395" s="3" t="str">
        <f t="shared" si="228"/>
        <v>FOB</v>
      </c>
      <c r="AH395" s="13" t="s">
        <v>982</v>
      </c>
      <c r="AI395" s="36" t="e">
        <f>#REF!</f>
        <v>#REF!</v>
      </c>
      <c r="AJ395" s="36">
        <v>0</v>
      </c>
      <c r="AK395" s="142">
        <f t="shared" si="235"/>
        <v>0</v>
      </c>
      <c r="AL395" s="47"/>
      <c r="AM395" s="153">
        <v>46239</v>
      </c>
      <c r="AN395" s="63">
        <f t="shared" si="236"/>
        <v>58</v>
      </c>
      <c r="AO395" s="34" t="s">
        <v>65</v>
      </c>
      <c r="AP395" s="64">
        <f t="shared" si="229"/>
        <v>46257</v>
      </c>
      <c r="AQ395" s="64">
        <f t="shared" si="231"/>
        <v>46239</v>
      </c>
      <c r="AR395" s="65">
        <f t="shared" si="240"/>
        <v>31</v>
      </c>
      <c r="AS395" s="65">
        <f t="shared" si="241"/>
        <v>13</v>
      </c>
      <c r="AT395" s="157">
        <f t="shared" si="230"/>
        <v>18</v>
      </c>
      <c r="AU395" s="28"/>
      <c r="AV395" s="28"/>
      <c r="AW395" s="109" t="str">
        <f t="shared" si="232"/>
        <v>9004,88</v>
      </c>
      <c r="AX395" s="66">
        <f t="shared" si="233"/>
        <v>0</v>
      </c>
      <c r="AY395" s="66"/>
      <c r="AZ395" s="66">
        <f t="shared" si="234"/>
        <v>0</v>
      </c>
      <c r="BA395" s="30"/>
    </row>
    <row r="396" spans="1:53" ht="21.6" customHeight="1" x14ac:dyDescent="0.3">
      <c r="A396" s="2" t="s">
        <v>137</v>
      </c>
      <c r="B396" s="3" t="s">
        <v>67</v>
      </c>
      <c r="C396" s="3" t="s">
        <v>78</v>
      </c>
      <c r="D396" s="3" t="s">
        <v>53</v>
      </c>
      <c r="E396" s="3">
        <v>89</v>
      </c>
      <c r="F396" s="3" t="s">
        <v>983</v>
      </c>
      <c r="G396" s="144">
        <v>776</v>
      </c>
      <c r="H396" s="394">
        <v>46237</v>
      </c>
      <c r="I396" s="50">
        <v>46275</v>
      </c>
      <c r="J396" s="15">
        <f t="shared" si="226"/>
        <v>38</v>
      </c>
      <c r="K396" s="3" t="s">
        <v>55</v>
      </c>
      <c r="L396" s="3" t="s">
        <v>139</v>
      </c>
      <c r="M396" s="3" t="s">
        <v>72</v>
      </c>
      <c r="N396" s="3"/>
      <c r="O396" s="3" t="s">
        <v>59</v>
      </c>
      <c r="P396" s="8">
        <v>130158.39</v>
      </c>
      <c r="Q396" s="44" t="s">
        <v>60</v>
      </c>
      <c r="R396" s="35">
        <f t="shared" si="242"/>
        <v>46237</v>
      </c>
      <c r="S396" s="13" t="s">
        <v>610</v>
      </c>
      <c r="T396" s="35">
        <v>46265</v>
      </c>
      <c r="U396" s="362">
        <v>46269</v>
      </c>
      <c r="V396" s="37">
        <f t="shared" si="227"/>
        <v>46275</v>
      </c>
      <c r="W396" s="59">
        <f t="shared" si="237"/>
        <v>38</v>
      </c>
      <c r="X396" s="59">
        <f t="shared" si="238"/>
        <v>32</v>
      </c>
      <c r="Y396" s="59">
        <f t="shared" si="239"/>
        <v>6</v>
      </c>
      <c r="Z396" s="39"/>
      <c r="AA396" s="4" t="s">
        <v>758</v>
      </c>
      <c r="AB396" s="35">
        <v>46265</v>
      </c>
      <c r="AC396" s="13" t="s">
        <v>984</v>
      </c>
      <c r="AD396" s="174">
        <v>7892</v>
      </c>
      <c r="AE396" s="13"/>
      <c r="AF396" s="35"/>
      <c r="AG396" s="3" t="str">
        <f t="shared" si="228"/>
        <v>FOB</v>
      </c>
      <c r="AH396" s="13"/>
      <c r="AI396" s="36" t="e">
        <f>#REF!</f>
        <v>#REF!</v>
      </c>
      <c r="AJ396" s="36">
        <v>0</v>
      </c>
      <c r="AK396" s="142">
        <f t="shared" si="235"/>
        <v>0</v>
      </c>
      <c r="AL396" s="47"/>
      <c r="AM396" s="153"/>
      <c r="AN396" s="63">
        <f t="shared" si="236"/>
        <v>0</v>
      </c>
      <c r="AO396" s="34"/>
      <c r="AP396" s="64">
        <f t="shared" si="229"/>
        <v>46275</v>
      </c>
      <c r="AQ396" s="64">
        <f t="shared" si="231"/>
        <v>0</v>
      </c>
      <c r="AR396" s="65">
        <f t="shared" si="240"/>
        <v>38</v>
      </c>
      <c r="AS396" s="65">
        <f t="shared" si="241"/>
        <v>-46237</v>
      </c>
      <c r="AT396" s="157">
        <f t="shared" si="230"/>
        <v>46275</v>
      </c>
      <c r="AU396" s="28"/>
      <c r="AV396" s="28"/>
      <c r="AW396" s="109" t="str">
        <f t="shared" si="232"/>
        <v>110558,66</v>
      </c>
      <c r="AX396" s="66">
        <f t="shared" si="233"/>
        <v>0</v>
      </c>
      <c r="AY396" s="66"/>
      <c r="AZ396" s="66">
        <f t="shared" si="234"/>
        <v>0</v>
      </c>
      <c r="BA396" s="30"/>
    </row>
    <row r="397" spans="1:53" ht="21.6" customHeight="1" x14ac:dyDescent="0.3">
      <c r="A397" s="2" t="s">
        <v>356</v>
      </c>
      <c r="B397" s="3" t="s">
        <v>171</v>
      </c>
      <c r="C397" s="3" t="s">
        <v>78</v>
      </c>
      <c r="D397" s="3" t="s">
        <v>53</v>
      </c>
      <c r="E397" s="3" t="s">
        <v>985</v>
      </c>
      <c r="F397" s="3" t="s">
        <v>986</v>
      </c>
      <c r="G397" s="144">
        <v>778</v>
      </c>
      <c r="H397" s="394">
        <v>46237</v>
      </c>
      <c r="I397" s="50">
        <v>46262</v>
      </c>
      <c r="J397" s="15">
        <f t="shared" si="226"/>
        <v>25</v>
      </c>
      <c r="K397" s="3" t="s">
        <v>70</v>
      </c>
      <c r="L397" s="3" t="s">
        <v>56</v>
      </c>
      <c r="M397" s="3" t="s">
        <v>186</v>
      </c>
      <c r="N397" s="3" t="s">
        <v>403</v>
      </c>
      <c r="O397" s="3" t="s">
        <v>59</v>
      </c>
      <c r="P397" s="8">
        <v>29502</v>
      </c>
      <c r="Q397" s="44" t="s">
        <v>100</v>
      </c>
      <c r="R397" s="35">
        <f t="shared" si="242"/>
        <v>46237</v>
      </c>
      <c r="S397" s="13" t="s">
        <v>61</v>
      </c>
      <c r="T397" s="35">
        <v>46246</v>
      </c>
      <c r="U397" s="37">
        <v>46246</v>
      </c>
      <c r="V397" s="37">
        <f t="shared" si="227"/>
        <v>46262</v>
      </c>
      <c r="W397" s="59">
        <f t="shared" si="237"/>
        <v>25</v>
      </c>
      <c r="X397" s="59">
        <f t="shared" si="238"/>
        <v>9</v>
      </c>
      <c r="Y397" s="59">
        <f t="shared" si="239"/>
        <v>16</v>
      </c>
      <c r="Z397" s="39"/>
      <c r="AA397" s="4" t="s">
        <v>887</v>
      </c>
      <c r="AB397" s="35"/>
      <c r="AC397" s="13"/>
      <c r="AD397" s="174"/>
      <c r="AE397" s="13"/>
      <c r="AF397" s="35" t="s">
        <v>939</v>
      </c>
      <c r="AG397" s="3" t="str">
        <f t="shared" si="228"/>
        <v>CIF</v>
      </c>
      <c r="AH397" s="13"/>
      <c r="AI397" s="36" t="e">
        <f>#REF!</f>
        <v>#REF!</v>
      </c>
      <c r="AJ397" s="36">
        <v>0</v>
      </c>
      <c r="AK397" s="142" t="e">
        <f t="shared" si="235"/>
        <v>#DIV/0!</v>
      </c>
      <c r="AL397" s="47"/>
      <c r="AM397" s="153"/>
      <c r="AN397" s="63">
        <f t="shared" si="236"/>
        <v>-46253</v>
      </c>
      <c r="AO397" s="34"/>
      <c r="AP397" s="64">
        <f t="shared" si="229"/>
        <v>46262</v>
      </c>
      <c r="AQ397" s="64">
        <f t="shared" si="231"/>
        <v>0</v>
      </c>
      <c r="AR397" s="65">
        <f t="shared" si="240"/>
        <v>25</v>
      </c>
      <c r="AS397" s="65">
        <f t="shared" si="241"/>
        <v>-46237</v>
      </c>
      <c r="AT397" s="157">
        <f t="shared" si="230"/>
        <v>46262</v>
      </c>
      <c r="AU397" s="28"/>
      <c r="AV397" s="28"/>
      <c r="AW397" s="109">
        <f t="shared" si="232"/>
        <v>0</v>
      </c>
      <c r="AX397" s="66">
        <f t="shared" si="233"/>
        <v>0</v>
      </c>
      <c r="AY397" s="66"/>
      <c r="AZ397" s="66">
        <f t="shared" si="234"/>
        <v>0</v>
      </c>
      <c r="BA397" s="30"/>
    </row>
    <row r="398" spans="1:53" ht="21.6" customHeight="1" x14ac:dyDescent="0.3">
      <c r="A398" s="2" t="s">
        <v>291</v>
      </c>
      <c r="B398" s="3" t="s">
        <v>292</v>
      </c>
      <c r="C398" s="3" t="s">
        <v>78</v>
      </c>
      <c r="D398" s="3"/>
      <c r="E398" s="3">
        <v>4500268946</v>
      </c>
      <c r="F398" s="3">
        <v>4800001245</v>
      </c>
      <c r="G398" s="144">
        <v>779</v>
      </c>
      <c r="H398" s="394">
        <v>46239</v>
      </c>
      <c r="I398" s="50">
        <v>46276</v>
      </c>
      <c r="J398" s="15">
        <f t="shared" si="226"/>
        <v>37</v>
      </c>
      <c r="K398" s="3" t="s">
        <v>55</v>
      </c>
      <c r="L398" s="3" t="s">
        <v>56</v>
      </c>
      <c r="M398" s="3" t="s">
        <v>294</v>
      </c>
      <c r="N398" s="3" t="s">
        <v>323</v>
      </c>
      <c r="O398" s="3" t="s">
        <v>59</v>
      </c>
      <c r="P398" s="8">
        <v>1235.5999999999999</v>
      </c>
      <c r="Q398" s="44" t="s">
        <v>100</v>
      </c>
      <c r="R398" s="35">
        <f t="shared" si="242"/>
        <v>46239</v>
      </c>
      <c r="S398" s="13" t="s">
        <v>61</v>
      </c>
      <c r="T398" s="35">
        <v>46248</v>
      </c>
      <c r="U398" s="37">
        <v>46246</v>
      </c>
      <c r="V398" s="37">
        <f t="shared" si="227"/>
        <v>46276</v>
      </c>
      <c r="W398" s="59">
        <f t="shared" si="237"/>
        <v>37</v>
      </c>
      <c r="X398" s="59">
        <f t="shared" si="238"/>
        <v>7</v>
      </c>
      <c r="Y398" s="59">
        <f t="shared" si="239"/>
        <v>30</v>
      </c>
      <c r="Z398" s="39"/>
      <c r="AA398" s="4" t="s">
        <v>887</v>
      </c>
      <c r="AB398" s="35"/>
      <c r="AC398" s="13"/>
      <c r="AD398" s="174"/>
      <c r="AE398" s="13"/>
      <c r="AF398" s="35" t="s">
        <v>939</v>
      </c>
      <c r="AG398" s="3" t="str">
        <f t="shared" si="228"/>
        <v>FOB</v>
      </c>
      <c r="AH398" s="13"/>
      <c r="AI398" s="36" t="e">
        <f>#REF!</f>
        <v>#REF!</v>
      </c>
      <c r="AJ398" s="36">
        <v>0</v>
      </c>
      <c r="AK398" s="142" t="e">
        <f t="shared" si="235"/>
        <v>#DIV/0!</v>
      </c>
      <c r="AL398" s="47"/>
      <c r="AM398" s="153"/>
      <c r="AN398" s="63">
        <f t="shared" si="236"/>
        <v>-46253</v>
      </c>
      <c r="AO398" s="34"/>
      <c r="AP398" s="64">
        <f t="shared" si="229"/>
        <v>46276</v>
      </c>
      <c r="AQ398" s="64">
        <f t="shared" si="231"/>
        <v>0</v>
      </c>
      <c r="AR398" s="65">
        <f t="shared" si="240"/>
        <v>37</v>
      </c>
      <c r="AS398" s="65">
        <f t="shared" si="241"/>
        <v>-46239</v>
      </c>
      <c r="AT398" s="157">
        <f t="shared" si="230"/>
        <v>46276</v>
      </c>
      <c r="AU398" s="28"/>
      <c r="AV398" s="28"/>
      <c r="AW398" s="109">
        <f t="shared" si="232"/>
        <v>0</v>
      </c>
      <c r="AX398" s="66">
        <f t="shared" si="233"/>
        <v>0</v>
      </c>
      <c r="AY398" s="66"/>
      <c r="AZ398" s="66">
        <f t="shared" si="234"/>
        <v>0</v>
      </c>
      <c r="BA398" s="30"/>
    </row>
    <row r="399" spans="1:53" ht="21.6" customHeight="1" x14ac:dyDescent="0.3">
      <c r="A399" s="2" t="s">
        <v>570</v>
      </c>
      <c r="B399" s="3" t="s">
        <v>51</v>
      </c>
      <c r="C399" s="3" t="s">
        <v>78</v>
      </c>
      <c r="D399" s="3">
        <v>4600675707</v>
      </c>
      <c r="E399" s="3">
        <v>4515444784</v>
      </c>
      <c r="F399" s="3" t="s">
        <v>53</v>
      </c>
      <c r="G399" s="144">
        <v>780</v>
      </c>
      <c r="H399" s="394">
        <v>46239</v>
      </c>
      <c r="I399" s="50">
        <v>46282</v>
      </c>
      <c r="J399" s="15">
        <f t="shared" si="226"/>
        <v>43</v>
      </c>
      <c r="K399" s="3" t="s">
        <v>70</v>
      </c>
      <c r="L399" s="3" t="s">
        <v>56</v>
      </c>
      <c r="M399" s="3" t="s">
        <v>57</v>
      </c>
      <c r="N399" s="3" t="s">
        <v>87</v>
      </c>
      <c r="O399" s="3" t="s">
        <v>59</v>
      </c>
      <c r="P399" s="8">
        <v>10877.26</v>
      </c>
      <c r="Q399" s="44" t="s">
        <v>100</v>
      </c>
      <c r="R399" s="35">
        <f t="shared" si="242"/>
        <v>46239</v>
      </c>
      <c r="S399" s="13" t="s">
        <v>610</v>
      </c>
      <c r="T399" s="35">
        <v>46260</v>
      </c>
      <c r="U399" s="37"/>
      <c r="V399" s="37">
        <f t="shared" si="227"/>
        <v>46282</v>
      </c>
      <c r="W399" s="59">
        <f t="shared" si="237"/>
        <v>43</v>
      </c>
      <c r="X399" s="59">
        <f t="shared" si="238"/>
        <v>-46239</v>
      </c>
      <c r="Y399" s="59">
        <f t="shared" si="239"/>
        <v>46282</v>
      </c>
      <c r="Z399" s="39"/>
      <c r="AA399" s="4" t="s">
        <v>758</v>
      </c>
      <c r="AB399" s="35">
        <v>46265</v>
      </c>
      <c r="AC399" s="13" t="s">
        <v>987</v>
      </c>
      <c r="AD399" s="174">
        <v>7897</v>
      </c>
      <c r="AE399" s="13"/>
      <c r="AF399" s="35"/>
      <c r="AG399" s="3" t="str">
        <f t="shared" si="228"/>
        <v>CIF</v>
      </c>
      <c r="AH399" s="13" t="s">
        <v>988</v>
      </c>
      <c r="AI399" s="36" t="e">
        <f>#REF!</f>
        <v>#REF!</v>
      </c>
      <c r="AJ399" s="36">
        <v>0</v>
      </c>
      <c r="AK399" s="142">
        <f t="shared" si="235"/>
        <v>0</v>
      </c>
      <c r="AL399" s="47"/>
      <c r="AM399" s="153"/>
      <c r="AN399" s="63">
        <f t="shared" si="236"/>
        <v>0</v>
      </c>
      <c r="AO399" s="34"/>
      <c r="AP399" s="64">
        <f t="shared" si="229"/>
        <v>46282</v>
      </c>
      <c r="AQ399" s="64">
        <f t="shared" si="231"/>
        <v>0</v>
      </c>
      <c r="AR399" s="65">
        <f t="shared" si="240"/>
        <v>43</v>
      </c>
      <c r="AS399" s="65">
        <f t="shared" si="241"/>
        <v>-46239</v>
      </c>
      <c r="AT399" s="157">
        <f t="shared" si="230"/>
        <v>46282</v>
      </c>
      <c r="AU399" s="28"/>
      <c r="AV399" s="28"/>
      <c r="AW399" s="109" t="str">
        <f t="shared" si="232"/>
        <v>10877,26</v>
      </c>
      <c r="AX399" s="66">
        <f t="shared" si="233"/>
        <v>0</v>
      </c>
      <c r="AY399" s="66"/>
      <c r="AZ399" s="66">
        <f t="shared" si="234"/>
        <v>0</v>
      </c>
      <c r="BA399" s="30"/>
    </row>
    <row r="400" spans="1:53" ht="21.6" customHeight="1" x14ac:dyDescent="0.3">
      <c r="A400" s="2" t="s">
        <v>90</v>
      </c>
      <c r="B400" s="3" t="s">
        <v>91</v>
      </c>
      <c r="C400" s="3" t="s">
        <v>78</v>
      </c>
      <c r="D400" s="3" t="s">
        <v>53</v>
      </c>
      <c r="E400" s="3">
        <v>4413890849</v>
      </c>
      <c r="F400" s="3" t="s">
        <v>53</v>
      </c>
      <c r="G400" s="144">
        <v>781</v>
      </c>
      <c r="H400" s="394">
        <v>46239</v>
      </c>
      <c r="I400" s="50">
        <v>46255</v>
      </c>
      <c r="J400" s="15">
        <f t="shared" si="226"/>
        <v>16</v>
      </c>
      <c r="K400" s="3" t="s">
        <v>70</v>
      </c>
      <c r="L400" s="3" t="s">
        <v>56</v>
      </c>
      <c r="M400" s="3" t="s">
        <v>92</v>
      </c>
      <c r="N400" s="3" t="s">
        <v>93</v>
      </c>
      <c r="O400" s="3" t="s">
        <v>59</v>
      </c>
      <c r="P400" s="8">
        <v>1204</v>
      </c>
      <c r="Q400" s="44" t="s">
        <v>100</v>
      </c>
      <c r="R400" s="35">
        <f t="shared" si="242"/>
        <v>46239</v>
      </c>
      <c r="S400" s="13" t="s">
        <v>61</v>
      </c>
      <c r="T400" s="35">
        <v>46252</v>
      </c>
      <c r="U400" s="37">
        <v>46251</v>
      </c>
      <c r="V400" s="37">
        <f t="shared" si="227"/>
        <v>46255</v>
      </c>
      <c r="W400" s="59">
        <f t="shared" si="237"/>
        <v>16</v>
      </c>
      <c r="X400" s="59">
        <f t="shared" si="238"/>
        <v>12</v>
      </c>
      <c r="Y400" s="59">
        <f t="shared" si="239"/>
        <v>4</v>
      </c>
      <c r="Z400" s="39"/>
      <c r="AA400" s="4" t="s">
        <v>887</v>
      </c>
      <c r="AB400" s="35">
        <v>46251</v>
      </c>
      <c r="AC400" s="13" t="s">
        <v>989</v>
      </c>
      <c r="AD400" s="174">
        <v>7841</v>
      </c>
      <c r="AE400" s="13"/>
      <c r="AF400" s="35" t="s">
        <v>915</v>
      </c>
      <c r="AG400" s="3" t="str">
        <f t="shared" si="228"/>
        <v>CIF</v>
      </c>
      <c r="AH400" s="13" t="s">
        <v>882</v>
      </c>
      <c r="AI400" s="36" t="e">
        <f>#REF!</f>
        <v>#REF!</v>
      </c>
      <c r="AJ400" s="36">
        <v>0</v>
      </c>
      <c r="AK400" s="142">
        <f t="shared" si="235"/>
        <v>0</v>
      </c>
      <c r="AL400" s="47"/>
      <c r="AM400" s="153"/>
      <c r="AN400" s="63">
        <f t="shared" si="236"/>
        <v>-46251</v>
      </c>
      <c r="AO400" s="34"/>
      <c r="AP400" s="64">
        <f t="shared" si="229"/>
        <v>46255</v>
      </c>
      <c r="AQ400" s="64">
        <f t="shared" si="231"/>
        <v>0</v>
      </c>
      <c r="AR400" s="65">
        <f t="shared" si="240"/>
        <v>16</v>
      </c>
      <c r="AS400" s="65">
        <f t="shared" si="241"/>
        <v>-46239</v>
      </c>
      <c r="AT400" s="157">
        <f t="shared" si="230"/>
        <v>46255</v>
      </c>
      <c r="AU400" s="28"/>
      <c r="AV400" s="28"/>
      <c r="AW400" s="109" t="str">
        <f t="shared" si="232"/>
        <v>1204,00</v>
      </c>
      <c r="AX400" s="66">
        <f t="shared" si="233"/>
        <v>0</v>
      </c>
      <c r="AY400" s="66"/>
      <c r="AZ400" s="66">
        <f t="shared" si="234"/>
        <v>0</v>
      </c>
      <c r="BA400" s="30"/>
    </row>
    <row r="401" spans="1:53" ht="21.6" customHeight="1" x14ac:dyDescent="0.3">
      <c r="A401" s="2" t="s">
        <v>90</v>
      </c>
      <c r="B401" s="3" t="s">
        <v>91</v>
      </c>
      <c r="C401" s="3" t="s">
        <v>78</v>
      </c>
      <c r="D401" s="3" t="s">
        <v>53</v>
      </c>
      <c r="E401" s="3">
        <v>4413880912</v>
      </c>
      <c r="F401" s="3" t="s">
        <v>53</v>
      </c>
      <c r="G401" s="144">
        <v>782</v>
      </c>
      <c r="H401" s="394">
        <v>46239</v>
      </c>
      <c r="I401" s="50">
        <v>46255</v>
      </c>
      <c r="J401" s="15">
        <f t="shared" si="226"/>
        <v>16</v>
      </c>
      <c r="K401" s="3" t="s">
        <v>70</v>
      </c>
      <c r="L401" s="3" t="s">
        <v>56</v>
      </c>
      <c r="M401" s="3" t="s">
        <v>92</v>
      </c>
      <c r="N401" s="3" t="s">
        <v>93</v>
      </c>
      <c r="O401" s="3" t="s">
        <v>59</v>
      </c>
      <c r="P401" s="8">
        <v>10270.31</v>
      </c>
      <c r="Q401" s="44" t="s">
        <v>100</v>
      </c>
      <c r="R401" s="35">
        <f t="shared" si="242"/>
        <v>46239</v>
      </c>
      <c r="S401" s="13" t="s">
        <v>61</v>
      </c>
      <c r="T401" s="35">
        <v>46252</v>
      </c>
      <c r="U401" s="37">
        <v>46251</v>
      </c>
      <c r="V401" s="37">
        <f t="shared" si="227"/>
        <v>46255</v>
      </c>
      <c r="W401" s="59">
        <f t="shared" si="237"/>
        <v>16</v>
      </c>
      <c r="X401" s="59">
        <f t="shared" si="238"/>
        <v>12</v>
      </c>
      <c r="Y401" s="59">
        <f t="shared" si="239"/>
        <v>4</v>
      </c>
      <c r="Z401" s="39"/>
      <c r="AA401" s="4" t="s">
        <v>887</v>
      </c>
      <c r="AB401" s="35">
        <v>46251</v>
      </c>
      <c r="AC401" s="13" t="s">
        <v>990</v>
      </c>
      <c r="AD401" s="174">
        <v>7842</v>
      </c>
      <c r="AE401" s="13"/>
      <c r="AF401" s="35" t="s">
        <v>915</v>
      </c>
      <c r="AG401" s="3" t="str">
        <f t="shared" si="228"/>
        <v>CIF</v>
      </c>
      <c r="AH401" s="13" t="s">
        <v>882</v>
      </c>
      <c r="AI401" s="36" t="e">
        <f>#REF!</f>
        <v>#REF!</v>
      </c>
      <c r="AJ401" s="36">
        <v>0</v>
      </c>
      <c r="AK401" s="142">
        <f t="shared" si="235"/>
        <v>0</v>
      </c>
      <c r="AL401" s="47"/>
      <c r="AM401" s="153"/>
      <c r="AN401" s="63">
        <f t="shared" si="236"/>
        <v>-46251</v>
      </c>
      <c r="AO401" s="34"/>
      <c r="AP401" s="64">
        <f t="shared" si="229"/>
        <v>46255</v>
      </c>
      <c r="AQ401" s="64">
        <f t="shared" si="231"/>
        <v>0</v>
      </c>
      <c r="AR401" s="65">
        <f t="shared" si="240"/>
        <v>16</v>
      </c>
      <c r="AS401" s="65">
        <f t="shared" si="241"/>
        <v>-46239</v>
      </c>
      <c r="AT401" s="157">
        <f t="shared" si="230"/>
        <v>46255</v>
      </c>
      <c r="AU401" s="28"/>
      <c r="AV401" s="28"/>
      <c r="AW401" s="109" t="str">
        <f t="shared" si="232"/>
        <v>10270,31</v>
      </c>
      <c r="AX401" s="66">
        <f t="shared" si="233"/>
        <v>0</v>
      </c>
      <c r="AY401" s="66"/>
      <c r="AZ401" s="66">
        <f t="shared" si="234"/>
        <v>0</v>
      </c>
      <c r="BA401" s="30"/>
    </row>
    <row r="402" spans="1:53" ht="21.6" customHeight="1" x14ac:dyDescent="0.3">
      <c r="A402" s="2" t="s">
        <v>964</v>
      </c>
      <c r="B402" s="3" t="s">
        <v>77</v>
      </c>
      <c r="C402" s="3" t="s">
        <v>78</v>
      </c>
      <c r="D402" s="3" t="s">
        <v>53</v>
      </c>
      <c r="E402" s="3" t="s">
        <v>991</v>
      </c>
      <c r="F402" s="3" t="s">
        <v>992</v>
      </c>
      <c r="G402" s="144">
        <v>783</v>
      </c>
      <c r="H402" s="394">
        <v>46240</v>
      </c>
      <c r="I402" s="50">
        <v>46259</v>
      </c>
      <c r="J402" s="15">
        <f t="shared" si="226"/>
        <v>19</v>
      </c>
      <c r="K402" s="3" t="s">
        <v>70</v>
      </c>
      <c r="L402" s="3" t="s">
        <v>56</v>
      </c>
      <c r="M402" s="3" t="s">
        <v>81</v>
      </c>
      <c r="N402" s="3" t="s">
        <v>497</v>
      </c>
      <c r="O402" s="3" t="s">
        <v>59</v>
      </c>
      <c r="P402" s="8">
        <v>5968.6</v>
      </c>
      <c r="Q402" s="44" t="s">
        <v>60</v>
      </c>
      <c r="R402" s="35">
        <f t="shared" si="242"/>
        <v>46240</v>
      </c>
      <c r="S402" s="13" t="s">
        <v>61</v>
      </c>
      <c r="T402" s="35">
        <v>46244</v>
      </c>
      <c r="U402" s="37">
        <v>46245</v>
      </c>
      <c r="V402" s="37">
        <f t="shared" si="227"/>
        <v>46259</v>
      </c>
      <c r="W402" s="59">
        <f t="shared" si="237"/>
        <v>19</v>
      </c>
      <c r="X402" s="59">
        <f t="shared" si="238"/>
        <v>5</v>
      </c>
      <c r="Y402" s="59">
        <f t="shared" si="239"/>
        <v>14</v>
      </c>
      <c r="Z402" s="39"/>
      <c r="AA402" s="4" t="s">
        <v>887</v>
      </c>
      <c r="AB402" s="35"/>
      <c r="AC402" s="13"/>
      <c r="AD402" s="174"/>
      <c r="AE402" s="13"/>
      <c r="AF402" s="35">
        <v>46364</v>
      </c>
      <c r="AG402" s="3" t="str">
        <f t="shared" si="228"/>
        <v>CIF</v>
      </c>
      <c r="AH402" s="13"/>
      <c r="AI402" s="36" t="e">
        <f>#REF!</f>
        <v>#REF!</v>
      </c>
      <c r="AJ402" s="36">
        <v>0</v>
      </c>
      <c r="AK402" s="142" t="e">
        <f t="shared" si="235"/>
        <v>#DIV/0!</v>
      </c>
      <c r="AL402" s="47"/>
      <c r="AM402" s="153"/>
      <c r="AN402" s="63">
        <f t="shared" si="236"/>
        <v>-46364</v>
      </c>
      <c r="AO402" s="34"/>
      <c r="AP402" s="64">
        <f t="shared" si="229"/>
        <v>46259</v>
      </c>
      <c r="AQ402" s="64">
        <f t="shared" si="231"/>
        <v>0</v>
      </c>
      <c r="AR402" s="65">
        <f t="shared" si="240"/>
        <v>19</v>
      </c>
      <c r="AS402" s="65">
        <f t="shared" si="241"/>
        <v>-46240</v>
      </c>
      <c r="AT402" s="157">
        <f t="shared" si="230"/>
        <v>46259</v>
      </c>
      <c r="AU402" s="28"/>
      <c r="AV402" s="28"/>
      <c r="AW402" s="109">
        <f t="shared" si="232"/>
        <v>0</v>
      </c>
      <c r="AX402" s="66">
        <f t="shared" si="233"/>
        <v>0</v>
      </c>
      <c r="AY402" s="66"/>
      <c r="AZ402" s="66">
        <f t="shared" si="234"/>
        <v>0</v>
      </c>
      <c r="BA402" s="30"/>
    </row>
    <row r="403" spans="1:53" ht="21.6" customHeight="1" x14ac:dyDescent="0.3">
      <c r="A403" s="2" t="s">
        <v>410</v>
      </c>
      <c r="B403" s="3" t="s">
        <v>96</v>
      </c>
      <c r="C403" s="3" t="s">
        <v>78</v>
      </c>
      <c r="D403" s="3" t="s">
        <v>53</v>
      </c>
      <c r="E403" s="3">
        <v>34050383</v>
      </c>
      <c r="F403" s="3" t="s">
        <v>53</v>
      </c>
      <c r="G403" s="144">
        <v>786</v>
      </c>
      <c r="H403" s="394">
        <v>46240</v>
      </c>
      <c r="I403" s="50">
        <v>46258</v>
      </c>
      <c r="J403" s="15">
        <f t="shared" si="226"/>
        <v>18</v>
      </c>
      <c r="K403" s="3" t="s">
        <v>70</v>
      </c>
      <c r="L403" s="3" t="s">
        <v>56</v>
      </c>
      <c r="M403" s="3" t="s">
        <v>98</v>
      </c>
      <c r="N403" s="3" t="s">
        <v>993</v>
      </c>
      <c r="O403" s="3" t="s">
        <v>59</v>
      </c>
      <c r="P403" s="8">
        <v>2012.19</v>
      </c>
      <c r="Q403" s="44" t="s">
        <v>60</v>
      </c>
      <c r="R403" s="35">
        <f t="shared" si="242"/>
        <v>46240</v>
      </c>
      <c r="S403" s="13" t="s">
        <v>61</v>
      </c>
      <c r="T403" s="35">
        <v>46244</v>
      </c>
      <c r="U403" s="37">
        <v>46245</v>
      </c>
      <c r="V403" s="37">
        <f t="shared" si="227"/>
        <v>46258</v>
      </c>
      <c r="W403" s="59">
        <f t="shared" si="237"/>
        <v>18</v>
      </c>
      <c r="X403" s="59">
        <f t="shared" si="238"/>
        <v>5</v>
      </c>
      <c r="Y403" s="59">
        <f t="shared" si="239"/>
        <v>13</v>
      </c>
      <c r="Z403" s="39"/>
      <c r="AA403" s="4" t="s">
        <v>887</v>
      </c>
      <c r="AB403" s="35"/>
      <c r="AC403" s="13"/>
      <c r="AD403" s="174"/>
      <c r="AE403" s="13"/>
      <c r="AF403" s="35">
        <v>46364</v>
      </c>
      <c r="AG403" s="3" t="str">
        <f t="shared" si="228"/>
        <v>CIF</v>
      </c>
      <c r="AH403" s="13"/>
      <c r="AI403" s="36" t="e">
        <f>#REF!</f>
        <v>#REF!</v>
      </c>
      <c r="AJ403" s="36">
        <v>0</v>
      </c>
      <c r="AK403" s="142" t="e">
        <f t="shared" si="235"/>
        <v>#DIV/0!</v>
      </c>
      <c r="AL403" s="47"/>
      <c r="AM403" s="153"/>
      <c r="AN403" s="63">
        <f t="shared" si="236"/>
        <v>-46364</v>
      </c>
      <c r="AO403" s="34"/>
      <c r="AP403" s="64">
        <f t="shared" ref="AP403:AP413" si="243">I403</f>
        <v>46258</v>
      </c>
      <c r="AQ403" s="64">
        <f t="shared" si="231"/>
        <v>0</v>
      </c>
      <c r="AR403" s="65">
        <f t="shared" si="240"/>
        <v>18</v>
      </c>
      <c r="AS403" s="65">
        <f t="shared" si="241"/>
        <v>-46240</v>
      </c>
      <c r="AT403" s="157">
        <f t="shared" si="230"/>
        <v>46258</v>
      </c>
      <c r="AU403" s="28"/>
      <c r="AV403" s="28"/>
      <c r="AW403" s="109">
        <f t="shared" si="232"/>
        <v>0</v>
      </c>
      <c r="AX403" s="66">
        <f t="shared" si="233"/>
        <v>0</v>
      </c>
      <c r="AY403" s="66"/>
      <c r="AZ403" s="66">
        <f t="shared" si="234"/>
        <v>0</v>
      </c>
      <c r="BA403" s="30"/>
    </row>
    <row r="404" spans="1:53" ht="21.6" customHeight="1" x14ac:dyDescent="0.3">
      <c r="A404" s="2" t="s">
        <v>76</v>
      </c>
      <c r="B404" s="3" t="s">
        <v>51</v>
      </c>
      <c r="C404" s="3" t="s">
        <v>78</v>
      </c>
      <c r="D404" s="3" t="s">
        <v>53</v>
      </c>
      <c r="E404" s="3">
        <v>3100049005</v>
      </c>
      <c r="F404" s="3" t="s">
        <v>994</v>
      </c>
      <c r="G404" s="144">
        <v>787</v>
      </c>
      <c r="H404" s="394">
        <v>46240</v>
      </c>
      <c r="I404" s="50">
        <v>46260</v>
      </c>
      <c r="J404" s="15">
        <f t="shared" si="226"/>
        <v>20</v>
      </c>
      <c r="K404" s="3" t="s">
        <v>55</v>
      </c>
      <c r="L404" s="3" t="s">
        <v>56</v>
      </c>
      <c r="M404" s="3" t="s">
        <v>57</v>
      </c>
      <c r="N404" s="3" t="s">
        <v>432</v>
      </c>
      <c r="O404" s="3" t="s">
        <v>59</v>
      </c>
      <c r="P404" s="8">
        <v>16330.81</v>
      </c>
      <c r="Q404" s="44" t="s">
        <v>100</v>
      </c>
      <c r="R404" s="35">
        <f t="shared" si="242"/>
        <v>46240</v>
      </c>
      <c r="S404" s="13" t="s">
        <v>61</v>
      </c>
      <c r="T404" s="35">
        <v>46260</v>
      </c>
      <c r="U404" s="37">
        <v>46260</v>
      </c>
      <c r="V404" s="37">
        <f t="shared" si="227"/>
        <v>46260</v>
      </c>
      <c r="W404" s="59">
        <f t="shared" si="237"/>
        <v>20</v>
      </c>
      <c r="X404" s="59">
        <f t="shared" si="238"/>
        <v>20</v>
      </c>
      <c r="Y404" s="59">
        <f t="shared" si="239"/>
        <v>0</v>
      </c>
      <c r="Z404" s="39"/>
      <c r="AA404" s="4" t="s">
        <v>995</v>
      </c>
      <c r="AB404" s="35"/>
      <c r="AC404" s="13"/>
      <c r="AD404" s="174"/>
      <c r="AE404" s="13"/>
      <c r="AF404" s="35"/>
      <c r="AG404" s="3" t="str">
        <f t="shared" si="228"/>
        <v>FOB</v>
      </c>
      <c r="AH404" s="13"/>
      <c r="AI404" s="36" t="e">
        <f>#REF!</f>
        <v>#REF!</v>
      </c>
      <c r="AJ404" s="36">
        <v>0</v>
      </c>
      <c r="AK404" s="142" t="e">
        <f t="shared" si="235"/>
        <v>#DIV/0!</v>
      </c>
      <c r="AL404" s="47"/>
      <c r="AM404" s="153"/>
      <c r="AN404" s="63">
        <f t="shared" si="236"/>
        <v>0</v>
      </c>
      <c r="AO404" s="34"/>
      <c r="AP404" s="64">
        <f t="shared" si="243"/>
        <v>46260</v>
      </c>
      <c r="AQ404" s="64">
        <f t="shared" si="231"/>
        <v>0</v>
      </c>
      <c r="AR404" s="65">
        <f t="shared" si="240"/>
        <v>20</v>
      </c>
      <c r="AS404" s="65">
        <f t="shared" si="241"/>
        <v>-46240</v>
      </c>
      <c r="AT404" s="157">
        <f t="shared" si="230"/>
        <v>46260</v>
      </c>
      <c r="AU404" s="28"/>
      <c r="AV404" s="28"/>
      <c r="AW404" s="109">
        <f t="shared" si="232"/>
        <v>0</v>
      </c>
      <c r="AX404" s="66">
        <f t="shared" si="233"/>
        <v>0</v>
      </c>
      <c r="AY404" s="66"/>
      <c r="AZ404" s="66">
        <f t="shared" si="234"/>
        <v>0</v>
      </c>
      <c r="BA404" s="30"/>
    </row>
    <row r="405" spans="1:53" ht="21.6" customHeight="1" x14ac:dyDescent="0.3">
      <c r="A405" s="2" t="s">
        <v>95</v>
      </c>
      <c r="B405" s="3" t="s">
        <v>903</v>
      </c>
      <c r="C405" s="3" t="s">
        <v>78</v>
      </c>
      <c r="D405" s="3">
        <v>113</v>
      </c>
      <c r="E405" s="3">
        <v>4500014851</v>
      </c>
      <c r="F405" s="3" t="s">
        <v>53</v>
      </c>
      <c r="G405" s="144">
        <v>789</v>
      </c>
      <c r="H405" s="394">
        <v>46241</v>
      </c>
      <c r="I405" s="50">
        <v>46268</v>
      </c>
      <c r="J405" s="15">
        <f t="shared" ref="J405" si="244">I405-H405</f>
        <v>27</v>
      </c>
      <c r="K405" s="3" t="s">
        <v>70</v>
      </c>
      <c r="L405" s="3" t="s">
        <v>56</v>
      </c>
      <c r="M405" s="3" t="s">
        <v>98</v>
      </c>
      <c r="N405" s="3" t="s">
        <v>99</v>
      </c>
      <c r="O405" s="3" t="s">
        <v>59</v>
      </c>
      <c r="P405" s="8">
        <v>38522.199999999997</v>
      </c>
      <c r="Q405" s="44" t="s">
        <v>100</v>
      </c>
      <c r="R405" s="35">
        <f t="shared" si="242"/>
        <v>46241</v>
      </c>
      <c r="S405" s="13" t="s">
        <v>61</v>
      </c>
      <c r="T405" s="35">
        <v>46260</v>
      </c>
      <c r="U405" s="37">
        <v>46262</v>
      </c>
      <c r="V405" s="37">
        <f t="shared" si="227"/>
        <v>46268</v>
      </c>
      <c r="W405" s="59">
        <f t="shared" si="237"/>
        <v>27</v>
      </c>
      <c r="X405" s="59">
        <f t="shared" si="238"/>
        <v>21</v>
      </c>
      <c r="Y405" s="59">
        <f t="shared" si="239"/>
        <v>6</v>
      </c>
      <c r="Z405" s="39"/>
      <c r="AA405" s="4" t="s">
        <v>758</v>
      </c>
      <c r="AB405" s="35"/>
      <c r="AC405" s="13"/>
      <c r="AD405" s="174"/>
      <c r="AE405" s="13"/>
      <c r="AF405" s="35" t="s">
        <v>996</v>
      </c>
      <c r="AG405" s="3" t="str">
        <f t="shared" si="228"/>
        <v>CIF</v>
      </c>
      <c r="AH405" s="13"/>
      <c r="AI405" s="36" t="e">
        <f>#REF!</f>
        <v>#REF!</v>
      </c>
      <c r="AJ405" s="36">
        <v>0</v>
      </c>
      <c r="AK405" s="142" t="e">
        <f t="shared" si="235"/>
        <v>#DIV/0!</v>
      </c>
      <c r="AL405" s="47"/>
      <c r="AM405" s="153"/>
      <c r="AN405" s="63">
        <f t="shared" si="236"/>
        <v>-46265</v>
      </c>
      <c r="AO405" s="34"/>
      <c r="AP405" s="64">
        <f t="shared" si="243"/>
        <v>46268</v>
      </c>
      <c r="AQ405" s="64">
        <f t="shared" si="231"/>
        <v>0</v>
      </c>
      <c r="AR405" s="65">
        <f t="shared" si="240"/>
        <v>27</v>
      </c>
      <c r="AS405" s="65">
        <f t="shared" si="241"/>
        <v>-46241</v>
      </c>
      <c r="AT405" s="157">
        <f t="shared" si="230"/>
        <v>46268</v>
      </c>
      <c r="AU405" s="28"/>
      <c r="AV405" s="28"/>
      <c r="AW405" s="109">
        <f t="shared" si="232"/>
        <v>0</v>
      </c>
      <c r="AX405" s="66">
        <f t="shared" si="233"/>
        <v>0</v>
      </c>
      <c r="AY405" s="66"/>
      <c r="AZ405" s="66">
        <f t="shared" si="234"/>
        <v>0</v>
      </c>
      <c r="BA405" s="30"/>
    </row>
    <row r="406" spans="1:53" ht="21.6" customHeight="1" x14ac:dyDescent="0.3">
      <c r="A406" s="2" t="s">
        <v>95</v>
      </c>
      <c r="B406" s="3" t="s">
        <v>903</v>
      </c>
      <c r="C406" s="3" t="s">
        <v>78</v>
      </c>
      <c r="D406" s="3">
        <v>113</v>
      </c>
      <c r="E406" s="3">
        <v>4500014874</v>
      </c>
      <c r="F406" s="3" t="s">
        <v>53</v>
      </c>
      <c r="G406" s="144">
        <v>791</v>
      </c>
      <c r="H406" s="394">
        <v>46244</v>
      </c>
      <c r="I406" s="50">
        <v>46276</v>
      </c>
      <c r="J406" s="15">
        <f t="shared" si="226"/>
        <v>32</v>
      </c>
      <c r="K406" s="3" t="s">
        <v>70</v>
      </c>
      <c r="L406" s="3" t="s">
        <v>56</v>
      </c>
      <c r="M406" s="3" t="s">
        <v>98</v>
      </c>
      <c r="N406" s="3" t="s">
        <v>99</v>
      </c>
      <c r="O406" s="3" t="s">
        <v>59</v>
      </c>
      <c r="P406" s="8">
        <v>15328.2</v>
      </c>
      <c r="Q406" s="44" t="s">
        <v>60</v>
      </c>
      <c r="R406" s="35">
        <f t="shared" si="242"/>
        <v>46244</v>
      </c>
      <c r="S406" s="13" t="s">
        <v>61</v>
      </c>
      <c r="T406" s="35">
        <v>46260</v>
      </c>
      <c r="U406" s="37">
        <v>46262</v>
      </c>
      <c r="V406" s="37">
        <f t="shared" si="227"/>
        <v>46276</v>
      </c>
      <c r="W406" s="59">
        <f t="shared" si="237"/>
        <v>32</v>
      </c>
      <c r="X406" s="59">
        <f t="shared" si="238"/>
        <v>18</v>
      </c>
      <c r="Y406" s="59">
        <f t="shared" si="239"/>
        <v>14</v>
      </c>
      <c r="Z406" s="39"/>
      <c r="AA406" s="4" t="s">
        <v>758</v>
      </c>
      <c r="AB406" s="35"/>
      <c r="AC406" s="13"/>
      <c r="AD406" s="174"/>
      <c r="AE406" s="13"/>
      <c r="AF406" s="35" t="s">
        <v>996</v>
      </c>
      <c r="AG406" s="3" t="str">
        <f t="shared" si="228"/>
        <v>CIF</v>
      </c>
      <c r="AH406" s="13"/>
      <c r="AI406" s="36" t="e">
        <f>#REF!</f>
        <v>#REF!</v>
      </c>
      <c r="AJ406" s="36">
        <v>0</v>
      </c>
      <c r="AK406" s="142" t="e">
        <f t="shared" si="235"/>
        <v>#DIV/0!</v>
      </c>
      <c r="AL406" s="47"/>
      <c r="AM406" s="153"/>
      <c r="AN406" s="63">
        <f t="shared" si="236"/>
        <v>-46265</v>
      </c>
      <c r="AO406" s="34"/>
      <c r="AP406" s="64">
        <f t="shared" si="243"/>
        <v>46276</v>
      </c>
      <c r="AQ406" s="64">
        <f t="shared" si="231"/>
        <v>0</v>
      </c>
      <c r="AR406" s="65">
        <f t="shared" si="240"/>
        <v>32</v>
      </c>
      <c r="AS406" s="65">
        <f t="shared" si="241"/>
        <v>-46244</v>
      </c>
      <c r="AT406" s="157">
        <f t="shared" si="230"/>
        <v>46276</v>
      </c>
      <c r="AU406" s="28"/>
      <c r="AV406" s="28"/>
      <c r="AW406" s="109">
        <f t="shared" si="232"/>
        <v>0</v>
      </c>
      <c r="AX406" s="66">
        <f t="shared" si="233"/>
        <v>0</v>
      </c>
      <c r="AY406" s="66"/>
      <c r="AZ406" s="66">
        <f t="shared" si="234"/>
        <v>0</v>
      </c>
      <c r="BA406" s="30"/>
    </row>
    <row r="407" spans="1:53" ht="21.6" customHeight="1" x14ac:dyDescent="0.3">
      <c r="A407" s="2" t="s">
        <v>570</v>
      </c>
      <c r="B407" s="3" t="s">
        <v>171</v>
      </c>
      <c r="C407" s="3" t="s">
        <v>78</v>
      </c>
      <c r="D407" s="3" t="s">
        <v>53</v>
      </c>
      <c r="E407" s="3">
        <v>4515486364</v>
      </c>
      <c r="F407" s="3" t="s">
        <v>997</v>
      </c>
      <c r="G407" s="144">
        <v>793</v>
      </c>
      <c r="H407" s="394">
        <v>46244</v>
      </c>
      <c r="I407" s="50">
        <v>46255</v>
      </c>
      <c r="J407" s="15">
        <f t="shared" si="226"/>
        <v>11</v>
      </c>
      <c r="K407" s="3" t="s">
        <v>70</v>
      </c>
      <c r="L407" s="3" t="s">
        <v>56</v>
      </c>
      <c r="M407" s="3" t="s">
        <v>173</v>
      </c>
      <c r="N407" s="3" t="s">
        <v>998</v>
      </c>
      <c r="O407" s="3" t="s">
        <v>59</v>
      </c>
      <c r="P407" s="8">
        <v>11228.96</v>
      </c>
      <c r="Q407" s="44" t="s">
        <v>60</v>
      </c>
      <c r="R407" s="35">
        <f t="shared" si="242"/>
        <v>46244</v>
      </c>
      <c r="S407" s="13" t="s">
        <v>61</v>
      </c>
      <c r="T407" s="35">
        <v>46247</v>
      </c>
      <c r="U407" s="37">
        <v>46247</v>
      </c>
      <c r="V407" s="37">
        <f t="shared" si="227"/>
        <v>46255</v>
      </c>
      <c r="W407" s="59">
        <f t="shared" si="237"/>
        <v>11</v>
      </c>
      <c r="X407" s="59">
        <f t="shared" si="238"/>
        <v>3</v>
      </c>
      <c r="Y407" s="59">
        <f t="shared" si="239"/>
        <v>8</v>
      </c>
      <c r="Z407" s="39"/>
      <c r="AA407" s="4" t="s">
        <v>887</v>
      </c>
      <c r="AB407" s="35"/>
      <c r="AC407" s="13"/>
      <c r="AD407" s="174"/>
      <c r="AE407" s="13"/>
      <c r="AF407" s="35" t="s">
        <v>915</v>
      </c>
      <c r="AG407" s="3" t="str">
        <f t="shared" si="228"/>
        <v>CIF</v>
      </c>
      <c r="AH407" s="13"/>
      <c r="AI407" s="36" t="e">
        <f>#REF!</f>
        <v>#REF!</v>
      </c>
      <c r="AJ407" s="36">
        <v>0</v>
      </c>
      <c r="AK407" s="142" t="e">
        <f t="shared" si="235"/>
        <v>#DIV/0!</v>
      </c>
      <c r="AL407" s="47"/>
      <c r="AM407" s="153"/>
      <c r="AN407" s="63">
        <f t="shared" si="236"/>
        <v>-46251</v>
      </c>
      <c r="AO407" s="34"/>
      <c r="AP407" s="64">
        <f t="shared" si="243"/>
        <v>46255</v>
      </c>
      <c r="AQ407" s="64">
        <f t="shared" si="231"/>
        <v>0</v>
      </c>
      <c r="AR407" s="65">
        <f t="shared" si="240"/>
        <v>11</v>
      </c>
      <c r="AS407" s="65">
        <f t="shared" si="241"/>
        <v>-46244</v>
      </c>
      <c r="AT407" s="157">
        <f t="shared" si="230"/>
        <v>46255</v>
      </c>
      <c r="AU407" s="28"/>
      <c r="AV407" s="28"/>
      <c r="AW407" s="109">
        <f t="shared" si="232"/>
        <v>0</v>
      </c>
      <c r="AX407" s="66">
        <f t="shared" si="233"/>
        <v>0</v>
      </c>
      <c r="AY407" s="66"/>
      <c r="AZ407" s="66">
        <f t="shared" si="234"/>
        <v>0</v>
      </c>
      <c r="BA407" s="30"/>
    </row>
    <row r="408" spans="1:53" ht="21.6" customHeight="1" x14ac:dyDescent="0.3">
      <c r="A408" s="2" t="s">
        <v>455</v>
      </c>
      <c r="B408" s="3" t="s">
        <v>91</v>
      </c>
      <c r="C408" s="3" t="s">
        <v>78</v>
      </c>
      <c r="D408" s="3" t="s">
        <v>53</v>
      </c>
      <c r="E408" s="3">
        <v>4500768278</v>
      </c>
      <c r="F408" s="3" t="s">
        <v>999</v>
      </c>
      <c r="G408" s="144" t="s">
        <v>1000</v>
      </c>
      <c r="H408" s="394">
        <v>46244</v>
      </c>
      <c r="I408" s="50">
        <v>46275</v>
      </c>
      <c r="J408" s="15">
        <f t="shared" si="226"/>
        <v>31</v>
      </c>
      <c r="K408" s="3" t="s">
        <v>55</v>
      </c>
      <c r="L408" s="3" t="s">
        <v>56</v>
      </c>
      <c r="M408" s="3" t="s">
        <v>92</v>
      </c>
      <c r="N408" s="3" t="s">
        <v>363</v>
      </c>
      <c r="O408" s="3" t="s">
        <v>59</v>
      </c>
      <c r="P408" s="8">
        <v>12600</v>
      </c>
      <c r="Q408" s="44" t="s">
        <v>60</v>
      </c>
      <c r="R408" s="35">
        <f t="shared" si="242"/>
        <v>46244</v>
      </c>
      <c r="S408" s="13" t="s">
        <v>61</v>
      </c>
      <c r="T408" s="35">
        <v>46259</v>
      </c>
      <c r="U408" s="37">
        <v>46261</v>
      </c>
      <c r="V408" s="37">
        <f t="shared" si="227"/>
        <v>46275</v>
      </c>
      <c r="W408" s="59">
        <f t="shared" si="237"/>
        <v>31</v>
      </c>
      <c r="X408" s="59">
        <f t="shared" si="238"/>
        <v>17</v>
      </c>
      <c r="Y408" s="59">
        <f t="shared" si="239"/>
        <v>14</v>
      </c>
      <c r="Z408" s="39"/>
      <c r="AA408" s="4" t="s">
        <v>758</v>
      </c>
      <c r="AB408" s="35">
        <v>46262</v>
      </c>
      <c r="AC408" s="13" t="s">
        <v>1001</v>
      </c>
      <c r="AD408" s="174">
        <v>6836</v>
      </c>
      <c r="AE408" s="13"/>
      <c r="AF408" s="35"/>
      <c r="AG408" s="3" t="str">
        <f t="shared" si="228"/>
        <v>FOB</v>
      </c>
      <c r="AH408" s="13"/>
      <c r="AI408" s="36" t="e">
        <f>#REF!</f>
        <v>#REF!</v>
      </c>
      <c r="AJ408" s="36">
        <v>0</v>
      </c>
      <c r="AK408" s="142">
        <f t="shared" si="235"/>
        <v>0</v>
      </c>
      <c r="AL408" s="47"/>
      <c r="AM408" s="153"/>
      <c r="AN408" s="63">
        <f t="shared" si="236"/>
        <v>0</v>
      </c>
      <c r="AO408" s="34"/>
      <c r="AP408" s="64">
        <f t="shared" si="243"/>
        <v>46275</v>
      </c>
      <c r="AQ408" s="64">
        <f t="shared" si="231"/>
        <v>0</v>
      </c>
      <c r="AR408" s="65">
        <f t="shared" si="240"/>
        <v>31</v>
      </c>
      <c r="AS408" s="65">
        <f t="shared" si="241"/>
        <v>-46244</v>
      </c>
      <c r="AT408" s="157">
        <f t="shared" si="230"/>
        <v>46275</v>
      </c>
      <c r="AU408" s="28"/>
      <c r="AV408" s="28"/>
      <c r="AW408" s="109" t="str">
        <f t="shared" si="232"/>
        <v>12600,00</v>
      </c>
      <c r="AX408" s="66">
        <f t="shared" si="233"/>
        <v>0</v>
      </c>
      <c r="AY408" s="66"/>
      <c r="AZ408" s="66">
        <f t="shared" si="234"/>
        <v>0</v>
      </c>
      <c r="BA408" s="30"/>
    </row>
    <row r="409" spans="1:53" ht="21.6" customHeight="1" x14ac:dyDescent="0.3">
      <c r="A409" s="2" t="s">
        <v>157</v>
      </c>
      <c r="B409" s="3" t="s">
        <v>96</v>
      </c>
      <c r="C409" s="3" t="s">
        <v>78</v>
      </c>
      <c r="D409" s="3" t="s">
        <v>53</v>
      </c>
      <c r="E409" s="3">
        <v>1528002</v>
      </c>
      <c r="F409" s="3" t="s">
        <v>53</v>
      </c>
      <c r="G409" s="144">
        <v>795</v>
      </c>
      <c r="H409" s="394">
        <v>46245</v>
      </c>
      <c r="I409" s="50">
        <v>46268</v>
      </c>
      <c r="J409" s="15">
        <f t="shared" si="226"/>
        <v>23</v>
      </c>
      <c r="K409" s="3" t="s">
        <v>70</v>
      </c>
      <c r="L409" s="3" t="s">
        <v>56</v>
      </c>
      <c r="M409" s="3" t="s">
        <v>159</v>
      </c>
      <c r="N409" s="3" t="s">
        <v>160</v>
      </c>
      <c r="O409" s="3" t="s">
        <v>59</v>
      </c>
      <c r="P409" s="8">
        <v>5568.8</v>
      </c>
      <c r="Q409" s="44" t="s">
        <v>100</v>
      </c>
      <c r="R409" s="35">
        <f t="shared" si="242"/>
        <v>46245</v>
      </c>
      <c r="S409" s="13" t="s">
        <v>61</v>
      </c>
      <c r="T409" s="35">
        <v>46252</v>
      </c>
      <c r="U409" s="37">
        <v>46255</v>
      </c>
      <c r="V409" s="37">
        <f t="shared" si="227"/>
        <v>46268</v>
      </c>
      <c r="W409" s="59">
        <f t="shared" si="237"/>
        <v>23</v>
      </c>
      <c r="X409" s="59">
        <f t="shared" si="238"/>
        <v>10</v>
      </c>
      <c r="Y409" s="59">
        <f t="shared" si="239"/>
        <v>13</v>
      </c>
      <c r="Z409" s="39"/>
      <c r="AA409" s="4" t="s">
        <v>948</v>
      </c>
      <c r="AB409" s="35">
        <v>46258</v>
      </c>
      <c r="AC409" s="13" t="s">
        <v>1002</v>
      </c>
      <c r="AD409" s="174">
        <v>7858</v>
      </c>
      <c r="AE409" s="13"/>
      <c r="AF409" s="35" t="s">
        <v>1003</v>
      </c>
      <c r="AG409" s="3" t="str">
        <f t="shared" si="228"/>
        <v>CIF</v>
      </c>
      <c r="AH409" s="13" t="s">
        <v>102</v>
      </c>
      <c r="AI409" s="36" t="e">
        <f>#REF!</f>
        <v>#REF!</v>
      </c>
      <c r="AJ409" s="36">
        <v>0</v>
      </c>
      <c r="AK409" s="142">
        <f t="shared" si="235"/>
        <v>0</v>
      </c>
      <c r="AL409" s="47"/>
      <c r="AM409" s="153"/>
      <c r="AN409" s="63">
        <f t="shared" si="236"/>
        <v>-46259</v>
      </c>
      <c r="AO409" s="34"/>
      <c r="AP409" s="64">
        <f t="shared" si="243"/>
        <v>46268</v>
      </c>
      <c r="AQ409" s="64">
        <f t="shared" si="231"/>
        <v>0</v>
      </c>
      <c r="AR409" s="65">
        <f t="shared" si="240"/>
        <v>23</v>
      </c>
      <c r="AS409" s="65">
        <f t="shared" si="241"/>
        <v>-46245</v>
      </c>
      <c r="AT409" s="157">
        <f t="shared" si="230"/>
        <v>46268</v>
      </c>
      <c r="AU409" s="28"/>
      <c r="AV409" s="28"/>
      <c r="AW409" s="109" t="str">
        <f t="shared" si="232"/>
        <v>5568,80</v>
      </c>
      <c r="AX409" s="66">
        <f t="shared" si="233"/>
        <v>0</v>
      </c>
      <c r="AY409" s="66"/>
      <c r="AZ409" s="66">
        <f t="shared" si="234"/>
        <v>0</v>
      </c>
      <c r="BA409" s="30"/>
    </row>
    <row r="410" spans="1:53" ht="21.6" customHeight="1" x14ac:dyDescent="0.3">
      <c r="A410" s="2" t="s">
        <v>122</v>
      </c>
      <c r="B410" s="3" t="s">
        <v>51</v>
      </c>
      <c r="C410" s="3" t="s">
        <v>78</v>
      </c>
      <c r="D410" s="3">
        <v>27</v>
      </c>
      <c r="E410" s="3">
        <v>555736626</v>
      </c>
      <c r="F410" s="3" t="s">
        <v>53</v>
      </c>
      <c r="G410" s="144">
        <v>796</v>
      </c>
      <c r="H410" s="394">
        <v>46245</v>
      </c>
      <c r="I410" s="50">
        <v>46292</v>
      </c>
      <c r="J410" s="15">
        <f t="shared" si="226"/>
        <v>47</v>
      </c>
      <c r="K410" s="3" t="s">
        <v>70</v>
      </c>
      <c r="L410" s="3" t="s">
        <v>56</v>
      </c>
      <c r="M410" s="3" t="s">
        <v>57</v>
      </c>
      <c r="N410" s="3" t="s">
        <v>432</v>
      </c>
      <c r="O410" s="3" t="s">
        <v>59</v>
      </c>
      <c r="P410" s="8">
        <v>103829.03</v>
      </c>
      <c r="Q410" s="44" t="s">
        <v>60</v>
      </c>
      <c r="R410" s="35">
        <f t="shared" si="242"/>
        <v>46245</v>
      </c>
      <c r="S410" s="13" t="s">
        <v>61</v>
      </c>
      <c r="T410" s="35">
        <v>46259</v>
      </c>
      <c r="U410" s="37">
        <v>46258</v>
      </c>
      <c r="V410" s="37">
        <f t="shared" si="227"/>
        <v>46292</v>
      </c>
      <c r="W410" s="59">
        <f t="shared" si="237"/>
        <v>47</v>
      </c>
      <c r="X410" s="59">
        <f t="shared" si="238"/>
        <v>13</v>
      </c>
      <c r="Y410" s="59">
        <f t="shared" si="239"/>
        <v>34</v>
      </c>
      <c r="Z410" s="39"/>
      <c r="AA410" s="4" t="s">
        <v>758</v>
      </c>
      <c r="AB410" s="35">
        <v>46265</v>
      </c>
      <c r="AC410" s="13" t="s">
        <v>1004</v>
      </c>
      <c r="AD410" s="174">
        <v>7891</v>
      </c>
      <c r="AE410" s="13"/>
      <c r="AF410" s="35"/>
      <c r="AG410" s="3" t="str">
        <f t="shared" si="228"/>
        <v>CIF</v>
      </c>
      <c r="AH410" s="13" t="s">
        <v>1005</v>
      </c>
      <c r="AI410" s="36" t="e">
        <f>#REF!</f>
        <v>#REF!</v>
      </c>
      <c r="AJ410" s="36">
        <v>0</v>
      </c>
      <c r="AK410" s="142">
        <f t="shared" si="235"/>
        <v>0</v>
      </c>
      <c r="AL410" s="47"/>
      <c r="AM410" s="153"/>
      <c r="AN410" s="63">
        <f t="shared" si="236"/>
        <v>0</v>
      </c>
      <c r="AO410" s="34"/>
      <c r="AP410" s="64">
        <f t="shared" si="243"/>
        <v>46292</v>
      </c>
      <c r="AQ410" s="64">
        <f t="shared" si="231"/>
        <v>0</v>
      </c>
      <c r="AR410" s="65">
        <f t="shared" si="240"/>
        <v>47</v>
      </c>
      <c r="AS410" s="65">
        <f t="shared" si="241"/>
        <v>-46245</v>
      </c>
      <c r="AT410" s="157">
        <f t="shared" si="230"/>
        <v>46292</v>
      </c>
      <c r="AU410" s="28"/>
      <c r="AV410" s="28"/>
      <c r="AW410" s="109" t="str">
        <f t="shared" si="232"/>
        <v>103829,03</v>
      </c>
      <c r="AX410" s="66">
        <f t="shared" si="233"/>
        <v>0</v>
      </c>
      <c r="AY410" s="66"/>
      <c r="AZ410" s="66">
        <f t="shared" si="234"/>
        <v>0</v>
      </c>
      <c r="BA410" s="30"/>
    </row>
    <row r="411" spans="1:53" ht="21.6" customHeight="1" x14ac:dyDescent="0.3">
      <c r="A411" s="2" t="s">
        <v>1006</v>
      </c>
      <c r="B411" s="3" t="s">
        <v>91</v>
      </c>
      <c r="C411" s="3" t="s">
        <v>78</v>
      </c>
      <c r="D411" s="3" t="s">
        <v>53</v>
      </c>
      <c r="E411" s="3" t="s">
        <v>1007</v>
      </c>
      <c r="F411" s="3" t="s">
        <v>1008</v>
      </c>
      <c r="G411" s="144">
        <v>797</v>
      </c>
      <c r="H411" s="394">
        <v>46246</v>
      </c>
      <c r="I411" s="50">
        <v>46276</v>
      </c>
      <c r="J411" s="15">
        <f t="shared" si="226"/>
        <v>30</v>
      </c>
      <c r="K411" s="3" t="s">
        <v>1009</v>
      </c>
      <c r="L411" s="3" t="s">
        <v>56</v>
      </c>
      <c r="M411" s="3" t="s">
        <v>92</v>
      </c>
      <c r="N411" s="3" t="s">
        <v>1010</v>
      </c>
      <c r="O411" s="3" t="s">
        <v>59</v>
      </c>
      <c r="P411" s="8">
        <v>2357.16</v>
      </c>
      <c r="Q411" s="44" t="s">
        <v>100</v>
      </c>
      <c r="R411" s="35">
        <f t="shared" si="242"/>
        <v>46246</v>
      </c>
      <c r="S411" s="13" t="s">
        <v>61</v>
      </c>
      <c r="T411" s="35">
        <v>46255</v>
      </c>
      <c r="U411" s="37">
        <v>46254</v>
      </c>
      <c r="V411" s="37">
        <f t="shared" si="227"/>
        <v>46276</v>
      </c>
      <c r="W411" s="59">
        <f t="shared" si="237"/>
        <v>30</v>
      </c>
      <c r="X411" s="59">
        <f t="shared" si="238"/>
        <v>8</v>
      </c>
      <c r="Y411" s="59">
        <f t="shared" si="239"/>
        <v>22</v>
      </c>
      <c r="Z411" s="39"/>
      <c r="AA411" s="4" t="s">
        <v>948</v>
      </c>
      <c r="AB411" s="35">
        <v>46258</v>
      </c>
      <c r="AC411" s="13" t="s">
        <v>1011</v>
      </c>
      <c r="AD411" s="174">
        <v>7862</v>
      </c>
      <c r="AE411" s="13"/>
      <c r="AF411" s="35" t="s">
        <v>950</v>
      </c>
      <c r="AG411" s="3" t="str">
        <f t="shared" si="228"/>
        <v>CIF (SEDEX)</v>
      </c>
      <c r="AH411" s="168" t="s">
        <v>1012</v>
      </c>
      <c r="AI411" s="36" t="e">
        <f>#REF!</f>
        <v>#REF!</v>
      </c>
      <c r="AJ411" s="36">
        <v>0</v>
      </c>
      <c r="AK411" s="142">
        <f t="shared" si="235"/>
        <v>0</v>
      </c>
      <c r="AL411" s="47"/>
      <c r="AM411" s="153"/>
      <c r="AN411" s="63">
        <f t="shared" si="236"/>
        <v>-46258</v>
      </c>
      <c r="AO411" s="34"/>
      <c r="AP411" s="64">
        <f t="shared" si="243"/>
        <v>46276</v>
      </c>
      <c r="AQ411" s="64">
        <f t="shared" si="231"/>
        <v>0</v>
      </c>
      <c r="AR411" s="65">
        <f t="shared" si="240"/>
        <v>30</v>
      </c>
      <c r="AS411" s="65">
        <f t="shared" si="241"/>
        <v>-46246</v>
      </c>
      <c r="AT411" s="157">
        <f t="shared" si="230"/>
        <v>46276</v>
      </c>
      <c r="AU411" s="28"/>
      <c r="AV411" s="28"/>
      <c r="AW411" s="109" t="str">
        <f t="shared" si="232"/>
        <v>2357,16</v>
      </c>
      <c r="AX411" s="66">
        <f t="shared" si="233"/>
        <v>0</v>
      </c>
      <c r="AY411" s="66"/>
      <c r="AZ411" s="66">
        <f t="shared" si="234"/>
        <v>0</v>
      </c>
      <c r="BA411" s="30"/>
    </row>
    <row r="412" spans="1:53" ht="21.6" customHeight="1" x14ac:dyDescent="0.3">
      <c r="A412" s="2" t="s">
        <v>1013</v>
      </c>
      <c r="B412" s="3" t="s">
        <v>51</v>
      </c>
      <c r="C412" s="3" t="s">
        <v>78</v>
      </c>
      <c r="D412" s="3" t="s">
        <v>53</v>
      </c>
      <c r="E412" s="3" t="s">
        <v>1014</v>
      </c>
      <c r="F412" s="3" t="s">
        <v>1015</v>
      </c>
      <c r="G412" s="144">
        <v>798</v>
      </c>
      <c r="H412" s="394">
        <v>46246</v>
      </c>
      <c r="I412" s="50">
        <v>46262</v>
      </c>
      <c r="J412" s="15">
        <f t="shared" si="226"/>
        <v>16</v>
      </c>
      <c r="K412" s="3" t="s">
        <v>70</v>
      </c>
      <c r="L412" s="3" t="s">
        <v>56</v>
      </c>
      <c r="M412" s="3" t="s">
        <v>57</v>
      </c>
      <c r="N412" s="3" t="s">
        <v>87</v>
      </c>
      <c r="O412" s="3" t="s">
        <v>59</v>
      </c>
      <c r="P412" s="8">
        <v>9311.06</v>
      </c>
      <c r="Q412" s="44" t="s">
        <v>100</v>
      </c>
      <c r="R412" s="35">
        <f t="shared" si="242"/>
        <v>46246</v>
      </c>
      <c r="S412" s="13" t="s">
        <v>61</v>
      </c>
      <c r="T412" s="35">
        <v>46252</v>
      </c>
      <c r="U412" s="37">
        <v>46252</v>
      </c>
      <c r="V412" s="37">
        <f t="shared" si="227"/>
        <v>46262</v>
      </c>
      <c r="W412" s="59">
        <f t="shared" si="237"/>
        <v>16</v>
      </c>
      <c r="X412" s="59">
        <f t="shared" si="238"/>
        <v>6</v>
      </c>
      <c r="Y412" s="59">
        <f t="shared" si="239"/>
        <v>10</v>
      </c>
      <c r="Z412" s="39"/>
      <c r="AA412" s="4" t="s">
        <v>948</v>
      </c>
      <c r="AB412" s="35"/>
      <c r="AC412" s="13"/>
      <c r="AD412" s="174"/>
      <c r="AE412" s="13"/>
      <c r="AF412" s="35"/>
      <c r="AG412" s="3" t="str">
        <f t="shared" si="228"/>
        <v>CIF</v>
      </c>
      <c r="AH412" s="13"/>
      <c r="AI412" s="36" t="e">
        <f>#REF!</f>
        <v>#REF!</v>
      </c>
      <c r="AJ412" s="36">
        <v>0</v>
      </c>
      <c r="AK412" s="142" t="e">
        <f t="shared" si="235"/>
        <v>#DIV/0!</v>
      </c>
      <c r="AL412" s="47"/>
      <c r="AM412" s="153"/>
      <c r="AN412" s="63">
        <f t="shared" si="236"/>
        <v>0</v>
      </c>
      <c r="AO412" s="34"/>
      <c r="AP412" s="64">
        <f t="shared" si="243"/>
        <v>46262</v>
      </c>
      <c r="AQ412" s="64">
        <f t="shared" si="231"/>
        <v>0</v>
      </c>
      <c r="AR412" s="65">
        <f t="shared" si="240"/>
        <v>16</v>
      </c>
      <c r="AS412" s="65">
        <f t="shared" si="241"/>
        <v>-46246</v>
      </c>
      <c r="AT412" s="157">
        <f t="shared" si="230"/>
        <v>46262</v>
      </c>
      <c r="AU412" s="28"/>
      <c r="AV412" s="28"/>
      <c r="AW412" s="109">
        <f t="shared" si="232"/>
        <v>0</v>
      </c>
      <c r="AX412" s="66">
        <f t="shared" si="233"/>
        <v>0</v>
      </c>
      <c r="AY412" s="66"/>
      <c r="AZ412" s="66">
        <f t="shared" si="234"/>
        <v>0</v>
      </c>
      <c r="BA412" s="30"/>
    </row>
    <row r="413" spans="1:53" ht="21.6" customHeight="1" x14ac:dyDescent="0.3">
      <c r="A413" s="2" t="s">
        <v>1013</v>
      </c>
      <c r="B413" s="3" t="s">
        <v>51</v>
      </c>
      <c r="C413" s="3" t="s">
        <v>78</v>
      </c>
      <c r="D413" s="3" t="s">
        <v>53</v>
      </c>
      <c r="E413" s="3" t="s">
        <v>1016</v>
      </c>
      <c r="F413" s="3" t="s">
        <v>1017</v>
      </c>
      <c r="G413" s="144">
        <v>800</v>
      </c>
      <c r="H413" s="394">
        <v>46246</v>
      </c>
      <c r="I413" s="50">
        <v>46266</v>
      </c>
      <c r="J413" s="15">
        <f t="shared" si="226"/>
        <v>20</v>
      </c>
      <c r="K413" s="3" t="s">
        <v>70</v>
      </c>
      <c r="L413" s="3" t="s">
        <v>56</v>
      </c>
      <c r="M413" s="3" t="s">
        <v>81</v>
      </c>
      <c r="N413" s="3" t="s">
        <v>664</v>
      </c>
      <c r="O413" s="3" t="s">
        <v>59</v>
      </c>
      <c r="P413" s="8">
        <v>7633.83</v>
      </c>
      <c r="Q413" s="44" t="s">
        <v>100</v>
      </c>
      <c r="R413" s="35">
        <f t="shared" si="242"/>
        <v>46246</v>
      </c>
      <c r="S413" s="13" t="s">
        <v>61</v>
      </c>
      <c r="T413" s="35">
        <v>46252</v>
      </c>
      <c r="U413" s="37">
        <v>46252</v>
      </c>
      <c r="V413" s="37">
        <f t="shared" si="227"/>
        <v>46266</v>
      </c>
      <c r="W413" s="59">
        <f t="shared" si="237"/>
        <v>20</v>
      </c>
      <c r="X413" s="59">
        <f t="shared" si="238"/>
        <v>6</v>
      </c>
      <c r="Y413" s="59">
        <f t="shared" si="239"/>
        <v>14</v>
      </c>
      <c r="Z413" s="39"/>
      <c r="AA413" s="4" t="s">
        <v>948</v>
      </c>
      <c r="AB413" s="35"/>
      <c r="AC413" s="13"/>
      <c r="AD413" s="174"/>
      <c r="AE413" s="13"/>
      <c r="AF413" s="35"/>
      <c r="AG413" s="3" t="str">
        <f t="shared" si="228"/>
        <v>CIF</v>
      </c>
      <c r="AH413" s="13"/>
      <c r="AI413" s="36" t="e">
        <f>#REF!</f>
        <v>#REF!</v>
      </c>
      <c r="AJ413" s="36">
        <v>0</v>
      </c>
      <c r="AK413" s="142" t="e">
        <f t="shared" si="235"/>
        <v>#DIV/0!</v>
      </c>
      <c r="AL413" s="47"/>
      <c r="AM413" s="153"/>
      <c r="AN413" s="63">
        <f t="shared" si="236"/>
        <v>0</v>
      </c>
      <c r="AO413" s="34"/>
      <c r="AP413" s="64">
        <f t="shared" si="243"/>
        <v>46266</v>
      </c>
      <c r="AQ413" s="64">
        <f t="shared" si="231"/>
        <v>0</v>
      </c>
      <c r="AR413" s="65">
        <f t="shared" si="240"/>
        <v>20</v>
      </c>
      <c r="AS413" s="65">
        <f t="shared" si="241"/>
        <v>-46246</v>
      </c>
      <c r="AT413" s="157">
        <f t="shared" si="230"/>
        <v>46266</v>
      </c>
      <c r="AU413" s="28"/>
      <c r="AV413" s="28"/>
      <c r="AW413" s="109">
        <f t="shared" si="232"/>
        <v>0</v>
      </c>
      <c r="AX413" s="66">
        <f t="shared" si="233"/>
        <v>0</v>
      </c>
      <c r="AY413" s="66"/>
      <c r="AZ413" s="66">
        <f t="shared" si="234"/>
        <v>0</v>
      </c>
      <c r="BA413" s="30"/>
    </row>
    <row r="414" spans="1:53" ht="21.6" customHeight="1" x14ac:dyDescent="0.3">
      <c r="A414" s="2" t="s">
        <v>692</v>
      </c>
      <c r="B414" s="3" t="s">
        <v>96</v>
      </c>
      <c r="C414" s="3" t="s">
        <v>78</v>
      </c>
      <c r="D414" s="3"/>
      <c r="E414" s="3"/>
      <c r="F414" s="3"/>
      <c r="G414" s="144">
        <v>784</v>
      </c>
      <c r="H414" s="394">
        <v>46240</v>
      </c>
      <c r="I414" s="50">
        <v>46248</v>
      </c>
      <c r="J414" s="15">
        <f t="shared" si="226"/>
        <v>8</v>
      </c>
      <c r="K414" s="3" t="s">
        <v>55</v>
      </c>
      <c r="L414" s="3" t="s">
        <v>56</v>
      </c>
      <c r="M414" s="3" t="s">
        <v>98</v>
      </c>
      <c r="N414" s="3" t="s">
        <v>99</v>
      </c>
      <c r="O414" s="3" t="s">
        <v>59</v>
      </c>
      <c r="P414" s="8">
        <v>5150.7</v>
      </c>
      <c r="Q414" s="44" t="s">
        <v>60</v>
      </c>
      <c r="R414" s="35">
        <f t="shared" si="242"/>
        <v>46240</v>
      </c>
      <c r="S414" s="13" t="s">
        <v>61</v>
      </c>
      <c r="T414" s="35">
        <v>46246</v>
      </c>
      <c r="U414" s="37">
        <v>46246</v>
      </c>
      <c r="V414" s="37">
        <f t="shared" si="227"/>
        <v>46248</v>
      </c>
      <c r="W414" s="59">
        <f t="shared" si="237"/>
        <v>8</v>
      </c>
      <c r="X414" s="59">
        <f t="shared" si="238"/>
        <v>6</v>
      </c>
      <c r="Y414" s="59">
        <f t="shared" si="239"/>
        <v>2</v>
      </c>
      <c r="Z414" s="39"/>
      <c r="AA414" s="4" t="s">
        <v>887</v>
      </c>
      <c r="AB414" s="35"/>
      <c r="AC414" s="13"/>
      <c r="AD414" s="174"/>
      <c r="AE414" s="13"/>
      <c r="AF414" s="35">
        <v>46364</v>
      </c>
      <c r="AG414" s="3" t="str">
        <f t="shared" si="228"/>
        <v>FOB</v>
      </c>
      <c r="AH414" s="13"/>
      <c r="AI414" s="36" t="e">
        <f>#REF!</f>
        <v>#REF!</v>
      </c>
      <c r="AJ414" s="36">
        <v>0</v>
      </c>
      <c r="AK414" s="142" t="e">
        <f t="shared" si="235"/>
        <v>#DIV/0!</v>
      </c>
      <c r="AL414" s="47"/>
      <c r="AM414" s="153"/>
      <c r="AN414" s="63">
        <f t="shared" si="236"/>
        <v>-46364</v>
      </c>
      <c r="AO414" s="29"/>
      <c r="AP414" s="28">
        <f>I414</f>
        <v>46248</v>
      </c>
      <c r="AQ414" s="64">
        <f t="shared" si="231"/>
        <v>0</v>
      </c>
      <c r="AR414" s="28">
        <f>AP414-H414</f>
        <v>8</v>
      </c>
      <c r="AS414" s="28">
        <f>AM414-H414</f>
        <v>-46240</v>
      </c>
      <c r="AT414" s="157">
        <f t="shared" si="230"/>
        <v>46248</v>
      </c>
      <c r="AU414" s="28"/>
      <c r="AV414" s="28"/>
      <c r="AW414" s="109">
        <f t="shared" si="232"/>
        <v>0</v>
      </c>
      <c r="AX414" s="66">
        <f t="shared" si="233"/>
        <v>0</v>
      </c>
      <c r="AY414" s="66"/>
      <c r="AZ414" s="66">
        <f t="shared" si="234"/>
        <v>0</v>
      </c>
      <c r="BA414" s="30"/>
    </row>
    <row r="415" spans="1:53" ht="21.6" customHeight="1" x14ac:dyDescent="0.3">
      <c r="A415" s="2" t="s">
        <v>192</v>
      </c>
      <c r="B415" s="3" t="s">
        <v>171</v>
      </c>
      <c r="C415" s="3" t="s">
        <v>78</v>
      </c>
      <c r="D415" s="3">
        <v>4600000028</v>
      </c>
      <c r="E415" s="3" t="s">
        <v>1018</v>
      </c>
      <c r="F415" s="3"/>
      <c r="G415" s="144">
        <v>801</v>
      </c>
      <c r="H415" s="394">
        <v>46246</v>
      </c>
      <c r="I415" s="50">
        <v>46255</v>
      </c>
      <c r="J415" s="15">
        <f t="shared" si="226"/>
        <v>9</v>
      </c>
      <c r="K415" s="3" t="s">
        <v>55</v>
      </c>
      <c r="L415" s="3" t="s">
        <v>56</v>
      </c>
      <c r="M415" s="3" t="s">
        <v>186</v>
      </c>
      <c r="N415" s="3" t="s">
        <v>554</v>
      </c>
      <c r="O415" s="3" t="s">
        <v>59</v>
      </c>
      <c r="P415" s="8">
        <v>944.91</v>
      </c>
      <c r="Q415" s="44" t="s">
        <v>60</v>
      </c>
      <c r="R415" s="35">
        <f t="shared" si="242"/>
        <v>46246</v>
      </c>
      <c r="S415" s="13" t="s">
        <v>61</v>
      </c>
      <c r="T415" s="35">
        <v>46253</v>
      </c>
      <c r="U415" s="37">
        <v>46252</v>
      </c>
      <c r="V415" s="37">
        <f t="shared" si="227"/>
        <v>46255</v>
      </c>
      <c r="W415" s="59">
        <f t="shared" si="237"/>
        <v>9</v>
      </c>
      <c r="X415" s="59">
        <f t="shared" si="238"/>
        <v>6</v>
      </c>
      <c r="Y415" s="59">
        <f t="shared" si="239"/>
        <v>3</v>
      </c>
      <c r="Z415" s="39"/>
      <c r="AA415" s="4" t="s">
        <v>948</v>
      </c>
      <c r="AB415" s="35">
        <v>46253</v>
      </c>
      <c r="AC415" s="13" t="s">
        <v>1019</v>
      </c>
      <c r="AD415" s="174">
        <v>7845</v>
      </c>
      <c r="AE415" s="13"/>
      <c r="AF415" s="35" t="s">
        <v>950</v>
      </c>
      <c r="AG415" s="3" t="str">
        <f t="shared" si="228"/>
        <v>FOB</v>
      </c>
      <c r="AH415" s="13"/>
      <c r="AI415" s="36" t="e">
        <f>#REF!</f>
        <v>#REF!</v>
      </c>
      <c r="AJ415" s="36">
        <v>0</v>
      </c>
      <c r="AK415" s="142">
        <f t="shared" ref="AK415:AK446" si="245">AJ415/AC415</f>
        <v>0</v>
      </c>
      <c r="AL415" s="47"/>
      <c r="AM415" s="153"/>
      <c r="AN415" s="63">
        <f t="shared" si="236"/>
        <v>-46258</v>
      </c>
      <c r="AO415" s="29"/>
      <c r="AP415" s="28"/>
      <c r="AQ415" s="64">
        <f t="shared" si="231"/>
        <v>0</v>
      </c>
      <c r="AR415" s="28"/>
      <c r="AS415" s="28"/>
      <c r="AT415" s="157">
        <f t="shared" si="230"/>
        <v>0</v>
      </c>
      <c r="AU415" s="28"/>
      <c r="AV415" s="28"/>
      <c r="AW415" s="109" t="str">
        <f t="shared" si="232"/>
        <v>944,91</v>
      </c>
      <c r="AX415" s="66">
        <f t="shared" si="233"/>
        <v>0</v>
      </c>
      <c r="AY415" s="66"/>
      <c r="AZ415" s="66">
        <f t="shared" si="234"/>
        <v>0</v>
      </c>
      <c r="BA415" s="30"/>
    </row>
    <row r="416" spans="1:53" ht="21.6" customHeight="1" x14ac:dyDescent="0.3">
      <c r="A416" s="2" t="s">
        <v>469</v>
      </c>
      <c r="B416" s="3" t="s">
        <v>96</v>
      </c>
      <c r="C416" s="3" t="s">
        <v>78</v>
      </c>
      <c r="D416" s="3" t="s">
        <v>1020</v>
      </c>
      <c r="E416" s="3">
        <v>2</v>
      </c>
      <c r="F416" s="3" t="s">
        <v>1021</v>
      </c>
      <c r="G416" s="144">
        <v>802</v>
      </c>
      <c r="H416" s="394">
        <v>46246</v>
      </c>
      <c r="I416" s="50">
        <v>46277</v>
      </c>
      <c r="J416" s="15">
        <f t="shared" si="226"/>
        <v>31</v>
      </c>
      <c r="K416" s="3" t="s">
        <v>55</v>
      </c>
      <c r="L416" s="3" t="s">
        <v>56</v>
      </c>
      <c r="M416" s="3" t="s">
        <v>255</v>
      </c>
      <c r="N416" s="3" t="s">
        <v>1022</v>
      </c>
      <c r="O416" s="3" t="s">
        <v>59</v>
      </c>
      <c r="P416" s="8">
        <v>2436.88</v>
      </c>
      <c r="Q416" s="44" t="s">
        <v>100</v>
      </c>
      <c r="R416" s="35">
        <f t="shared" si="242"/>
        <v>46246</v>
      </c>
      <c r="S416" s="13" t="s">
        <v>61</v>
      </c>
      <c r="T416" s="35">
        <v>46255</v>
      </c>
      <c r="U416" s="37">
        <v>46252</v>
      </c>
      <c r="V416" s="37">
        <f t="shared" si="227"/>
        <v>46277</v>
      </c>
      <c r="W416" s="59">
        <f t="shared" si="237"/>
        <v>31</v>
      </c>
      <c r="X416" s="59">
        <f t="shared" si="238"/>
        <v>6</v>
      </c>
      <c r="Y416" s="59">
        <f t="shared" si="239"/>
        <v>25</v>
      </c>
      <c r="Z416" s="39"/>
      <c r="AA416" s="4" t="s">
        <v>948</v>
      </c>
      <c r="AB416" s="35">
        <v>46262</v>
      </c>
      <c r="AC416" s="13" t="s">
        <v>1023</v>
      </c>
      <c r="AD416" s="174">
        <v>7881</v>
      </c>
      <c r="AE416" s="13"/>
      <c r="AF416" s="35"/>
      <c r="AG416" s="3" t="str">
        <f t="shared" si="228"/>
        <v>FOB</v>
      </c>
      <c r="AH416" s="13"/>
      <c r="AI416" s="36" t="e">
        <f>#REF!</f>
        <v>#REF!</v>
      </c>
      <c r="AJ416" s="36">
        <v>0</v>
      </c>
      <c r="AK416" s="142">
        <f t="shared" si="245"/>
        <v>0</v>
      </c>
      <c r="AL416" s="47"/>
      <c r="AM416" s="153"/>
      <c r="AN416" s="63">
        <f t="shared" si="236"/>
        <v>0</v>
      </c>
      <c r="AO416" s="29"/>
      <c r="AP416" s="28"/>
      <c r="AQ416" s="64">
        <f t="shared" si="231"/>
        <v>0</v>
      </c>
      <c r="AR416" s="28"/>
      <c r="AS416" s="28"/>
      <c r="AT416" s="157">
        <f t="shared" si="230"/>
        <v>0</v>
      </c>
      <c r="AU416" s="28"/>
      <c r="AV416" s="28"/>
      <c r="AW416" s="109" t="str">
        <f t="shared" si="232"/>
        <v>2436,88</v>
      </c>
      <c r="AX416" s="66">
        <f t="shared" si="233"/>
        <v>0</v>
      </c>
      <c r="AY416" s="66"/>
      <c r="AZ416" s="66">
        <f t="shared" si="234"/>
        <v>0</v>
      </c>
      <c r="BA416" s="30"/>
    </row>
    <row r="417" spans="1:53" ht="21.6" customHeight="1" x14ac:dyDescent="0.3">
      <c r="A417" s="2" t="s">
        <v>1013</v>
      </c>
      <c r="B417" s="3" t="s">
        <v>51</v>
      </c>
      <c r="C417" s="3" t="s">
        <v>78</v>
      </c>
      <c r="D417" s="3" t="s">
        <v>53</v>
      </c>
      <c r="E417" s="3">
        <v>1194</v>
      </c>
      <c r="F417" s="3" t="s">
        <v>1024</v>
      </c>
      <c r="G417" s="144">
        <v>804</v>
      </c>
      <c r="H417" s="394">
        <v>46246</v>
      </c>
      <c r="I417" s="50">
        <v>46266</v>
      </c>
      <c r="J417" s="15">
        <f t="shared" si="226"/>
        <v>20</v>
      </c>
      <c r="K417" s="3" t="s">
        <v>70</v>
      </c>
      <c r="L417" s="3" t="s">
        <v>56</v>
      </c>
      <c r="M417" s="3" t="s">
        <v>57</v>
      </c>
      <c r="N417" s="3" t="s">
        <v>87</v>
      </c>
      <c r="O417" s="3" t="s">
        <v>59</v>
      </c>
      <c r="P417" s="8">
        <v>9311.06</v>
      </c>
      <c r="Q417" s="44" t="s">
        <v>100</v>
      </c>
      <c r="R417" s="35">
        <f t="shared" si="242"/>
        <v>46246</v>
      </c>
      <c r="S417" s="13" t="s">
        <v>61</v>
      </c>
      <c r="T417" s="35">
        <v>46255</v>
      </c>
      <c r="U417" s="37">
        <v>46252</v>
      </c>
      <c r="V417" s="37">
        <f t="shared" si="227"/>
        <v>46266</v>
      </c>
      <c r="W417" s="59">
        <f t="shared" si="237"/>
        <v>20</v>
      </c>
      <c r="X417" s="59">
        <f t="shared" si="238"/>
        <v>6</v>
      </c>
      <c r="Y417" s="59">
        <f t="shared" si="239"/>
        <v>14</v>
      </c>
      <c r="Z417" s="39"/>
      <c r="AA417" s="4" t="s">
        <v>948</v>
      </c>
      <c r="AB417" s="35"/>
      <c r="AC417" s="13"/>
      <c r="AD417" s="174"/>
      <c r="AE417" s="13"/>
      <c r="AF417" s="35"/>
      <c r="AG417" s="3" t="str">
        <f t="shared" si="228"/>
        <v>CIF</v>
      </c>
      <c r="AH417" s="13"/>
      <c r="AI417" s="36" t="e">
        <f>#REF!</f>
        <v>#REF!</v>
      </c>
      <c r="AJ417" s="36">
        <v>0</v>
      </c>
      <c r="AK417" s="142" t="e">
        <f t="shared" si="245"/>
        <v>#DIV/0!</v>
      </c>
      <c r="AL417" s="47"/>
      <c r="AM417" s="153"/>
      <c r="AN417" s="63">
        <f t="shared" si="236"/>
        <v>0</v>
      </c>
      <c r="AO417" s="29"/>
      <c r="AP417" s="28"/>
      <c r="AQ417" s="64">
        <f t="shared" si="231"/>
        <v>0</v>
      </c>
      <c r="AR417" s="28"/>
      <c r="AS417" s="28"/>
      <c r="AT417" s="157">
        <f t="shared" si="230"/>
        <v>0</v>
      </c>
      <c r="AU417" s="28"/>
      <c r="AV417" s="28"/>
      <c r="AW417" s="109">
        <f t="shared" si="232"/>
        <v>0</v>
      </c>
      <c r="AX417" s="66">
        <f t="shared" si="233"/>
        <v>0</v>
      </c>
      <c r="AY417" s="66"/>
      <c r="AZ417" s="66">
        <f t="shared" si="234"/>
        <v>0</v>
      </c>
      <c r="BA417" s="30"/>
    </row>
    <row r="418" spans="1:53" ht="21.6" customHeight="1" x14ac:dyDescent="0.3">
      <c r="A418" s="2" t="s">
        <v>589</v>
      </c>
      <c r="B418" s="3" t="s">
        <v>163</v>
      </c>
      <c r="C418" s="3" t="s">
        <v>78</v>
      </c>
      <c r="D418" s="3"/>
      <c r="E418" s="3">
        <v>34760</v>
      </c>
      <c r="F418" s="3" t="s">
        <v>1025</v>
      </c>
      <c r="G418" s="411">
        <v>806</v>
      </c>
      <c r="H418" s="394">
        <v>46251</v>
      </c>
      <c r="I418" s="50">
        <v>46285</v>
      </c>
      <c r="J418" s="15">
        <f t="shared" si="226"/>
        <v>34</v>
      </c>
      <c r="K418" s="3" t="s">
        <v>70</v>
      </c>
      <c r="L418" s="3" t="s">
        <v>56</v>
      </c>
      <c r="M418" s="3" t="s">
        <v>242</v>
      </c>
      <c r="N418" s="3" t="s">
        <v>591</v>
      </c>
      <c r="O418" s="3" t="s">
        <v>59</v>
      </c>
      <c r="P418" s="8">
        <v>9873.6</v>
      </c>
      <c r="Q418" s="44" t="s">
        <v>60</v>
      </c>
      <c r="R418" s="35">
        <f t="shared" si="242"/>
        <v>46251</v>
      </c>
      <c r="S418" s="13" t="s">
        <v>610</v>
      </c>
      <c r="T418" s="35">
        <v>46262</v>
      </c>
      <c r="U418" s="37"/>
      <c r="V418" s="37">
        <f t="shared" si="227"/>
        <v>46285</v>
      </c>
      <c r="W418" s="59">
        <f t="shared" si="237"/>
        <v>34</v>
      </c>
      <c r="X418" s="59">
        <f t="shared" si="238"/>
        <v>-46251</v>
      </c>
      <c r="Y418" s="59">
        <f t="shared" si="239"/>
        <v>46285</v>
      </c>
      <c r="Z418" s="39"/>
      <c r="AA418" s="4" t="s">
        <v>758</v>
      </c>
      <c r="AB418" s="35">
        <v>46265</v>
      </c>
      <c r="AC418" s="13" t="s">
        <v>1026</v>
      </c>
      <c r="AD418" s="174">
        <v>7896</v>
      </c>
      <c r="AE418" s="13"/>
      <c r="AF418" s="35"/>
      <c r="AG418" s="3" t="str">
        <f t="shared" si="228"/>
        <v>CIF</v>
      </c>
      <c r="AH418" s="13"/>
      <c r="AI418" s="36" t="e">
        <f>#REF!</f>
        <v>#REF!</v>
      </c>
      <c r="AJ418" s="36">
        <v>0</v>
      </c>
      <c r="AK418" s="142">
        <f t="shared" si="245"/>
        <v>0</v>
      </c>
      <c r="AL418" s="47"/>
      <c r="AM418" s="153"/>
      <c r="AN418" s="63">
        <f t="shared" si="236"/>
        <v>0</v>
      </c>
      <c r="AO418" s="29"/>
      <c r="AP418" s="28"/>
      <c r="AQ418" s="64">
        <f t="shared" si="231"/>
        <v>0</v>
      </c>
      <c r="AR418" s="28"/>
      <c r="AS418" s="28"/>
      <c r="AT418" s="157">
        <f t="shared" si="230"/>
        <v>0</v>
      </c>
      <c r="AU418" s="28"/>
      <c r="AV418" s="28"/>
      <c r="AW418" s="109" t="str">
        <f t="shared" si="232"/>
        <v>9873,60</v>
      </c>
      <c r="AX418" s="66">
        <f t="shared" si="233"/>
        <v>0</v>
      </c>
      <c r="AY418" s="66"/>
      <c r="AZ418" s="66">
        <f t="shared" si="234"/>
        <v>0</v>
      </c>
      <c r="BA418" s="30"/>
    </row>
    <row r="419" spans="1:53" ht="21.6" customHeight="1" x14ac:dyDescent="0.3">
      <c r="A419" s="2" t="s">
        <v>137</v>
      </c>
      <c r="B419" s="3" t="s">
        <v>67</v>
      </c>
      <c r="C419" s="3" t="s">
        <v>78</v>
      </c>
      <c r="D419" s="3"/>
      <c r="E419" s="3" t="s">
        <v>566</v>
      </c>
      <c r="F419" s="3" t="s">
        <v>983</v>
      </c>
      <c r="G419" s="144">
        <v>807</v>
      </c>
      <c r="H419" s="394">
        <v>46251</v>
      </c>
      <c r="I419" s="50">
        <v>46262</v>
      </c>
      <c r="J419" s="15">
        <f t="shared" si="226"/>
        <v>11</v>
      </c>
      <c r="K419" s="3" t="s">
        <v>55</v>
      </c>
      <c r="L419" s="3" t="s">
        <v>139</v>
      </c>
      <c r="M419" s="3" t="s">
        <v>72</v>
      </c>
      <c r="N419" s="3"/>
      <c r="O419" s="3" t="s">
        <v>59</v>
      </c>
      <c r="P419" s="8">
        <v>0</v>
      </c>
      <c r="Q419" s="44" t="s">
        <v>60</v>
      </c>
      <c r="R419" s="35">
        <f t="shared" si="242"/>
        <v>46251</v>
      </c>
      <c r="S419" s="13" t="s">
        <v>610</v>
      </c>
      <c r="T419" s="35">
        <v>46262</v>
      </c>
      <c r="U419" s="362">
        <v>46269</v>
      </c>
      <c r="V419" s="37">
        <f t="shared" si="227"/>
        <v>46262</v>
      </c>
      <c r="W419" s="59">
        <f t="shared" si="237"/>
        <v>11</v>
      </c>
      <c r="X419" s="59">
        <f t="shared" si="238"/>
        <v>18</v>
      </c>
      <c r="Y419" s="59">
        <f t="shared" si="239"/>
        <v>-7</v>
      </c>
      <c r="Z419" s="39"/>
      <c r="AA419" s="4" t="s">
        <v>758</v>
      </c>
      <c r="AB419" s="35">
        <v>46265</v>
      </c>
      <c r="AC419" s="13" t="s">
        <v>1027</v>
      </c>
      <c r="AD419" s="174">
        <v>7898</v>
      </c>
      <c r="AE419" s="13"/>
      <c r="AF419" s="35"/>
      <c r="AG419" s="3" t="str">
        <f t="shared" si="228"/>
        <v>FOB</v>
      </c>
      <c r="AH419" s="13"/>
      <c r="AI419" s="36" t="e">
        <f>#REF!</f>
        <v>#REF!</v>
      </c>
      <c r="AJ419" s="36">
        <v>0</v>
      </c>
      <c r="AK419" s="142">
        <f t="shared" si="245"/>
        <v>0</v>
      </c>
      <c r="AL419" s="47"/>
      <c r="AM419" s="153"/>
      <c r="AN419" s="63">
        <f t="shared" si="236"/>
        <v>0</v>
      </c>
      <c r="AO419" s="29"/>
      <c r="AP419" s="28"/>
      <c r="AQ419" s="64">
        <f t="shared" si="231"/>
        <v>0</v>
      </c>
      <c r="AR419" s="28"/>
      <c r="AS419" s="28"/>
      <c r="AT419" s="157">
        <f t="shared" si="230"/>
        <v>0</v>
      </c>
      <c r="AU419" s="28"/>
      <c r="AV419" s="28"/>
      <c r="AW419" s="109" t="str">
        <f t="shared" si="232"/>
        <v>408,19</v>
      </c>
      <c r="AX419" s="66">
        <f t="shared" si="233"/>
        <v>0</v>
      </c>
      <c r="AY419" s="66"/>
      <c r="AZ419" s="66">
        <f t="shared" si="234"/>
        <v>0</v>
      </c>
      <c r="BA419" s="30"/>
    </row>
    <row r="420" spans="1:53" ht="21.6" customHeight="1" x14ac:dyDescent="0.3">
      <c r="A420" s="2" t="s">
        <v>192</v>
      </c>
      <c r="B420" s="3" t="s">
        <v>163</v>
      </c>
      <c r="C420" s="3" t="s">
        <v>78</v>
      </c>
      <c r="D420" s="3"/>
      <c r="E420" s="3">
        <v>4500095897</v>
      </c>
      <c r="F420" s="3" t="s">
        <v>1028</v>
      </c>
      <c r="G420" s="144">
        <v>808</v>
      </c>
      <c r="H420" s="394">
        <v>46251</v>
      </c>
      <c r="I420" s="50">
        <v>46269</v>
      </c>
      <c r="J420" s="15">
        <f t="shared" si="226"/>
        <v>18</v>
      </c>
      <c r="K420" s="3" t="s">
        <v>55</v>
      </c>
      <c r="L420" s="3" t="s">
        <v>56</v>
      </c>
      <c r="M420" s="3" t="s">
        <v>178</v>
      </c>
      <c r="N420" s="3" t="s">
        <v>194</v>
      </c>
      <c r="O420" s="3" t="s">
        <v>59</v>
      </c>
      <c r="P420" s="8">
        <v>4133.29</v>
      </c>
      <c r="Q420" s="44" t="s">
        <v>100</v>
      </c>
      <c r="R420" s="35">
        <f t="shared" si="242"/>
        <v>46251</v>
      </c>
      <c r="S420" s="13" t="s">
        <v>61</v>
      </c>
      <c r="T420" s="35">
        <v>46262</v>
      </c>
      <c r="U420" s="37">
        <v>46266</v>
      </c>
      <c r="V420" s="37">
        <f t="shared" si="227"/>
        <v>46269</v>
      </c>
      <c r="W420" s="59">
        <f t="shared" si="237"/>
        <v>18</v>
      </c>
      <c r="X420" s="59">
        <f t="shared" si="238"/>
        <v>15</v>
      </c>
      <c r="Y420" s="59">
        <f t="shared" si="239"/>
        <v>3</v>
      </c>
      <c r="Z420" s="39"/>
      <c r="AA420" s="4" t="s">
        <v>758</v>
      </c>
      <c r="AB420" s="35">
        <v>46265</v>
      </c>
      <c r="AC420" s="13" t="s">
        <v>1029</v>
      </c>
      <c r="AD420" s="174">
        <v>7889</v>
      </c>
      <c r="AE420" s="13"/>
      <c r="AF420" s="35"/>
      <c r="AG420" s="3" t="str">
        <f t="shared" si="228"/>
        <v>FOB</v>
      </c>
      <c r="AH420" s="13" t="s">
        <v>193</v>
      </c>
      <c r="AI420" s="36" t="e">
        <f>#REF!</f>
        <v>#REF!</v>
      </c>
      <c r="AJ420" s="36">
        <v>0</v>
      </c>
      <c r="AK420" s="142">
        <f t="shared" si="245"/>
        <v>0</v>
      </c>
      <c r="AL420" s="47"/>
      <c r="AM420" s="153"/>
      <c r="AN420" s="63">
        <f t="shared" si="236"/>
        <v>0</v>
      </c>
      <c r="AO420" s="29"/>
      <c r="AP420" s="28"/>
      <c r="AQ420" s="64">
        <f t="shared" si="231"/>
        <v>0</v>
      </c>
      <c r="AR420" s="28"/>
      <c r="AS420" s="28"/>
      <c r="AT420" s="157">
        <f t="shared" si="230"/>
        <v>0</v>
      </c>
      <c r="AU420" s="28"/>
      <c r="AV420" s="28"/>
      <c r="AW420" s="109" t="str">
        <f t="shared" si="232"/>
        <v>4133,29</v>
      </c>
      <c r="AX420" s="66">
        <f t="shared" si="233"/>
        <v>0</v>
      </c>
      <c r="AY420" s="66"/>
      <c r="AZ420" s="66">
        <f t="shared" si="234"/>
        <v>0</v>
      </c>
      <c r="BA420" s="30"/>
    </row>
    <row r="421" spans="1:53" ht="21.6" customHeight="1" x14ac:dyDescent="0.3">
      <c r="A421" s="2" t="s">
        <v>353</v>
      </c>
      <c r="B421" s="3" t="s">
        <v>163</v>
      </c>
      <c r="C421" s="3" t="s">
        <v>78</v>
      </c>
      <c r="D421" s="3" t="s">
        <v>53</v>
      </c>
      <c r="E421" s="3">
        <v>4500065328</v>
      </c>
      <c r="F421" s="3" t="s">
        <v>1030</v>
      </c>
      <c r="G421" s="144">
        <v>809</v>
      </c>
      <c r="H421" s="394">
        <v>46251</v>
      </c>
      <c r="I421" s="50">
        <v>46294</v>
      </c>
      <c r="J421" s="15">
        <f t="shared" si="226"/>
        <v>43</v>
      </c>
      <c r="K421" s="3" t="s">
        <v>70</v>
      </c>
      <c r="L421" s="3" t="s">
        <v>56</v>
      </c>
      <c r="M421" s="3" t="s">
        <v>242</v>
      </c>
      <c r="N421" s="3" t="s">
        <v>1031</v>
      </c>
      <c r="O421" s="3" t="s">
        <v>59</v>
      </c>
      <c r="P421" s="8">
        <v>89351</v>
      </c>
      <c r="Q421" s="44" t="s">
        <v>60</v>
      </c>
      <c r="R421" s="35">
        <f t="shared" si="242"/>
        <v>46251</v>
      </c>
      <c r="S421" s="13" t="s">
        <v>610</v>
      </c>
      <c r="T421" s="35">
        <v>46265</v>
      </c>
      <c r="U421" s="362">
        <v>46274</v>
      </c>
      <c r="V421" s="37">
        <f t="shared" si="227"/>
        <v>46294</v>
      </c>
      <c r="W421" s="59">
        <f t="shared" si="237"/>
        <v>43</v>
      </c>
      <c r="X421" s="59">
        <f t="shared" si="238"/>
        <v>23</v>
      </c>
      <c r="Y421" s="59">
        <f t="shared" si="239"/>
        <v>20</v>
      </c>
      <c r="Z421" s="39"/>
      <c r="AA421" s="4" t="s">
        <v>758</v>
      </c>
      <c r="AB421" s="35">
        <v>46265</v>
      </c>
      <c r="AC421" s="13" t="s">
        <v>1032</v>
      </c>
      <c r="AD421" s="174">
        <v>7901</v>
      </c>
      <c r="AE421" s="13"/>
      <c r="AF421" s="35"/>
      <c r="AG421" s="3" t="str">
        <f t="shared" si="228"/>
        <v>CIF</v>
      </c>
      <c r="AH421" s="13"/>
      <c r="AI421" s="36" t="e">
        <f>#REF!</f>
        <v>#REF!</v>
      </c>
      <c r="AJ421" s="36">
        <v>0</v>
      </c>
      <c r="AK421" s="142">
        <f t="shared" si="245"/>
        <v>0</v>
      </c>
      <c r="AL421" s="47"/>
      <c r="AM421" s="153"/>
      <c r="AN421" s="63">
        <f t="shared" si="236"/>
        <v>0</v>
      </c>
      <c r="AO421" s="29"/>
      <c r="AP421" s="28"/>
      <c r="AQ421" s="64">
        <f t="shared" si="231"/>
        <v>0</v>
      </c>
      <c r="AR421" s="28"/>
      <c r="AS421" s="28"/>
      <c r="AT421" s="157">
        <f t="shared" si="230"/>
        <v>0</v>
      </c>
      <c r="AU421" s="28"/>
      <c r="AV421" s="28"/>
      <c r="AW421" s="109" t="str">
        <f t="shared" si="232"/>
        <v>89351,00</v>
      </c>
      <c r="AX421" s="66">
        <f t="shared" si="233"/>
        <v>0</v>
      </c>
      <c r="AY421" s="66"/>
      <c r="AZ421" s="66">
        <f t="shared" si="234"/>
        <v>0</v>
      </c>
      <c r="BA421" s="30"/>
    </row>
    <row r="422" spans="1:53" ht="21.6" customHeight="1" x14ac:dyDescent="0.3">
      <c r="A422" s="2" t="s">
        <v>1033</v>
      </c>
      <c r="B422" s="3" t="s">
        <v>163</v>
      </c>
      <c r="C422" s="3" t="s">
        <v>78</v>
      </c>
      <c r="D422" s="3" t="s">
        <v>53</v>
      </c>
      <c r="E422" s="3" t="s">
        <v>1034</v>
      </c>
      <c r="F422" s="3" t="s">
        <v>1035</v>
      </c>
      <c r="G422" s="144">
        <v>810</v>
      </c>
      <c r="H422" s="394">
        <v>46252</v>
      </c>
      <c r="I422" s="50">
        <v>46280</v>
      </c>
      <c r="J422" s="15">
        <f t="shared" si="226"/>
        <v>28</v>
      </c>
      <c r="K422" s="3" t="s">
        <v>70</v>
      </c>
      <c r="L422" s="3" t="s">
        <v>56</v>
      </c>
      <c r="M422" s="3" t="s">
        <v>165</v>
      </c>
      <c r="N422" s="3" t="s">
        <v>1036</v>
      </c>
      <c r="O422" s="3" t="s">
        <v>59</v>
      </c>
      <c r="P422" s="8">
        <v>2193.52</v>
      </c>
      <c r="Q422" s="44" t="s">
        <v>100</v>
      </c>
      <c r="R422" s="35">
        <f t="shared" si="242"/>
        <v>46252</v>
      </c>
      <c r="S422" s="13" t="s">
        <v>61</v>
      </c>
      <c r="T422" s="35">
        <v>46262</v>
      </c>
      <c r="U422" s="37">
        <v>46261</v>
      </c>
      <c r="V422" s="37">
        <f t="shared" si="227"/>
        <v>46280</v>
      </c>
      <c r="W422" s="59">
        <f t="shared" si="237"/>
        <v>28</v>
      </c>
      <c r="X422" s="59">
        <f t="shared" si="238"/>
        <v>9</v>
      </c>
      <c r="Y422" s="59">
        <f t="shared" si="239"/>
        <v>19</v>
      </c>
      <c r="Z422" s="39"/>
      <c r="AA422" s="4" t="s">
        <v>758</v>
      </c>
      <c r="AB422" s="35">
        <v>46262</v>
      </c>
      <c r="AC422" s="13" t="s">
        <v>1037</v>
      </c>
      <c r="AD422" s="174">
        <v>7883</v>
      </c>
      <c r="AE422" s="13"/>
      <c r="AF422" s="35" t="s">
        <v>889</v>
      </c>
      <c r="AG422" s="3" t="str">
        <f t="shared" si="228"/>
        <v>CIF</v>
      </c>
      <c r="AH422" s="168" t="s">
        <v>180</v>
      </c>
      <c r="AI422" s="36" t="e">
        <f>#REF!</f>
        <v>#REF!</v>
      </c>
      <c r="AJ422" s="36">
        <v>0</v>
      </c>
      <c r="AK422" s="142">
        <f t="shared" si="245"/>
        <v>0</v>
      </c>
      <c r="AL422" s="47"/>
      <c r="AM422" s="153"/>
      <c r="AN422" s="63">
        <f t="shared" si="236"/>
        <v>-46262</v>
      </c>
      <c r="AO422" s="29"/>
      <c r="AP422" s="28"/>
      <c r="AQ422" s="64">
        <f t="shared" si="231"/>
        <v>0</v>
      </c>
      <c r="AR422" s="28"/>
      <c r="AS422" s="28"/>
      <c r="AT422" s="157">
        <f t="shared" si="230"/>
        <v>0</v>
      </c>
      <c r="AU422" s="28"/>
      <c r="AV422" s="28"/>
      <c r="AW422" s="109" t="str">
        <f t="shared" si="232"/>
        <v>2193,52</v>
      </c>
      <c r="AX422" s="66">
        <f t="shared" si="233"/>
        <v>0</v>
      </c>
      <c r="AY422" s="66"/>
      <c r="AZ422" s="66">
        <f t="shared" si="234"/>
        <v>0</v>
      </c>
      <c r="BA422" s="30"/>
    </row>
    <row r="423" spans="1:53" ht="21.6" customHeight="1" x14ac:dyDescent="0.3">
      <c r="A423" s="2" t="s">
        <v>1038</v>
      </c>
      <c r="B423" s="3" t="s">
        <v>67</v>
      </c>
      <c r="C423" s="3" t="s">
        <v>78</v>
      </c>
      <c r="D423" s="3" t="s">
        <v>53</v>
      </c>
      <c r="E423" s="3">
        <v>309183</v>
      </c>
      <c r="F423" s="3" t="s">
        <v>1039</v>
      </c>
      <c r="G423" s="144">
        <v>811</v>
      </c>
      <c r="H423" s="394">
        <v>46252</v>
      </c>
      <c r="I423" s="50">
        <v>46417</v>
      </c>
      <c r="J423" s="15">
        <f t="shared" si="226"/>
        <v>165</v>
      </c>
      <c r="K423" s="3" t="s">
        <v>70</v>
      </c>
      <c r="L423" s="3" t="s">
        <v>56</v>
      </c>
      <c r="M423" s="3" t="s">
        <v>57</v>
      </c>
      <c r="N423" s="3" t="s">
        <v>1040</v>
      </c>
      <c r="O423" s="3" t="s">
        <v>59</v>
      </c>
      <c r="P423" s="8">
        <v>4543190.08</v>
      </c>
      <c r="Q423" s="44" t="s">
        <v>100</v>
      </c>
      <c r="R423" s="35">
        <f t="shared" si="242"/>
        <v>46252</v>
      </c>
      <c r="S423" s="13" t="s">
        <v>1041</v>
      </c>
      <c r="T423" s="35">
        <v>46384</v>
      </c>
      <c r="U423" s="37"/>
      <c r="V423" s="37">
        <f t="shared" si="227"/>
        <v>46417</v>
      </c>
      <c r="W423" s="59">
        <f t="shared" si="237"/>
        <v>165</v>
      </c>
      <c r="X423" s="59">
        <f t="shared" si="238"/>
        <v>-46252</v>
      </c>
      <c r="Y423" s="59">
        <f t="shared" si="239"/>
        <v>46417</v>
      </c>
      <c r="Z423" s="39"/>
      <c r="AA423" s="4" t="s">
        <v>1042</v>
      </c>
      <c r="AB423" s="35"/>
      <c r="AC423" s="13"/>
      <c r="AD423" s="174"/>
      <c r="AE423" s="13"/>
      <c r="AF423" s="35"/>
      <c r="AG423" s="3" t="str">
        <f t="shared" si="228"/>
        <v>CIF</v>
      </c>
      <c r="AH423" s="13"/>
      <c r="AI423" s="36" t="e">
        <f>#REF!</f>
        <v>#REF!</v>
      </c>
      <c r="AJ423" s="36">
        <v>0</v>
      </c>
      <c r="AK423" s="142" t="e">
        <f t="shared" si="245"/>
        <v>#DIV/0!</v>
      </c>
      <c r="AL423" s="47"/>
      <c r="AM423" s="153"/>
      <c r="AN423" s="63">
        <f t="shared" si="236"/>
        <v>0</v>
      </c>
      <c r="AO423" s="29"/>
      <c r="AP423" s="28"/>
      <c r="AQ423" s="64">
        <f t="shared" si="231"/>
        <v>0</v>
      </c>
      <c r="AR423" s="28"/>
      <c r="AS423" s="28"/>
      <c r="AT423" s="157">
        <f t="shared" si="230"/>
        <v>0</v>
      </c>
      <c r="AU423" s="28"/>
      <c r="AV423" s="28"/>
      <c r="AW423" s="109">
        <f t="shared" si="232"/>
        <v>0</v>
      </c>
      <c r="AX423" s="66">
        <f t="shared" si="233"/>
        <v>0</v>
      </c>
      <c r="AY423" s="66"/>
      <c r="AZ423" s="66">
        <f t="shared" si="234"/>
        <v>0</v>
      </c>
      <c r="BA423" s="30"/>
    </row>
    <row r="424" spans="1:53" ht="21.6" customHeight="1" x14ac:dyDescent="0.3">
      <c r="A424" s="2" t="s">
        <v>90</v>
      </c>
      <c r="B424" s="3" t="s">
        <v>91</v>
      </c>
      <c r="C424" s="3" t="s">
        <v>78</v>
      </c>
      <c r="D424" s="3" t="s">
        <v>53</v>
      </c>
      <c r="E424" s="3">
        <v>4413919634</v>
      </c>
      <c r="F424" s="3" t="s">
        <v>53</v>
      </c>
      <c r="G424" s="144">
        <v>813</v>
      </c>
      <c r="H424" s="394">
        <v>46252</v>
      </c>
      <c r="I424" s="50">
        <v>46280</v>
      </c>
      <c r="J424" s="15">
        <f t="shared" si="226"/>
        <v>28</v>
      </c>
      <c r="K424" s="3" t="s">
        <v>70</v>
      </c>
      <c r="L424" s="3" t="s">
        <v>56</v>
      </c>
      <c r="M424" s="3" t="s">
        <v>92</v>
      </c>
      <c r="N424" s="3" t="s">
        <v>93</v>
      </c>
      <c r="O424" s="3" t="s">
        <v>59</v>
      </c>
      <c r="P424" s="8">
        <v>10360</v>
      </c>
      <c r="Q424" s="44" t="s">
        <v>100</v>
      </c>
      <c r="R424" s="35">
        <f t="shared" si="242"/>
        <v>46252</v>
      </c>
      <c r="S424" s="13" t="s">
        <v>61</v>
      </c>
      <c r="T424" s="35">
        <v>46262</v>
      </c>
      <c r="U424" s="37">
        <v>46262</v>
      </c>
      <c r="V424" s="37">
        <f t="shared" si="227"/>
        <v>46280</v>
      </c>
      <c r="W424" s="59">
        <f t="shared" si="237"/>
        <v>28</v>
      </c>
      <c r="X424" s="59">
        <f t="shared" si="238"/>
        <v>10</v>
      </c>
      <c r="Y424" s="59">
        <f t="shared" si="239"/>
        <v>18</v>
      </c>
      <c r="Z424" s="39"/>
      <c r="AA424" s="4" t="s">
        <v>758</v>
      </c>
      <c r="AB424" s="35">
        <v>46254</v>
      </c>
      <c r="AC424" s="13" t="s">
        <v>1043</v>
      </c>
      <c r="AD424" s="174" t="s">
        <v>1044</v>
      </c>
      <c r="AE424" s="13"/>
      <c r="AF424" s="35" t="s">
        <v>889</v>
      </c>
      <c r="AG424" s="3" t="str">
        <f t="shared" si="228"/>
        <v>CIF</v>
      </c>
      <c r="AH424" s="13" t="s">
        <v>64</v>
      </c>
      <c r="AI424" s="36" t="e">
        <f>#REF!</f>
        <v>#REF!</v>
      </c>
      <c r="AJ424" s="36">
        <v>0</v>
      </c>
      <c r="AK424" s="142">
        <f t="shared" si="245"/>
        <v>0</v>
      </c>
      <c r="AL424" s="47"/>
      <c r="AM424" s="153"/>
      <c r="AN424" s="63">
        <f t="shared" si="236"/>
        <v>-46262</v>
      </c>
      <c r="AO424" s="29"/>
      <c r="AP424" s="28"/>
      <c r="AQ424" s="64">
        <f t="shared" si="231"/>
        <v>0</v>
      </c>
      <c r="AR424" s="28"/>
      <c r="AS424" s="28"/>
      <c r="AT424" s="157">
        <f t="shared" si="230"/>
        <v>0</v>
      </c>
      <c r="AU424" s="28"/>
      <c r="AV424" s="28"/>
      <c r="AW424" s="109" t="str">
        <f t="shared" si="232"/>
        <v>9212,00</v>
      </c>
      <c r="AX424" s="66">
        <f t="shared" si="233"/>
        <v>0</v>
      </c>
      <c r="AY424" s="66"/>
      <c r="AZ424" s="66">
        <f t="shared" si="234"/>
        <v>0</v>
      </c>
      <c r="BA424" s="30"/>
    </row>
    <row r="425" spans="1:53" ht="21.6" customHeight="1" x14ac:dyDescent="0.3">
      <c r="A425" s="2" t="s">
        <v>1045</v>
      </c>
      <c r="B425" s="3" t="s">
        <v>77</v>
      </c>
      <c r="C425" s="3" t="s">
        <v>78</v>
      </c>
      <c r="D425" s="3" t="s">
        <v>53</v>
      </c>
      <c r="E425" s="3">
        <v>4504334306</v>
      </c>
      <c r="F425" s="3" t="s">
        <v>1046</v>
      </c>
      <c r="G425" s="144">
        <v>814</v>
      </c>
      <c r="H425" s="394">
        <v>46252</v>
      </c>
      <c r="I425" s="50">
        <v>46272</v>
      </c>
      <c r="J425" s="15">
        <f t="shared" si="226"/>
        <v>20</v>
      </c>
      <c r="K425" s="3" t="s">
        <v>55</v>
      </c>
      <c r="L425" s="3" t="s">
        <v>56</v>
      </c>
      <c r="M425" s="3" t="s">
        <v>208</v>
      </c>
      <c r="N425" s="3" t="s">
        <v>1047</v>
      </c>
      <c r="O425" s="3" t="s">
        <v>59</v>
      </c>
      <c r="P425" s="8">
        <v>15461.43</v>
      </c>
      <c r="Q425" s="44" t="s">
        <v>60</v>
      </c>
      <c r="R425" s="35">
        <f t="shared" si="242"/>
        <v>46252</v>
      </c>
      <c r="S425" s="13" t="s">
        <v>61</v>
      </c>
      <c r="T425" s="35">
        <v>46267</v>
      </c>
      <c r="U425" s="37">
        <v>46267</v>
      </c>
      <c r="V425" s="37">
        <f t="shared" si="227"/>
        <v>46272</v>
      </c>
      <c r="W425" s="59">
        <f t="shared" si="237"/>
        <v>20</v>
      </c>
      <c r="X425" s="59">
        <f t="shared" si="238"/>
        <v>15</v>
      </c>
      <c r="Y425" s="59">
        <f t="shared" si="239"/>
        <v>5</v>
      </c>
      <c r="Z425" s="39"/>
      <c r="AA425" s="4" t="s">
        <v>758</v>
      </c>
      <c r="AB425" s="35"/>
      <c r="AC425" s="13"/>
      <c r="AD425" s="174"/>
      <c r="AE425" s="13"/>
      <c r="AF425" s="35"/>
      <c r="AG425" s="3" t="str">
        <f t="shared" si="228"/>
        <v>FOB</v>
      </c>
      <c r="AH425" s="13"/>
      <c r="AI425" s="36" t="e">
        <f>#REF!</f>
        <v>#REF!</v>
      </c>
      <c r="AJ425" s="36">
        <v>0</v>
      </c>
      <c r="AK425" s="142" t="e">
        <f t="shared" si="245"/>
        <v>#DIV/0!</v>
      </c>
      <c r="AL425" s="47"/>
      <c r="AM425" s="153"/>
      <c r="AN425" s="63">
        <f t="shared" si="236"/>
        <v>0</v>
      </c>
      <c r="AO425" s="29"/>
      <c r="AP425" s="28"/>
      <c r="AQ425" s="64">
        <f t="shared" si="231"/>
        <v>0</v>
      </c>
      <c r="AR425" s="28"/>
      <c r="AS425" s="28"/>
      <c r="AT425" s="157">
        <f t="shared" si="230"/>
        <v>0</v>
      </c>
      <c r="AU425" s="28"/>
      <c r="AV425" s="28"/>
      <c r="AW425" s="109">
        <f t="shared" si="232"/>
        <v>0</v>
      </c>
      <c r="AX425" s="66">
        <f t="shared" si="233"/>
        <v>0</v>
      </c>
      <c r="AY425" s="66"/>
      <c r="AZ425" s="66">
        <f t="shared" si="234"/>
        <v>0</v>
      </c>
      <c r="BA425" s="30"/>
    </row>
    <row r="426" spans="1:53" ht="21.6" customHeight="1" x14ac:dyDescent="0.3">
      <c r="A426" s="2" t="s">
        <v>90</v>
      </c>
      <c r="B426" s="3" t="s">
        <v>91</v>
      </c>
      <c r="C426" s="3" t="s">
        <v>78</v>
      </c>
      <c r="D426" s="3" t="s">
        <v>53</v>
      </c>
      <c r="E426" s="9">
        <v>4413993470</v>
      </c>
      <c r="F426" s="3" t="s">
        <v>53</v>
      </c>
      <c r="G426" s="144">
        <v>815</v>
      </c>
      <c r="H426" s="394">
        <v>46252</v>
      </c>
      <c r="I426" s="50">
        <v>46280</v>
      </c>
      <c r="J426" s="15">
        <f t="shared" si="226"/>
        <v>28</v>
      </c>
      <c r="K426" s="3" t="s">
        <v>70</v>
      </c>
      <c r="L426" s="3" t="s">
        <v>56</v>
      </c>
      <c r="M426" s="3" t="s">
        <v>92</v>
      </c>
      <c r="N426" s="3" t="s">
        <v>93</v>
      </c>
      <c r="O426" s="3" t="s">
        <v>59</v>
      </c>
      <c r="P426" s="8">
        <v>5414</v>
      </c>
      <c r="Q426" s="44" t="s">
        <v>100</v>
      </c>
      <c r="R426" s="35">
        <f t="shared" si="242"/>
        <v>46252</v>
      </c>
      <c r="S426" s="13" t="s">
        <v>61</v>
      </c>
      <c r="T426" s="35">
        <v>46262</v>
      </c>
      <c r="U426" s="37">
        <v>46262</v>
      </c>
      <c r="V426" s="37">
        <f t="shared" si="227"/>
        <v>46280</v>
      </c>
      <c r="W426" s="59">
        <f t="shared" si="237"/>
        <v>28</v>
      </c>
      <c r="X426" s="59">
        <f t="shared" si="238"/>
        <v>10</v>
      </c>
      <c r="Y426" s="59">
        <f t="shared" si="239"/>
        <v>18</v>
      </c>
      <c r="Z426" s="39"/>
      <c r="AA426" s="4" t="s">
        <v>758</v>
      </c>
      <c r="AB426" s="35">
        <v>46254</v>
      </c>
      <c r="AC426" s="13" t="s">
        <v>1048</v>
      </c>
      <c r="AD426" s="174" t="s">
        <v>1049</v>
      </c>
      <c r="AE426" s="13"/>
      <c r="AF426" s="35" t="s">
        <v>889</v>
      </c>
      <c r="AG426" s="3" t="str">
        <f t="shared" si="228"/>
        <v>CIF</v>
      </c>
      <c r="AH426" s="13" t="s">
        <v>64</v>
      </c>
      <c r="AI426" s="36" t="e">
        <f>#REF!</f>
        <v>#REF!</v>
      </c>
      <c r="AJ426" s="36">
        <v>0</v>
      </c>
      <c r="AK426" s="142">
        <f t="shared" si="245"/>
        <v>0</v>
      </c>
      <c r="AL426" s="47"/>
      <c r="AM426" s="153"/>
      <c r="AN426" s="63">
        <f t="shared" si="236"/>
        <v>-46262</v>
      </c>
      <c r="AO426" s="29"/>
      <c r="AP426" s="28"/>
      <c r="AQ426" s="64">
        <f t="shared" si="231"/>
        <v>0</v>
      </c>
      <c r="AR426" s="28"/>
      <c r="AS426" s="28"/>
      <c r="AT426" s="157">
        <f t="shared" si="230"/>
        <v>0</v>
      </c>
      <c r="AU426" s="28"/>
      <c r="AV426" s="28"/>
      <c r="AW426" s="109" t="str">
        <f t="shared" si="232"/>
        <v>2754,00</v>
      </c>
      <c r="AX426" s="66">
        <f t="shared" si="233"/>
        <v>0</v>
      </c>
      <c r="AY426" s="66"/>
      <c r="AZ426" s="66">
        <f t="shared" si="234"/>
        <v>0</v>
      </c>
      <c r="BA426" s="30"/>
    </row>
    <row r="427" spans="1:53" ht="21.6" customHeight="1" x14ac:dyDescent="0.3">
      <c r="A427" s="2" t="s">
        <v>181</v>
      </c>
      <c r="B427" s="3" t="s">
        <v>51</v>
      </c>
      <c r="C427" s="3" t="s">
        <v>78</v>
      </c>
      <c r="D427" s="3" t="s">
        <v>53</v>
      </c>
      <c r="E427" s="3" t="s">
        <v>566</v>
      </c>
      <c r="F427" s="3" t="s">
        <v>53</v>
      </c>
      <c r="G427" s="144">
        <v>816</v>
      </c>
      <c r="H427" s="394">
        <v>46253</v>
      </c>
      <c r="I427" s="50">
        <v>46260</v>
      </c>
      <c r="J427" s="15">
        <f t="shared" ref="J427:J490" si="246">I427-H427</f>
        <v>7</v>
      </c>
      <c r="K427" s="3" t="s">
        <v>55</v>
      </c>
      <c r="L427" s="3" t="s">
        <v>56</v>
      </c>
      <c r="M427" s="3" t="s">
        <v>57</v>
      </c>
      <c r="N427" s="3" t="s">
        <v>58</v>
      </c>
      <c r="O427" s="3" t="s">
        <v>59</v>
      </c>
      <c r="P427" s="8">
        <v>0</v>
      </c>
      <c r="Q427" s="44" t="s">
        <v>60</v>
      </c>
      <c r="R427" s="35">
        <f t="shared" si="242"/>
        <v>46253</v>
      </c>
      <c r="S427" s="13" t="s">
        <v>61</v>
      </c>
      <c r="T427" s="35">
        <v>46254</v>
      </c>
      <c r="U427" s="37">
        <v>46254</v>
      </c>
      <c r="V427" s="37">
        <f t="shared" si="227"/>
        <v>46260</v>
      </c>
      <c r="W427" s="59">
        <f t="shared" si="237"/>
        <v>7</v>
      </c>
      <c r="X427" s="59">
        <f t="shared" si="238"/>
        <v>1</v>
      </c>
      <c r="Y427" s="59">
        <f t="shared" si="239"/>
        <v>6</v>
      </c>
      <c r="Z427" s="39"/>
      <c r="AA427" s="4" t="s">
        <v>948</v>
      </c>
      <c r="AB427" s="35"/>
      <c r="AC427" s="13"/>
      <c r="AD427" s="174"/>
      <c r="AE427" s="13"/>
      <c r="AF427" s="35" t="s">
        <v>783</v>
      </c>
      <c r="AG427" s="3" t="str">
        <f t="shared" si="228"/>
        <v>FOB</v>
      </c>
      <c r="AH427" s="13"/>
      <c r="AI427" s="36" t="e">
        <f>#REF!</f>
        <v>#REF!</v>
      </c>
      <c r="AJ427" s="36">
        <v>0</v>
      </c>
      <c r="AK427" s="142" t="e">
        <f t="shared" si="245"/>
        <v>#DIV/0!</v>
      </c>
      <c r="AL427" s="47"/>
      <c r="AM427" s="153"/>
      <c r="AN427" s="63">
        <f t="shared" si="236"/>
        <v>-46255</v>
      </c>
      <c r="AO427" s="29"/>
      <c r="AP427" s="28"/>
      <c r="AQ427" s="64">
        <f t="shared" si="231"/>
        <v>0</v>
      </c>
      <c r="AR427" s="28"/>
      <c r="AS427" s="28"/>
      <c r="AT427" s="157">
        <f t="shared" si="230"/>
        <v>0</v>
      </c>
      <c r="AU427" s="28"/>
      <c r="AV427" s="28"/>
      <c r="AW427" s="109">
        <f t="shared" si="232"/>
        <v>0</v>
      </c>
      <c r="AX427" s="66">
        <f t="shared" si="233"/>
        <v>0</v>
      </c>
      <c r="AY427" s="66"/>
      <c r="AZ427" s="66">
        <f t="shared" si="234"/>
        <v>0</v>
      </c>
      <c r="BA427" s="30"/>
    </row>
    <row r="428" spans="1:53" ht="21.6" customHeight="1" x14ac:dyDescent="0.3">
      <c r="A428" s="2" t="s">
        <v>1050</v>
      </c>
      <c r="B428" s="3" t="s">
        <v>67</v>
      </c>
      <c r="C428" s="3" t="s">
        <v>78</v>
      </c>
      <c r="D428" s="3" t="s">
        <v>53</v>
      </c>
      <c r="E428" s="3">
        <v>1116</v>
      </c>
      <c r="F428" s="3" t="s">
        <v>1051</v>
      </c>
      <c r="G428" s="144">
        <v>819</v>
      </c>
      <c r="H428" s="394">
        <v>46253</v>
      </c>
      <c r="I428" s="50">
        <v>46284</v>
      </c>
      <c r="J428" s="15">
        <f t="shared" si="246"/>
        <v>31</v>
      </c>
      <c r="K428" s="3" t="s">
        <v>55</v>
      </c>
      <c r="L428" s="3" t="s">
        <v>1052</v>
      </c>
      <c r="M428" s="3" t="s">
        <v>72</v>
      </c>
      <c r="N428" s="3" t="s">
        <v>1053</v>
      </c>
      <c r="O428" s="3" t="s">
        <v>59</v>
      </c>
      <c r="P428" s="8">
        <v>45658.09</v>
      </c>
      <c r="Q428" s="44" t="s">
        <v>60</v>
      </c>
      <c r="R428" s="35">
        <f t="shared" si="242"/>
        <v>46253</v>
      </c>
      <c r="S428" s="13" t="s">
        <v>610</v>
      </c>
      <c r="T428" s="35">
        <v>46270</v>
      </c>
      <c r="U428" s="362">
        <v>46274</v>
      </c>
      <c r="V428" s="37">
        <f t="shared" si="227"/>
        <v>46284</v>
      </c>
      <c r="W428" s="59">
        <f t="shared" si="237"/>
        <v>31</v>
      </c>
      <c r="X428" s="59">
        <f t="shared" si="238"/>
        <v>21</v>
      </c>
      <c r="Y428" s="59">
        <f t="shared" si="239"/>
        <v>10</v>
      </c>
      <c r="Z428" s="39"/>
      <c r="AA428" s="4" t="s">
        <v>758</v>
      </c>
      <c r="AB428" s="35">
        <v>46265</v>
      </c>
      <c r="AC428" s="13" t="s">
        <v>1054</v>
      </c>
      <c r="AD428" s="174">
        <v>7903</v>
      </c>
      <c r="AE428" s="13"/>
      <c r="AF428" s="35"/>
      <c r="AG428" s="3" t="str">
        <f t="shared" si="228"/>
        <v>FOB</v>
      </c>
      <c r="AH428" s="13"/>
      <c r="AI428" s="36" t="e">
        <f>#REF!</f>
        <v>#REF!</v>
      </c>
      <c r="AJ428" s="36">
        <v>0</v>
      </c>
      <c r="AK428" s="142">
        <f t="shared" si="245"/>
        <v>0</v>
      </c>
      <c r="AL428" s="47"/>
      <c r="AM428" s="153"/>
      <c r="AN428" s="63">
        <f t="shared" si="236"/>
        <v>0</v>
      </c>
      <c r="AO428" s="29"/>
      <c r="AP428" s="28"/>
      <c r="AQ428" s="64">
        <f t="shared" si="231"/>
        <v>0</v>
      </c>
      <c r="AR428" s="28"/>
      <c r="AS428" s="28"/>
      <c r="AT428" s="157">
        <f t="shared" si="230"/>
        <v>0</v>
      </c>
      <c r="AU428" s="28"/>
      <c r="AV428" s="28"/>
      <c r="AW428" s="109" t="str">
        <f t="shared" si="232"/>
        <v>45624,03</v>
      </c>
      <c r="AX428" s="66">
        <f t="shared" si="233"/>
        <v>0</v>
      </c>
      <c r="AY428" s="66"/>
      <c r="AZ428" s="66">
        <f t="shared" si="234"/>
        <v>0</v>
      </c>
      <c r="BA428" s="30"/>
    </row>
    <row r="429" spans="1:53" ht="21.6" customHeight="1" x14ac:dyDescent="0.3">
      <c r="A429" s="2" t="s">
        <v>777</v>
      </c>
      <c r="B429" s="3" t="s">
        <v>91</v>
      </c>
      <c r="C429" s="3" t="s">
        <v>78</v>
      </c>
      <c r="D429" s="3"/>
      <c r="E429" s="3">
        <v>4000310759</v>
      </c>
      <c r="F429" s="3" t="s">
        <v>778</v>
      </c>
      <c r="G429" s="144">
        <v>820</v>
      </c>
      <c r="H429" s="394">
        <v>46254</v>
      </c>
      <c r="I429" s="50">
        <v>46325</v>
      </c>
      <c r="J429" s="15">
        <f t="shared" si="246"/>
        <v>71</v>
      </c>
      <c r="K429" s="3" t="s">
        <v>70</v>
      </c>
      <c r="L429" s="3" t="s">
        <v>56</v>
      </c>
      <c r="M429" s="3" t="s">
        <v>92</v>
      </c>
      <c r="N429" s="3" t="s">
        <v>718</v>
      </c>
      <c r="O429" s="3" t="s">
        <v>59</v>
      </c>
      <c r="P429" s="8">
        <v>2665.35</v>
      </c>
      <c r="Q429" s="44" t="s">
        <v>100</v>
      </c>
      <c r="R429" s="35">
        <f t="shared" si="242"/>
        <v>46254</v>
      </c>
      <c r="S429" s="13" t="s">
        <v>610</v>
      </c>
      <c r="T429" s="35">
        <v>46269</v>
      </c>
      <c r="U429" s="37"/>
      <c r="V429" s="37">
        <f t="shared" si="227"/>
        <v>46325</v>
      </c>
      <c r="W429" s="59">
        <f t="shared" si="237"/>
        <v>71</v>
      </c>
      <c r="X429" s="59">
        <f t="shared" si="238"/>
        <v>-46254</v>
      </c>
      <c r="Y429" s="59">
        <f t="shared" si="239"/>
        <v>46325</v>
      </c>
      <c r="Z429" s="39"/>
      <c r="AA429" s="4" t="s">
        <v>995</v>
      </c>
      <c r="AB429" s="35"/>
      <c r="AC429" s="13"/>
      <c r="AD429" s="174"/>
      <c r="AE429" s="13"/>
      <c r="AF429" s="35"/>
      <c r="AG429" s="3" t="str">
        <f t="shared" si="228"/>
        <v>CIF</v>
      </c>
      <c r="AH429" s="13"/>
      <c r="AI429" s="36" t="e">
        <f>#REF!</f>
        <v>#REF!</v>
      </c>
      <c r="AJ429" s="36">
        <v>0</v>
      </c>
      <c r="AK429" s="142" t="e">
        <f t="shared" si="245"/>
        <v>#DIV/0!</v>
      </c>
      <c r="AL429" s="47"/>
      <c r="AM429" s="153"/>
      <c r="AN429" s="63">
        <f t="shared" si="236"/>
        <v>0</v>
      </c>
      <c r="AO429" s="29"/>
      <c r="AP429" s="28"/>
      <c r="AQ429" s="64">
        <f t="shared" si="231"/>
        <v>0</v>
      </c>
      <c r="AR429" s="28"/>
      <c r="AS429" s="28"/>
      <c r="AT429" s="157">
        <f t="shared" si="230"/>
        <v>0</v>
      </c>
      <c r="AU429" s="28"/>
      <c r="AV429" s="28"/>
      <c r="AW429" s="109">
        <f t="shared" si="232"/>
        <v>0</v>
      </c>
      <c r="AX429" s="66">
        <f t="shared" si="233"/>
        <v>0</v>
      </c>
      <c r="AY429" s="66"/>
      <c r="AZ429" s="66">
        <f t="shared" si="234"/>
        <v>0</v>
      </c>
      <c r="BA429" s="30"/>
    </row>
    <row r="430" spans="1:53" ht="21.6" customHeight="1" x14ac:dyDescent="0.3">
      <c r="A430" s="2" t="s">
        <v>90</v>
      </c>
      <c r="B430" s="3" t="s">
        <v>91</v>
      </c>
      <c r="C430" s="3" t="s">
        <v>78</v>
      </c>
      <c r="D430" s="3" t="s">
        <v>53</v>
      </c>
      <c r="E430" s="3">
        <v>4413995803</v>
      </c>
      <c r="F430" s="3" t="s">
        <v>53</v>
      </c>
      <c r="G430" s="144">
        <v>821</v>
      </c>
      <c r="H430" s="394">
        <v>46254</v>
      </c>
      <c r="I430" s="50">
        <v>46280</v>
      </c>
      <c r="J430" s="15">
        <f t="shared" si="246"/>
        <v>26</v>
      </c>
      <c r="K430" s="3" t="s">
        <v>70</v>
      </c>
      <c r="L430" s="3" t="s">
        <v>56</v>
      </c>
      <c r="M430" s="3" t="s">
        <v>92</v>
      </c>
      <c r="N430" s="3" t="s">
        <v>93</v>
      </c>
      <c r="O430" s="3" t="s">
        <v>59</v>
      </c>
      <c r="P430" s="8">
        <v>21731</v>
      </c>
      <c r="Q430" s="44" t="s">
        <v>100</v>
      </c>
      <c r="R430" s="35">
        <f t="shared" si="242"/>
        <v>46254</v>
      </c>
      <c r="S430" s="13" t="s">
        <v>61</v>
      </c>
      <c r="T430" s="35">
        <v>46262</v>
      </c>
      <c r="U430" s="37">
        <v>46262</v>
      </c>
      <c r="V430" s="37">
        <f t="shared" si="227"/>
        <v>46280</v>
      </c>
      <c r="W430" s="59">
        <f t="shared" si="237"/>
        <v>26</v>
      </c>
      <c r="X430" s="59">
        <f t="shared" si="238"/>
        <v>8</v>
      </c>
      <c r="Y430" s="59">
        <f t="shared" si="239"/>
        <v>18</v>
      </c>
      <c r="Z430" s="39"/>
      <c r="AA430" s="4" t="s">
        <v>758</v>
      </c>
      <c r="AB430" s="35">
        <v>46262</v>
      </c>
      <c r="AC430" s="13" t="s">
        <v>1055</v>
      </c>
      <c r="AD430" s="174">
        <v>7884</v>
      </c>
      <c r="AE430" s="13"/>
      <c r="AF430" s="35" t="s">
        <v>889</v>
      </c>
      <c r="AG430" s="3" t="str">
        <f t="shared" si="228"/>
        <v>CIF</v>
      </c>
      <c r="AH430" s="13" t="s">
        <v>64</v>
      </c>
      <c r="AI430" s="36" t="e">
        <f>#REF!</f>
        <v>#REF!</v>
      </c>
      <c r="AJ430" s="36">
        <v>0</v>
      </c>
      <c r="AK430" s="142">
        <f t="shared" si="245"/>
        <v>0</v>
      </c>
      <c r="AL430" s="47"/>
      <c r="AM430" s="153"/>
      <c r="AN430" s="63">
        <f t="shared" si="236"/>
        <v>-46262</v>
      </c>
      <c r="AO430" s="29"/>
      <c r="AP430" s="28"/>
      <c r="AQ430" s="64">
        <f t="shared" si="231"/>
        <v>0</v>
      </c>
      <c r="AR430" s="28"/>
      <c r="AS430" s="28"/>
      <c r="AT430" s="157">
        <f t="shared" si="230"/>
        <v>0</v>
      </c>
      <c r="AU430" s="28"/>
      <c r="AV430" s="28"/>
      <c r="AW430" s="109" t="str">
        <f t="shared" si="232"/>
        <v>21731,00</v>
      </c>
      <c r="AX430" s="66">
        <f t="shared" si="233"/>
        <v>0</v>
      </c>
      <c r="AY430" s="66"/>
      <c r="AZ430" s="66">
        <f t="shared" si="234"/>
        <v>0</v>
      </c>
      <c r="BA430" s="30"/>
    </row>
    <row r="431" spans="1:53" ht="21.6" customHeight="1" x14ac:dyDescent="0.3">
      <c r="A431" s="2" t="s">
        <v>143</v>
      </c>
      <c r="B431" s="3" t="s">
        <v>91</v>
      </c>
      <c r="C431" s="3" t="s">
        <v>613</v>
      </c>
      <c r="D431" s="3" t="s">
        <v>53</v>
      </c>
      <c r="E431" s="3">
        <v>527112</v>
      </c>
      <c r="F431" s="3" t="s">
        <v>1056</v>
      </c>
      <c r="G431" s="144">
        <v>822</v>
      </c>
      <c r="H431" s="394">
        <v>46254</v>
      </c>
      <c r="I431" s="50">
        <v>46254</v>
      </c>
      <c r="J431" s="15">
        <f t="shared" si="246"/>
        <v>0</v>
      </c>
      <c r="K431" s="3" t="s">
        <v>55</v>
      </c>
      <c r="L431" s="3" t="s">
        <v>56</v>
      </c>
      <c r="M431" s="3" t="s">
        <v>92</v>
      </c>
      <c r="N431" s="3" t="s">
        <v>1057</v>
      </c>
      <c r="O431" s="3" t="s">
        <v>59</v>
      </c>
      <c r="P431" s="8">
        <v>25303</v>
      </c>
      <c r="Q431" s="44" t="s">
        <v>60</v>
      </c>
      <c r="R431" s="35">
        <f t="shared" si="242"/>
        <v>46254</v>
      </c>
      <c r="S431" s="13" t="s">
        <v>1041</v>
      </c>
      <c r="T431" s="35"/>
      <c r="U431" s="37"/>
      <c r="V431" s="37">
        <f t="shared" si="227"/>
        <v>46254</v>
      </c>
      <c r="W431" s="59">
        <f t="shared" si="237"/>
        <v>0</v>
      </c>
      <c r="X431" s="59">
        <f t="shared" si="238"/>
        <v>-46254</v>
      </c>
      <c r="Y431" s="59">
        <f t="shared" si="239"/>
        <v>46254</v>
      </c>
      <c r="Z431" s="39"/>
      <c r="AA431" s="4" t="s">
        <v>995</v>
      </c>
      <c r="AB431" s="35"/>
      <c r="AC431" s="13"/>
      <c r="AD431" s="174"/>
      <c r="AE431" s="13"/>
      <c r="AF431" s="35"/>
      <c r="AG431" s="3" t="str">
        <f t="shared" si="228"/>
        <v>FOB</v>
      </c>
      <c r="AH431" s="13"/>
      <c r="AI431" s="36" t="e">
        <f>#REF!</f>
        <v>#REF!</v>
      </c>
      <c r="AJ431" s="36">
        <v>0</v>
      </c>
      <c r="AK431" s="142" t="e">
        <f t="shared" si="245"/>
        <v>#DIV/0!</v>
      </c>
      <c r="AL431" s="47"/>
      <c r="AM431" s="153"/>
      <c r="AN431" s="63">
        <f t="shared" si="236"/>
        <v>0</v>
      </c>
      <c r="AO431" s="29"/>
      <c r="AP431" s="28"/>
      <c r="AQ431" s="64">
        <f t="shared" si="231"/>
        <v>0</v>
      </c>
      <c r="AR431" s="28"/>
      <c r="AS431" s="28"/>
      <c r="AT431" s="157">
        <f t="shared" si="230"/>
        <v>0</v>
      </c>
      <c r="AU431" s="28"/>
      <c r="AV431" s="28"/>
      <c r="AW431" s="109">
        <f t="shared" si="232"/>
        <v>0</v>
      </c>
      <c r="AX431" s="66">
        <f t="shared" si="233"/>
        <v>0</v>
      </c>
      <c r="AY431" s="66"/>
      <c r="AZ431" s="66">
        <f t="shared" si="234"/>
        <v>0</v>
      </c>
      <c r="BA431" s="30"/>
    </row>
    <row r="432" spans="1:53" ht="21.6" customHeight="1" x14ac:dyDescent="0.3">
      <c r="A432" s="2" t="s">
        <v>291</v>
      </c>
      <c r="B432" s="3" t="s">
        <v>292</v>
      </c>
      <c r="C432" s="3" t="s">
        <v>78</v>
      </c>
      <c r="D432" s="3" t="s">
        <v>53</v>
      </c>
      <c r="E432" s="3">
        <v>4500271222</v>
      </c>
      <c r="F432" s="3" t="s">
        <v>53</v>
      </c>
      <c r="G432" s="144">
        <v>824</v>
      </c>
      <c r="H432" s="394">
        <v>46255</v>
      </c>
      <c r="I432" s="50">
        <v>46283</v>
      </c>
      <c r="J432" s="15">
        <f t="shared" si="246"/>
        <v>28</v>
      </c>
      <c r="K432" s="3" t="s">
        <v>55</v>
      </c>
      <c r="L432" s="3" t="s">
        <v>56</v>
      </c>
      <c r="M432" s="3" t="s">
        <v>486</v>
      </c>
      <c r="N432" s="3" t="s">
        <v>1058</v>
      </c>
      <c r="O432" s="3" t="s">
        <v>59</v>
      </c>
      <c r="P432" s="8">
        <v>7279.85</v>
      </c>
      <c r="Q432" s="44" t="s">
        <v>100</v>
      </c>
      <c r="R432" s="35">
        <f t="shared" si="242"/>
        <v>46255</v>
      </c>
      <c r="S432" s="13" t="s">
        <v>61</v>
      </c>
      <c r="T432" s="35">
        <v>46266</v>
      </c>
      <c r="U432" s="37">
        <v>46266</v>
      </c>
      <c r="V432" s="37">
        <f t="shared" si="227"/>
        <v>46283</v>
      </c>
      <c r="W432" s="59">
        <f t="shared" si="237"/>
        <v>28</v>
      </c>
      <c r="X432" s="59">
        <f t="shared" si="238"/>
        <v>11</v>
      </c>
      <c r="Y432" s="59">
        <f t="shared" si="239"/>
        <v>17</v>
      </c>
      <c r="Z432" s="39"/>
      <c r="AA432" s="4" t="s">
        <v>758</v>
      </c>
      <c r="AB432" s="35">
        <v>46265</v>
      </c>
      <c r="AC432" s="13" t="s">
        <v>696</v>
      </c>
      <c r="AD432" s="174">
        <v>7890</v>
      </c>
      <c r="AE432" s="13"/>
      <c r="AF432" s="35">
        <v>46031</v>
      </c>
      <c r="AG432" s="3" t="str">
        <f t="shared" si="228"/>
        <v>FOB</v>
      </c>
      <c r="AH432" s="13"/>
      <c r="AI432" s="36" t="e">
        <f>#REF!</f>
        <v>#REF!</v>
      </c>
      <c r="AJ432" s="36">
        <v>0</v>
      </c>
      <c r="AK432" s="142">
        <f t="shared" si="245"/>
        <v>0</v>
      </c>
      <c r="AL432" s="47"/>
      <c r="AM432" s="153"/>
      <c r="AN432" s="63">
        <f t="shared" si="236"/>
        <v>-46031</v>
      </c>
      <c r="AO432" s="29"/>
      <c r="AP432" s="28"/>
      <c r="AQ432" s="64">
        <f t="shared" si="231"/>
        <v>0</v>
      </c>
      <c r="AR432" s="28"/>
      <c r="AS432" s="28"/>
      <c r="AT432" s="157">
        <f t="shared" si="230"/>
        <v>0</v>
      </c>
      <c r="AU432" s="28"/>
      <c r="AV432" s="28"/>
      <c r="AW432" s="109" t="str">
        <f t="shared" si="232"/>
        <v>7279,85</v>
      </c>
      <c r="AX432" s="66">
        <f t="shared" si="233"/>
        <v>0</v>
      </c>
      <c r="AY432" s="66"/>
      <c r="AZ432" s="66">
        <f t="shared" si="234"/>
        <v>0</v>
      </c>
      <c r="BA432" s="30"/>
    </row>
    <row r="433" spans="1:53" ht="22.95" customHeight="1" x14ac:dyDescent="0.3">
      <c r="A433" s="2" t="s">
        <v>837</v>
      </c>
      <c r="B433" s="3" t="s">
        <v>77</v>
      </c>
      <c r="C433" s="3" t="s">
        <v>52</v>
      </c>
      <c r="D433" s="3" t="s">
        <v>53</v>
      </c>
      <c r="E433" s="3" t="s">
        <v>1059</v>
      </c>
      <c r="F433" s="3" t="s">
        <v>1060</v>
      </c>
      <c r="G433" s="144">
        <v>826</v>
      </c>
      <c r="H433" s="394">
        <v>46255</v>
      </c>
      <c r="I433" s="50">
        <v>46259</v>
      </c>
      <c r="J433" s="15">
        <f t="shared" si="246"/>
        <v>4</v>
      </c>
      <c r="K433" s="3" t="s">
        <v>55</v>
      </c>
      <c r="L433" s="3" t="s">
        <v>56</v>
      </c>
      <c r="M433" s="3" t="s">
        <v>208</v>
      </c>
      <c r="N433" s="3" t="s">
        <v>640</v>
      </c>
      <c r="O433" s="3" t="s">
        <v>59</v>
      </c>
      <c r="P433" s="8">
        <v>8120</v>
      </c>
      <c r="Q433" s="44" t="s">
        <v>60</v>
      </c>
      <c r="R433" s="35">
        <f t="shared" si="242"/>
        <v>46255</v>
      </c>
      <c r="S433" s="13" t="s">
        <v>61</v>
      </c>
      <c r="T433" s="35">
        <v>46258</v>
      </c>
      <c r="U433" s="37">
        <v>46258</v>
      </c>
      <c r="V433" s="37">
        <f t="shared" si="227"/>
        <v>46259</v>
      </c>
      <c r="W433" s="59">
        <f t="shared" si="237"/>
        <v>4</v>
      </c>
      <c r="X433" s="59">
        <f t="shared" si="238"/>
        <v>3</v>
      </c>
      <c r="Y433" s="59">
        <f t="shared" si="239"/>
        <v>1</v>
      </c>
      <c r="Z433" s="39"/>
      <c r="AA433" s="4" t="s">
        <v>758</v>
      </c>
      <c r="AB433" s="35">
        <v>46258</v>
      </c>
      <c r="AC433" s="13" t="s">
        <v>1061</v>
      </c>
      <c r="AD433" s="174">
        <v>7866</v>
      </c>
      <c r="AE433" s="13"/>
      <c r="AF433" s="35" t="s">
        <v>1003</v>
      </c>
      <c r="AG433" s="3" t="str">
        <f t="shared" si="228"/>
        <v>FOB</v>
      </c>
      <c r="AH433" s="13" t="s">
        <v>837</v>
      </c>
      <c r="AI433" s="36" t="e">
        <f>#REF!</f>
        <v>#REF!</v>
      </c>
      <c r="AJ433" s="36">
        <v>0</v>
      </c>
      <c r="AK433" s="142">
        <f t="shared" si="245"/>
        <v>0</v>
      </c>
      <c r="AL433" s="47"/>
      <c r="AM433" s="153"/>
      <c r="AN433" s="63">
        <f t="shared" si="236"/>
        <v>-46259</v>
      </c>
      <c r="AO433" s="29"/>
      <c r="AP433" s="28"/>
      <c r="AQ433" s="64">
        <f t="shared" si="231"/>
        <v>0</v>
      </c>
      <c r="AR433" s="28"/>
      <c r="AS433" s="28"/>
      <c r="AT433" s="157">
        <f t="shared" si="230"/>
        <v>0</v>
      </c>
      <c r="AU433" s="28"/>
      <c r="AV433" s="28"/>
      <c r="AW433" s="109" t="str">
        <f t="shared" si="232"/>
        <v>8120,00</v>
      </c>
      <c r="AX433" s="66">
        <f t="shared" si="233"/>
        <v>0</v>
      </c>
      <c r="AY433" s="66"/>
      <c r="AZ433" s="66">
        <f t="shared" si="234"/>
        <v>0</v>
      </c>
      <c r="BA433" s="30"/>
    </row>
    <row r="434" spans="1:53" ht="22.95" customHeight="1" x14ac:dyDescent="0.3">
      <c r="A434" s="2" t="s">
        <v>1062</v>
      </c>
      <c r="B434" s="3" t="s">
        <v>171</v>
      </c>
      <c r="C434" s="3" t="s">
        <v>78</v>
      </c>
      <c r="D434" s="3" t="s">
        <v>53</v>
      </c>
      <c r="E434" s="3">
        <v>4501092560</v>
      </c>
      <c r="F434" s="3" t="s">
        <v>1063</v>
      </c>
      <c r="G434" s="144">
        <v>827</v>
      </c>
      <c r="H434" s="394">
        <v>46258</v>
      </c>
      <c r="I434" s="50">
        <v>46286</v>
      </c>
      <c r="J434" s="15">
        <f t="shared" si="246"/>
        <v>28</v>
      </c>
      <c r="K434" s="3" t="s">
        <v>70</v>
      </c>
      <c r="L434" s="3" t="s">
        <v>56</v>
      </c>
      <c r="M434" s="3" t="s">
        <v>186</v>
      </c>
      <c r="N434" s="3" t="s">
        <v>1064</v>
      </c>
      <c r="O434" s="3" t="s">
        <v>59</v>
      </c>
      <c r="P434" s="8">
        <v>3961.84</v>
      </c>
      <c r="Q434" s="44" t="s">
        <v>100</v>
      </c>
      <c r="R434" s="35">
        <f t="shared" si="242"/>
        <v>46258</v>
      </c>
      <c r="S434" s="13" t="s">
        <v>610</v>
      </c>
      <c r="T434" s="35">
        <v>46265</v>
      </c>
      <c r="U434" s="362">
        <v>46269</v>
      </c>
      <c r="V434" s="37">
        <f t="shared" si="227"/>
        <v>46286</v>
      </c>
      <c r="W434" s="59">
        <f t="shared" si="237"/>
        <v>28</v>
      </c>
      <c r="X434" s="59">
        <f t="shared" si="238"/>
        <v>11</v>
      </c>
      <c r="Y434" s="59">
        <f t="shared" si="239"/>
        <v>17</v>
      </c>
      <c r="Z434" s="39"/>
      <c r="AA434" s="4" t="s">
        <v>758</v>
      </c>
      <c r="AB434" s="35">
        <v>46265</v>
      </c>
      <c r="AC434" s="13" t="s">
        <v>1065</v>
      </c>
      <c r="AD434" s="174">
        <v>7893</v>
      </c>
      <c r="AE434" s="13"/>
      <c r="AF434" s="35"/>
      <c r="AG434" s="3" t="str">
        <f t="shared" si="228"/>
        <v>CIF</v>
      </c>
      <c r="AH434" s="13" t="s">
        <v>846</v>
      </c>
      <c r="AI434" s="36" t="e">
        <f>#REF!</f>
        <v>#REF!</v>
      </c>
      <c r="AJ434" s="36">
        <v>0</v>
      </c>
      <c r="AK434" s="142">
        <f t="shared" si="245"/>
        <v>0</v>
      </c>
      <c r="AL434" s="47"/>
      <c r="AM434" s="153"/>
      <c r="AN434" s="63">
        <f t="shared" si="236"/>
        <v>0</v>
      </c>
      <c r="AO434" s="29"/>
      <c r="AP434" s="28"/>
      <c r="AQ434" s="64">
        <f t="shared" si="231"/>
        <v>0</v>
      </c>
      <c r="AR434" s="28"/>
      <c r="AS434" s="28"/>
      <c r="AT434" s="157">
        <f t="shared" si="230"/>
        <v>0</v>
      </c>
      <c r="AU434" s="28"/>
      <c r="AV434" s="28"/>
      <c r="AW434" s="109" t="str">
        <f t="shared" si="232"/>
        <v>3961,84</v>
      </c>
      <c r="AX434" s="66">
        <f t="shared" si="233"/>
        <v>0</v>
      </c>
      <c r="AY434" s="66"/>
      <c r="AZ434" s="66">
        <f t="shared" si="234"/>
        <v>0</v>
      </c>
      <c r="BA434" s="30"/>
    </row>
    <row r="435" spans="1:53" ht="22.95" customHeight="1" x14ac:dyDescent="0.3">
      <c r="A435" s="2" t="s">
        <v>1062</v>
      </c>
      <c r="B435" s="3" t="s">
        <v>171</v>
      </c>
      <c r="C435" s="3" t="s">
        <v>78</v>
      </c>
      <c r="D435" s="3" t="s">
        <v>53</v>
      </c>
      <c r="E435" s="3">
        <v>4501092594</v>
      </c>
      <c r="F435" s="3" t="s">
        <v>1066</v>
      </c>
      <c r="G435" s="144">
        <v>828</v>
      </c>
      <c r="H435" s="394">
        <v>46258</v>
      </c>
      <c r="I435" s="50">
        <v>46286</v>
      </c>
      <c r="J435" s="15">
        <f t="shared" ref="J435" si="247">I435-H435</f>
        <v>28</v>
      </c>
      <c r="K435" s="3" t="s">
        <v>70</v>
      </c>
      <c r="L435" s="3" t="s">
        <v>56</v>
      </c>
      <c r="M435" s="3" t="s">
        <v>186</v>
      </c>
      <c r="N435" s="3" t="s">
        <v>1064</v>
      </c>
      <c r="O435" s="3" t="s">
        <v>59</v>
      </c>
      <c r="P435" s="8">
        <v>6241.22</v>
      </c>
      <c r="Q435" s="44" t="s">
        <v>100</v>
      </c>
      <c r="R435" s="35">
        <f t="shared" si="242"/>
        <v>46258</v>
      </c>
      <c r="S435" s="13" t="s">
        <v>610</v>
      </c>
      <c r="T435" s="35">
        <v>46265</v>
      </c>
      <c r="U435" s="362">
        <v>46269</v>
      </c>
      <c r="V435" s="37">
        <f t="shared" ref="V435:V498" si="248">I435</f>
        <v>46286</v>
      </c>
      <c r="W435" s="59">
        <f t="shared" si="237"/>
        <v>28</v>
      </c>
      <c r="X435" s="59">
        <f t="shared" si="238"/>
        <v>11</v>
      </c>
      <c r="Y435" s="59">
        <f t="shared" si="239"/>
        <v>17</v>
      </c>
      <c r="Z435" s="39"/>
      <c r="AA435" s="4" t="s">
        <v>758</v>
      </c>
      <c r="AB435" s="35">
        <v>46265</v>
      </c>
      <c r="AC435" s="13" t="s">
        <v>1067</v>
      </c>
      <c r="AD435" s="174">
        <v>7895</v>
      </c>
      <c r="AE435" s="13"/>
      <c r="AF435" s="35"/>
      <c r="AG435" s="3" t="str">
        <f t="shared" ref="AG435:AG498" si="249">K435</f>
        <v>CIF</v>
      </c>
      <c r="AH435" s="13" t="s">
        <v>846</v>
      </c>
      <c r="AI435" s="36" t="e">
        <f>#REF!</f>
        <v>#REF!</v>
      </c>
      <c r="AJ435" s="36">
        <v>0</v>
      </c>
      <c r="AK435" s="142">
        <f t="shared" si="245"/>
        <v>0</v>
      </c>
      <c r="AL435" s="47"/>
      <c r="AM435" s="153"/>
      <c r="AN435" s="63">
        <f t="shared" si="236"/>
        <v>0</v>
      </c>
      <c r="AO435" s="29"/>
      <c r="AP435" s="28"/>
      <c r="AQ435" s="64">
        <f t="shared" si="231"/>
        <v>0</v>
      </c>
      <c r="AR435" s="28"/>
      <c r="AS435" s="28"/>
      <c r="AT435" s="157">
        <f t="shared" ref="AT435:AT498" si="250">AR435-AS435</f>
        <v>0</v>
      </c>
      <c r="AU435" s="28"/>
      <c r="AV435" s="28"/>
      <c r="AW435" s="109" t="str">
        <f t="shared" si="232"/>
        <v>6241,22</v>
      </c>
      <c r="AX435" s="66">
        <f t="shared" si="233"/>
        <v>0</v>
      </c>
      <c r="AY435" s="66"/>
      <c r="AZ435" s="66">
        <f t="shared" si="234"/>
        <v>0</v>
      </c>
      <c r="BA435" s="30"/>
    </row>
    <row r="436" spans="1:53" ht="21.6" customHeight="1" x14ac:dyDescent="0.3">
      <c r="A436" s="2" t="s">
        <v>1068</v>
      </c>
      <c r="B436" s="3" t="s">
        <v>1069</v>
      </c>
      <c r="C436" s="3" t="s">
        <v>78</v>
      </c>
      <c r="D436" s="3" t="s">
        <v>53</v>
      </c>
      <c r="E436" s="3">
        <v>462</v>
      </c>
      <c r="F436" s="3" t="s">
        <v>1070</v>
      </c>
      <c r="G436" s="144">
        <v>835</v>
      </c>
      <c r="H436" s="394">
        <v>46258</v>
      </c>
      <c r="I436" s="50">
        <v>46289</v>
      </c>
      <c r="J436" s="15">
        <f t="shared" si="246"/>
        <v>31</v>
      </c>
      <c r="K436" s="3" t="s">
        <v>55</v>
      </c>
      <c r="L436" s="3" t="s">
        <v>551</v>
      </c>
      <c r="M436" s="3" t="s">
        <v>72</v>
      </c>
      <c r="N436" s="3" t="s">
        <v>1071</v>
      </c>
      <c r="O436" s="3" t="s">
        <v>59</v>
      </c>
      <c r="P436" s="8">
        <v>61879.82</v>
      </c>
      <c r="Q436" s="44" t="s">
        <v>60</v>
      </c>
      <c r="R436" s="35">
        <f t="shared" si="242"/>
        <v>46258</v>
      </c>
      <c r="S436" s="13" t="s">
        <v>1041</v>
      </c>
      <c r="T436" s="35">
        <v>46282</v>
      </c>
      <c r="U436" s="37"/>
      <c r="V436" s="37">
        <f t="shared" si="248"/>
        <v>46289</v>
      </c>
      <c r="W436" s="59">
        <f t="shared" si="237"/>
        <v>31</v>
      </c>
      <c r="X436" s="59">
        <f t="shared" si="238"/>
        <v>-46258</v>
      </c>
      <c r="Y436" s="59">
        <f t="shared" si="239"/>
        <v>46289</v>
      </c>
      <c r="Z436" s="39"/>
      <c r="AA436" s="4" t="s">
        <v>1072</v>
      </c>
      <c r="AB436" s="35"/>
      <c r="AC436" s="13"/>
      <c r="AD436" s="174"/>
      <c r="AE436" s="13"/>
      <c r="AF436" s="35"/>
      <c r="AG436" s="3" t="str">
        <f t="shared" si="249"/>
        <v>FOB</v>
      </c>
      <c r="AH436" s="13"/>
      <c r="AI436" s="36" t="e">
        <f>#REF!</f>
        <v>#REF!</v>
      </c>
      <c r="AJ436" s="36">
        <v>0</v>
      </c>
      <c r="AK436" s="142" t="e">
        <f t="shared" si="245"/>
        <v>#DIV/0!</v>
      </c>
      <c r="AL436" s="47"/>
      <c r="AM436" s="153"/>
      <c r="AN436" s="63">
        <f t="shared" si="236"/>
        <v>0</v>
      </c>
      <c r="AO436" s="29"/>
      <c r="AP436" s="28"/>
      <c r="AQ436" s="64">
        <f t="shared" si="231"/>
        <v>0</v>
      </c>
      <c r="AR436" s="28"/>
      <c r="AS436" s="28"/>
      <c r="AT436" s="157">
        <f t="shared" si="250"/>
        <v>0</v>
      </c>
      <c r="AU436" s="28"/>
      <c r="AV436" s="28"/>
      <c r="AW436" s="109">
        <f t="shared" si="232"/>
        <v>0</v>
      </c>
      <c r="AX436" s="66">
        <f t="shared" si="233"/>
        <v>0</v>
      </c>
      <c r="AY436" s="66"/>
      <c r="AZ436" s="66">
        <f t="shared" si="234"/>
        <v>0</v>
      </c>
      <c r="BA436" s="30"/>
    </row>
    <row r="437" spans="1:53" ht="21.6" customHeight="1" x14ac:dyDescent="0.3">
      <c r="A437" s="2" t="s">
        <v>408</v>
      </c>
      <c r="B437" s="3" t="s">
        <v>91</v>
      </c>
      <c r="C437" s="3" t="s">
        <v>613</v>
      </c>
      <c r="D437" s="3" t="s">
        <v>53</v>
      </c>
      <c r="E437" s="3" t="s">
        <v>53</v>
      </c>
      <c r="F437" s="3" t="s">
        <v>53</v>
      </c>
      <c r="G437" s="144">
        <v>765</v>
      </c>
      <c r="H437" s="394">
        <v>46230</v>
      </c>
      <c r="I437" s="50">
        <v>46261</v>
      </c>
      <c r="J437" s="15">
        <f t="shared" si="246"/>
        <v>31</v>
      </c>
      <c r="K437" s="3" t="s">
        <v>70</v>
      </c>
      <c r="L437" s="3" t="s">
        <v>56</v>
      </c>
      <c r="M437" s="3" t="s">
        <v>92</v>
      </c>
      <c r="N437" s="3" t="s">
        <v>1073</v>
      </c>
      <c r="O437" s="3" t="s">
        <v>59</v>
      </c>
      <c r="P437" s="8">
        <v>27146</v>
      </c>
      <c r="Q437" s="44" t="s">
        <v>100</v>
      </c>
      <c r="R437" s="35">
        <f t="shared" si="242"/>
        <v>46230</v>
      </c>
      <c r="S437" s="13" t="s">
        <v>61</v>
      </c>
      <c r="T437" s="35">
        <v>46255</v>
      </c>
      <c r="U437" s="37">
        <v>46255</v>
      </c>
      <c r="V437" s="37">
        <f t="shared" si="248"/>
        <v>46261</v>
      </c>
      <c r="W437" s="59">
        <f t="shared" si="237"/>
        <v>31</v>
      </c>
      <c r="X437" s="59">
        <f t="shared" si="238"/>
        <v>25</v>
      </c>
      <c r="Y437" s="59">
        <f t="shared" si="239"/>
        <v>6</v>
      </c>
      <c r="Z437" s="39"/>
      <c r="AA437" s="4" t="s">
        <v>948</v>
      </c>
      <c r="AB437" s="35"/>
      <c r="AC437" s="13"/>
      <c r="AD437" s="174"/>
      <c r="AE437" s="13"/>
      <c r="AF437" s="35"/>
      <c r="AG437" s="3" t="str">
        <f t="shared" si="249"/>
        <v>CIF</v>
      </c>
      <c r="AH437" s="13"/>
      <c r="AI437" s="36" t="e">
        <f>#REF!</f>
        <v>#REF!</v>
      </c>
      <c r="AJ437" s="36">
        <v>0</v>
      </c>
      <c r="AK437" s="142" t="e">
        <f t="shared" si="245"/>
        <v>#DIV/0!</v>
      </c>
      <c r="AL437" s="47"/>
      <c r="AM437" s="153"/>
      <c r="AN437" s="63">
        <f t="shared" si="236"/>
        <v>0</v>
      </c>
      <c r="AO437" s="29"/>
      <c r="AP437" s="28"/>
      <c r="AQ437" s="64">
        <f t="shared" si="231"/>
        <v>0</v>
      </c>
      <c r="AR437" s="28"/>
      <c r="AS437" s="28"/>
      <c r="AT437" s="157">
        <f t="shared" si="250"/>
        <v>0</v>
      </c>
      <c r="AU437" s="28"/>
      <c r="AV437" s="28"/>
      <c r="AW437" s="109">
        <f t="shared" si="232"/>
        <v>0</v>
      </c>
      <c r="AX437" s="66">
        <f t="shared" si="233"/>
        <v>0</v>
      </c>
      <c r="AY437" s="66"/>
      <c r="AZ437" s="66">
        <f t="shared" si="234"/>
        <v>0</v>
      </c>
      <c r="BA437" s="30"/>
    </row>
    <row r="438" spans="1:53" ht="21.6" customHeight="1" x14ac:dyDescent="0.3">
      <c r="A438" s="2" t="s">
        <v>137</v>
      </c>
      <c r="B438" s="3" t="s">
        <v>1069</v>
      </c>
      <c r="C438" s="3" t="s">
        <v>78</v>
      </c>
      <c r="D438" s="3" t="s">
        <v>53</v>
      </c>
      <c r="E438" s="3">
        <v>91</v>
      </c>
      <c r="F438" s="3" t="s">
        <v>53</v>
      </c>
      <c r="G438" s="144">
        <v>837</v>
      </c>
      <c r="H438" s="394">
        <v>46259</v>
      </c>
      <c r="I438" s="50">
        <v>46290</v>
      </c>
      <c r="J438" s="15">
        <f t="shared" si="246"/>
        <v>31</v>
      </c>
      <c r="K438" s="3" t="s">
        <v>55</v>
      </c>
      <c r="L438" s="3" t="s">
        <v>139</v>
      </c>
      <c r="M438" s="3" t="s">
        <v>72</v>
      </c>
      <c r="N438" s="3" t="s">
        <v>140</v>
      </c>
      <c r="O438" s="3" t="s">
        <v>59</v>
      </c>
      <c r="P438" s="8">
        <v>12176.91</v>
      </c>
      <c r="Q438" s="44" t="s">
        <v>100</v>
      </c>
      <c r="R438" s="35">
        <f t="shared" si="242"/>
        <v>46259</v>
      </c>
      <c r="S438" s="13" t="s">
        <v>1041</v>
      </c>
      <c r="T438" s="35">
        <v>46282</v>
      </c>
      <c r="U438" s="37"/>
      <c r="V438" s="37">
        <f t="shared" si="248"/>
        <v>46290</v>
      </c>
      <c r="W438" s="59">
        <f t="shared" si="237"/>
        <v>31</v>
      </c>
      <c r="X438" s="59">
        <f t="shared" si="238"/>
        <v>-46259</v>
      </c>
      <c r="Y438" s="59">
        <f t="shared" si="239"/>
        <v>46290</v>
      </c>
      <c r="Z438" s="39"/>
      <c r="AA438" s="4" t="s">
        <v>1072</v>
      </c>
      <c r="AB438" s="35"/>
      <c r="AC438" s="13"/>
      <c r="AD438" s="174"/>
      <c r="AE438" s="13"/>
      <c r="AF438" s="35"/>
      <c r="AG438" s="3" t="str">
        <f t="shared" si="249"/>
        <v>FOB</v>
      </c>
      <c r="AH438" s="13"/>
      <c r="AI438" s="36" t="e">
        <f>#REF!</f>
        <v>#REF!</v>
      </c>
      <c r="AJ438" s="36">
        <v>0</v>
      </c>
      <c r="AK438" s="142" t="e">
        <f t="shared" si="245"/>
        <v>#DIV/0!</v>
      </c>
      <c r="AL438" s="47"/>
      <c r="AM438" s="153"/>
      <c r="AN438" s="63">
        <f t="shared" si="236"/>
        <v>0</v>
      </c>
      <c r="AO438" s="29"/>
      <c r="AP438" s="28"/>
      <c r="AQ438" s="64">
        <f t="shared" si="231"/>
        <v>0</v>
      </c>
      <c r="AR438" s="28"/>
      <c r="AS438" s="28"/>
      <c r="AT438" s="157">
        <f t="shared" si="250"/>
        <v>0</v>
      </c>
      <c r="AU438" s="28"/>
      <c r="AV438" s="28"/>
      <c r="AW438" s="109">
        <f t="shared" si="232"/>
        <v>0</v>
      </c>
      <c r="AX438" s="66">
        <f t="shared" si="233"/>
        <v>0</v>
      </c>
      <c r="AY438" s="66"/>
      <c r="AZ438" s="66">
        <f t="shared" si="234"/>
        <v>0</v>
      </c>
      <c r="BA438" s="30"/>
    </row>
    <row r="439" spans="1:53" ht="21.6" customHeight="1" x14ac:dyDescent="0.3">
      <c r="A439" s="2" t="s">
        <v>1013</v>
      </c>
      <c r="B439" s="3" t="s">
        <v>51</v>
      </c>
      <c r="C439" s="3" t="s">
        <v>78</v>
      </c>
      <c r="D439" s="3" t="s">
        <v>53</v>
      </c>
      <c r="E439" s="3">
        <v>1226</v>
      </c>
      <c r="F439" s="3" t="s">
        <v>1074</v>
      </c>
      <c r="G439" s="144">
        <v>839</v>
      </c>
      <c r="H439" s="394">
        <v>46260</v>
      </c>
      <c r="I439" s="50">
        <v>46280</v>
      </c>
      <c r="J439" s="15">
        <f t="shared" si="246"/>
        <v>20</v>
      </c>
      <c r="K439" s="3" t="s">
        <v>70</v>
      </c>
      <c r="L439" s="3" t="s">
        <v>56</v>
      </c>
      <c r="M439" s="3" t="s">
        <v>81</v>
      </c>
      <c r="N439" s="3" t="s">
        <v>664</v>
      </c>
      <c r="O439" s="3" t="s">
        <v>59</v>
      </c>
      <c r="P439" s="8">
        <v>26012.5</v>
      </c>
      <c r="Q439" s="44" t="s">
        <v>60</v>
      </c>
      <c r="R439" s="35">
        <f t="shared" si="242"/>
        <v>46260</v>
      </c>
      <c r="S439" s="13" t="s">
        <v>610</v>
      </c>
      <c r="T439" s="35">
        <v>46266</v>
      </c>
      <c r="U439" s="362">
        <v>46269</v>
      </c>
      <c r="V439" s="37">
        <f t="shared" si="248"/>
        <v>46280</v>
      </c>
      <c r="W439" s="59">
        <f t="shared" si="237"/>
        <v>20</v>
      </c>
      <c r="X439" s="59">
        <f t="shared" si="238"/>
        <v>9</v>
      </c>
      <c r="Y439" s="59">
        <f t="shared" si="239"/>
        <v>11</v>
      </c>
      <c r="Z439" s="39"/>
      <c r="AA439" s="4" t="s">
        <v>758</v>
      </c>
      <c r="AB439" s="35"/>
      <c r="AC439" s="13"/>
      <c r="AD439" s="174"/>
      <c r="AE439" s="13"/>
      <c r="AF439" s="35"/>
      <c r="AG439" s="3" t="str">
        <f t="shared" si="249"/>
        <v>CIF</v>
      </c>
      <c r="AH439" s="13"/>
      <c r="AI439" s="36" t="e">
        <f>#REF!</f>
        <v>#REF!</v>
      </c>
      <c r="AJ439" s="36">
        <v>0</v>
      </c>
      <c r="AK439" s="142" t="e">
        <f t="shared" si="245"/>
        <v>#DIV/0!</v>
      </c>
      <c r="AL439" s="47"/>
      <c r="AM439" s="153"/>
      <c r="AN439" s="63">
        <f t="shared" si="236"/>
        <v>0</v>
      </c>
      <c r="AO439" s="29"/>
      <c r="AP439" s="28"/>
      <c r="AQ439" s="64">
        <f t="shared" si="231"/>
        <v>0</v>
      </c>
      <c r="AR439" s="28"/>
      <c r="AS439" s="28"/>
      <c r="AT439" s="157">
        <f t="shared" si="250"/>
        <v>0</v>
      </c>
      <c r="AU439" s="28"/>
      <c r="AV439" s="28"/>
      <c r="AW439" s="109">
        <f t="shared" si="232"/>
        <v>0</v>
      </c>
      <c r="AX439" s="66">
        <f t="shared" si="233"/>
        <v>0</v>
      </c>
      <c r="AY439" s="66"/>
      <c r="AZ439" s="66">
        <f t="shared" si="234"/>
        <v>0</v>
      </c>
      <c r="BA439" s="30"/>
    </row>
    <row r="440" spans="1:53" ht="21.6" customHeight="1" x14ac:dyDescent="0.3">
      <c r="A440" s="2" t="s">
        <v>767</v>
      </c>
      <c r="B440" s="3" t="s">
        <v>77</v>
      </c>
      <c r="C440" s="3" t="s">
        <v>52</v>
      </c>
      <c r="D440" s="3" t="s">
        <v>53</v>
      </c>
      <c r="E440" s="3">
        <v>17180</v>
      </c>
      <c r="F440" s="3" t="s">
        <v>1075</v>
      </c>
      <c r="G440" s="144">
        <v>843</v>
      </c>
      <c r="H440" s="394">
        <v>46260</v>
      </c>
      <c r="I440" s="50">
        <v>46267</v>
      </c>
      <c r="J440" s="15">
        <f t="shared" si="246"/>
        <v>7</v>
      </c>
      <c r="K440" s="3" t="s">
        <v>55</v>
      </c>
      <c r="L440" s="3" t="s">
        <v>56</v>
      </c>
      <c r="M440" s="3" t="s">
        <v>208</v>
      </c>
      <c r="N440" s="3" t="s">
        <v>769</v>
      </c>
      <c r="O440" s="3" t="s">
        <v>59</v>
      </c>
      <c r="P440" s="8">
        <v>3540.64</v>
      </c>
      <c r="Q440" s="44" t="s">
        <v>100</v>
      </c>
      <c r="R440" s="35">
        <f t="shared" si="242"/>
        <v>46260</v>
      </c>
      <c r="S440" s="13" t="s">
        <v>610</v>
      </c>
      <c r="T440" s="35">
        <v>46266</v>
      </c>
      <c r="U440" s="362">
        <v>46267</v>
      </c>
      <c r="V440" s="37">
        <f t="shared" si="248"/>
        <v>46267</v>
      </c>
      <c r="W440" s="59">
        <f t="shared" si="237"/>
        <v>7</v>
      </c>
      <c r="X440" s="59">
        <f t="shared" si="238"/>
        <v>7</v>
      </c>
      <c r="Y440" s="59">
        <f t="shared" si="239"/>
        <v>0</v>
      </c>
      <c r="Z440" s="39"/>
      <c r="AA440" s="4" t="s">
        <v>758</v>
      </c>
      <c r="AB440" s="35">
        <v>46265</v>
      </c>
      <c r="AC440" s="13" t="s">
        <v>1076</v>
      </c>
      <c r="AD440" s="174">
        <v>7899</v>
      </c>
      <c r="AE440" s="13"/>
      <c r="AF440" s="35"/>
      <c r="AG440" s="3" t="str">
        <f t="shared" si="249"/>
        <v>FOB</v>
      </c>
      <c r="AH440" s="13"/>
      <c r="AI440" s="36" t="e">
        <f>#REF!</f>
        <v>#REF!</v>
      </c>
      <c r="AJ440" s="36">
        <v>0</v>
      </c>
      <c r="AK440" s="142">
        <f t="shared" si="245"/>
        <v>0</v>
      </c>
      <c r="AL440" s="47"/>
      <c r="AM440" s="153"/>
      <c r="AN440" s="63">
        <f t="shared" si="236"/>
        <v>0</v>
      </c>
      <c r="AO440" s="29"/>
      <c r="AP440" s="28"/>
      <c r="AQ440" s="64">
        <f t="shared" si="231"/>
        <v>0</v>
      </c>
      <c r="AR440" s="28"/>
      <c r="AS440" s="28"/>
      <c r="AT440" s="157">
        <f t="shared" si="250"/>
        <v>0</v>
      </c>
      <c r="AU440" s="28"/>
      <c r="AV440" s="28"/>
      <c r="AW440" s="109" t="str">
        <f t="shared" si="232"/>
        <v>3540,64</v>
      </c>
      <c r="AX440" s="66">
        <f t="shared" si="233"/>
        <v>0</v>
      </c>
      <c r="AY440" s="66"/>
      <c r="AZ440" s="66">
        <f t="shared" si="234"/>
        <v>0</v>
      </c>
      <c r="BA440" s="30"/>
    </row>
    <row r="441" spans="1:53" ht="21.6" customHeight="1" x14ac:dyDescent="0.3">
      <c r="A441" s="2" t="s">
        <v>1077</v>
      </c>
      <c r="B441" s="3" t="s">
        <v>91</v>
      </c>
      <c r="C441" s="3" t="s">
        <v>52</v>
      </c>
      <c r="D441" s="3" t="s">
        <v>53</v>
      </c>
      <c r="E441" s="3">
        <v>624005</v>
      </c>
      <c r="F441" s="3" t="s">
        <v>1078</v>
      </c>
      <c r="G441" s="144">
        <v>844</v>
      </c>
      <c r="H441" s="394">
        <v>46260</v>
      </c>
      <c r="I441" s="50">
        <v>46282</v>
      </c>
      <c r="J441" s="15">
        <f t="shared" si="246"/>
        <v>22</v>
      </c>
      <c r="K441" s="3" t="s">
        <v>70</v>
      </c>
      <c r="L441" s="3" t="s">
        <v>56</v>
      </c>
      <c r="M441" s="3" t="s">
        <v>92</v>
      </c>
      <c r="N441" s="3" t="s">
        <v>1079</v>
      </c>
      <c r="O441" s="3" t="s">
        <v>59</v>
      </c>
      <c r="P441" s="8">
        <v>7163.21</v>
      </c>
      <c r="Q441" s="44" t="s">
        <v>60</v>
      </c>
      <c r="R441" s="35">
        <f t="shared" si="242"/>
        <v>46260</v>
      </c>
      <c r="S441" s="13" t="s">
        <v>1041</v>
      </c>
      <c r="T441" s="35">
        <v>46276</v>
      </c>
      <c r="U441" s="37"/>
      <c r="V441" s="37">
        <f t="shared" si="248"/>
        <v>46282</v>
      </c>
      <c r="W441" s="59">
        <f t="shared" si="237"/>
        <v>22</v>
      </c>
      <c r="X441" s="59">
        <f t="shared" si="238"/>
        <v>-46260</v>
      </c>
      <c r="Y441" s="59">
        <f t="shared" si="239"/>
        <v>46282</v>
      </c>
      <c r="Z441" s="39"/>
      <c r="AA441" s="4" t="s">
        <v>1080</v>
      </c>
      <c r="AB441" s="35"/>
      <c r="AC441" s="13"/>
      <c r="AD441" s="174"/>
      <c r="AE441" s="13"/>
      <c r="AF441" s="35"/>
      <c r="AG441" s="3" t="str">
        <f t="shared" si="249"/>
        <v>CIF</v>
      </c>
      <c r="AH441" s="13"/>
      <c r="AI441" s="36" t="e">
        <f>#REF!</f>
        <v>#REF!</v>
      </c>
      <c r="AJ441" s="36">
        <v>0</v>
      </c>
      <c r="AK441" s="142" t="e">
        <f t="shared" si="245"/>
        <v>#DIV/0!</v>
      </c>
      <c r="AL441" s="47"/>
      <c r="AM441" s="153"/>
      <c r="AN441" s="63">
        <f t="shared" si="236"/>
        <v>0</v>
      </c>
      <c r="AO441" s="29"/>
      <c r="AP441" s="28"/>
      <c r="AQ441" s="64">
        <f t="shared" si="231"/>
        <v>0</v>
      </c>
      <c r="AR441" s="28"/>
      <c r="AS441" s="28"/>
      <c r="AT441" s="157">
        <f t="shared" si="250"/>
        <v>0</v>
      </c>
      <c r="AU441" s="28"/>
      <c r="AV441" s="28"/>
      <c r="AW441" s="109">
        <f t="shared" si="232"/>
        <v>0</v>
      </c>
      <c r="AX441" s="66">
        <f t="shared" si="233"/>
        <v>0</v>
      </c>
      <c r="AY441" s="66"/>
      <c r="AZ441" s="66">
        <f t="shared" si="234"/>
        <v>0</v>
      </c>
      <c r="BA441" s="30"/>
    </row>
    <row r="442" spans="1:53" ht="21.6" customHeight="1" x14ac:dyDescent="0.3">
      <c r="A442" s="2" t="s">
        <v>1077</v>
      </c>
      <c r="B442" s="3" t="s">
        <v>91</v>
      </c>
      <c r="C442" s="3" t="s">
        <v>613</v>
      </c>
      <c r="D442" s="3" t="s">
        <v>53</v>
      </c>
      <c r="E442" s="3" t="s">
        <v>135</v>
      </c>
      <c r="F442" s="3" t="s">
        <v>1081</v>
      </c>
      <c r="G442" s="144">
        <v>845</v>
      </c>
      <c r="H442" s="394">
        <v>46260</v>
      </c>
      <c r="I442" s="50">
        <v>46282</v>
      </c>
      <c r="J442" s="15">
        <f t="shared" si="246"/>
        <v>22</v>
      </c>
      <c r="K442" s="3" t="s">
        <v>612</v>
      </c>
      <c r="L442" s="3" t="s">
        <v>56</v>
      </c>
      <c r="M442" s="3" t="s">
        <v>92</v>
      </c>
      <c r="N442" s="3" t="s">
        <v>1079</v>
      </c>
      <c r="O442" s="3" t="s">
        <v>59</v>
      </c>
      <c r="P442" s="8">
        <v>65701.759999999995</v>
      </c>
      <c r="Q442" s="44" t="s">
        <v>60</v>
      </c>
      <c r="R442" s="35">
        <f t="shared" si="242"/>
        <v>46260</v>
      </c>
      <c r="S442" s="13" t="s">
        <v>1041</v>
      </c>
      <c r="T442" s="35">
        <v>46276</v>
      </c>
      <c r="U442" s="37"/>
      <c r="V442" s="37">
        <f t="shared" si="248"/>
        <v>46282</v>
      </c>
      <c r="W442" s="59">
        <f t="shared" si="237"/>
        <v>22</v>
      </c>
      <c r="X442" s="59">
        <f t="shared" si="238"/>
        <v>-46260</v>
      </c>
      <c r="Y442" s="59">
        <f t="shared" si="239"/>
        <v>46282</v>
      </c>
      <c r="Z442" s="39"/>
      <c r="AA442" s="4" t="s">
        <v>1080</v>
      </c>
      <c r="AB442" s="35"/>
      <c r="AC442" s="13"/>
      <c r="AD442" s="174"/>
      <c r="AE442" s="13"/>
      <c r="AF442" s="35"/>
      <c r="AG442" s="3" t="str">
        <f t="shared" si="249"/>
        <v>SERV</v>
      </c>
      <c r="AH442" s="13"/>
      <c r="AI442" s="36" t="e">
        <f>#REF!</f>
        <v>#REF!</v>
      </c>
      <c r="AJ442" s="36">
        <v>0</v>
      </c>
      <c r="AK442" s="142" t="e">
        <f t="shared" si="245"/>
        <v>#DIV/0!</v>
      </c>
      <c r="AL442" s="47"/>
      <c r="AM442" s="153"/>
      <c r="AN442" s="63">
        <f t="shared" si="236"/>
        <v>0</v>
      </c>
      <c r="AO442" s="29"/>
      <c r="AP442" s="28"/>
      <c r="AQ442" s="64">
        <f t="shared" si="231"/>
        <v>0</v>
      </c>
      <c r="AR442" s="28"/>
      <c r="AS442" s="28"/>
      <c r="AT442" s="157">
        <f t="shared" si="250"/>
        <v>0</v>
      </c>
      <c r="AU442" s="28"/>
      <c r="AV442" s="28"/>
      <c r="AW442" s="109">
        <f t="shared" si="232"/>
        <v>0</v>
      </c>
      <c r="AX442" s="66">
        <f t="shared" si="233"/>
        <v>0</v>
      </c>
      <c r="AY442" s="66"/>
      <c r="AZ442" s="66">
        <f t="shared" si="234"/>
        <v>0</v>
      </c>
      <c r="BA442" s="30"/>
    </row>
    <row r="443" spans="1:53" ht="21.6" customHeight="1" x14ac:dyDescent="0.3">
      <c r="A443" s="2" t="s">
        <v>1082</v>
      </c>
      <c r="B443" s="3" t="s">
        <v>51</v>
      </c>
      <c r="C443" s="3" t="s">
        <v>613</v>
      </c>
      <c r="D443" s="3">
        <v>4600004828</v>
      </c>
      <c r="E443" s="3" t="s">
        <v>53</v>
      </c>
      <c r="F443" s="3" t="s">
        <v>1083</v>
      </c>
      <c r="G443" s="144">
        <v>849</v>
      </c>
      <c r="H443" s="394">
        <v>46260</v>
      </c>
      <c r="I443" s="50">
        <v>46291</v>
      </c>
      <c r="J443" s="15">
        <f t="shared" si="246"/>
        <v>31</v>
      </c>
      <c r="K443" s="3" t="s">
        <v>1084</v>
      </c>
      <c r="L443" s="3" t="s">
        <v>56</v>
      </c>
      <c r="M443" s="3" t="s">
        <v>57</v>
      </c>
      <c r="N443" s="3" t="s">
        <v>1085</v>
      </c>
      <c r="O443" s="3" t="s">
        <v>59</v>
      </c>
      <c r="P443" s="8">
        <v>81400</v>
      </c>
      <c r="Q443" s="44" t="s">
        <v>100</v>
      </c>
      <c r="R443" s="35">
        <f t="shared" si="242"/>
        <v>46260</v>
      </c>
      <c r="S443" s="13" t="s">
        <v>1041</v>
      </c>
      <c r="T443" s="35">
        <v>46290</v>
      </c>
      <c r="U443" s="37"/>
      <c r="V443" s="37">
        <f t="shared" si="248"/>
        <v>46291</v>
      </c>
      <c r="W443" s="59">
        <f t="shared" si="237"/>
        <v>31</v>
      </c>
      <c r="X443" s="59">
        <f t="shared" si="238"/>
        <v>-46260</v>
      </c>
      <c r="Y443" s="59">
        <f t="shared" si="239"/>
        <v>46291</v>
      </c>
      <c r="Z443" s="39"/>
      <c r="AA443" s="4" t="s">
        <v>1086</v>
      </c>
      <c r="AB443" s="35"/>
      <c r="AC443" s="13"/>
      <c r="AD443" s="174"/>
      <c r="AE443" s="13"/>
      <c r="AF443" s="35"/>
      <c r="AG443" s="3" t="str">
        <f t="shared" si="249"/>
        <v>S/F</v>
      </c>
      <c r="AH443" s="13"/>
      <c r="AI443" s="36" t="e">
        <f>#REF!</f>
        <v>#REF!</v>
      </c>
      <c r="AJ443" s="36">
        <v>0</v>
      </c>
      <c r="AK443" s="142" t="e">
        <f t="shared" si="245"/>
        <v>#DIV/0!</v>
      </c>
      <c r="AL443" s="47"/>
      <c r="AM443" s="153"/>
      <c r="AN443" s="63">
        <f t="shared" si="236"/>
        <v>0</v>
      </c>
      <c r="AO443" s="29"/>
      <c r="AP443" s="28"/>
      <c r="AQ443" s="64">
        <f t="shared" si="231"/>
        <v>0</v>
      </c>
      <c r="AR443" s="28"/>
      <c r="AS443" s="28"/>
      <c r="AT443" s="157">
        <f t="shared" si="250"/>
        <v>0</v>
      </c>
      <c r="AU443" s="28"/>
      <c r="AV443" s="28"/>
      <c r="AW443" s="109">
        <f t="shared" si="232"/>
        <v>0</v>
      </c>
      <c r="AX443" s="66">
        <f t="shared" si="233"/>
        <v>0</v>
      </c>
      <c r="AY443" s="66"/>
      <c r="AZ443" s="66">
        <f t="shared" si="234"/>
        <v>0</v>
      </c>
      <c r="BA443" s="30"/>
    </row>
    <row r="444" spans="1:53" ht="21.6" customHeight="1" x14ac:dyDescent="0.3">
      <c r="A444" s="2" t="s">
        <v>1087</v>
      </c>
      <c r="B444" s="3" t="s">
        <v>96</v>
      </c>
      <c r="C444" s="3" t="s">
        <v>78</v>
      </c>
      <c r="D444" s="3" t="s">
        <v>53</v>
      </c>
      <c r="E444" s="3">
        <v>34050917</v>
      </c>
      <c r="F444" s="3" t="s">
        <v>1088</v>
      </c>
      <c r="G444" s="144">
        <v>846</v>
      </c>
      <c r="H444" s="394">
        <v>46260</v>
      </c>
      <c r="I444" s="50">
        <v>46286</v>
      </c>
      <c r="J444" s="15">
        <f t="shared" si="246"/>
        <v>26</v>
      </c>
      <c r="K444" s="3" t="s">
        <v>55</v>
      </c>
      <c r="L444" s="3" t="s">
        <v>56</v>
      </c>
      <c r="M444" s="3" t="s">
        <v>98</v>
      </c>
      <c r="N444" s="3" t="s">
        <v>993</v>
      </c>
      <c r="O444" s="3" t="s">
        <v>59</v>
      </c>
      <c r="P444" s="8">
        <v>1093.31</v>
      </c>
      <c r="Q444" s="44" t="s">
        <v>100</v>
      </c>
      <c r="R444" s="35">
        <f t="shared" si="242"/>
        <v>46260</v>
      </c>
      <c r="S444" s="13" t="s">
        <v>610</v>
      </c>
      <c r="T444" s="35">
        <v>46267</v>
      </c>
      <c r="U444" s="362">
        <v>46267</v>
      </c>
      <c r="V444" s="37">
        <f t="shared" si="248"/>
        <v>46286</v>
      </c>
      <c r="W444" s="59">
        <f t="shared" si="237"/>
        <v>26</v>
      </c>
      <c r="X444" s="59">
        <f t="shared" si="238"/>
        <v>7</v>
      </c>
      <c r="Y444" s="59">
        <f t="shared" si="239"/>
        <v>19</v>
      </c>
      <c r="Z444" s="39"/>
      <c r="AA444" s="4" t="s">
        <v>758</v>
      </c>
      <c r="AB444" s="35">
        <v>46265</v>
      </c>
      <c r="AC444" s="13" t="s">
        <v>1089</v>
      </c>
      <c r="AD444" s="174">
        <v>7894</v>
      </c>
      <c r="AE444" s="13"/>
      <c r="AF444" s="35"/>
      <c r="AG444" s="3" t="str">
        <f t="shared" si="249"/>
        <v>FOB</v>
      </c>
      <c r="AH444" s="13"/>
      <c r="AI444" s="36" t="e">
        <f>#REF!</f>
        <v>#REF!</v>
      </c>
      <c r="AJ444" s="36">
        <v>0</v>
      </c>
      <c r="AK444" s="142">
        <f t="shared" si="245"/>
        <v>0</v>
      </c>
      <c r="AL444" s="47"/>
      <c r="AM444" s="153"/>
      <c r="AN444" s="63">
        <f t="shared" si="236"/>
        <v>0</v>
      </c>
      <c r="AO444" s="29"/>
      <c r="AP444" s="28"/>
      <c r="AQ444" s="64">
        <f t="shared" si="231"/>
        <v>0</v>
      </c>
      <c r="AR444" s="28"/>
      <c r="AS444" s="28"/>
      <c r="AT444" s="157">
        <f t="shared" si="250"/>
        <v>0</v>
      </c>
      <c r="AU444" s="28"/>
      <c r="AV444" s="28"/>
      <c r="AW444" s="109" t="str">
        <f t="shared" si="232"/>
        <v>1093,31</v>
      </c>
      <c r="AX444" s="66">
        <f t="shared" si="233"/>
        <v>0</v>
      </c>
      <c r="AY444" s="66"/>
      <c r="AZ444" s="66">
        <f t="shared" si="234"/>
        <v>0</v>
      </c>
      <c r="BA444" s="30"/>
    </row>
    <row r="445" spans="1:53" ht="21.6" customHeight="1" x14ac:dyDescent="0.3">
      <c r="A445" s="2" t="s">
        <v>1090</v>
      </c>
      <c r="B445" s="3" t="s">
        <v>67</v>
      </c>
      <c r="C445" s="3" t="s">
        <v>78</v>
      </c>
      <c r="D445" s="3" t="s">
        <v>53</v>
      </c>
      <c r="E445" s="3">
        <v>26270014</v>
      </c>
      <c r="F445" s="3" t="s">
        <v>1091</v>
      </c>
      <c r="G445" s="144">
        <v>855</v>
      </c>
      <c r="H445" s="394">
        <v>46265</v>
      </c>
      <c r="I445" s="50">
        <v>46287</v>
      </c>
      <c r="J445" s="15">
        <f t="shared" si="246"/>
        <v>22</v>
      </c>
      <c r="K445" s="3" t="s">
        <v>55</v>
      </c>
      <c r="L445" s="3" t="s">
        <v>1092</v>
      </c>
      <c r="M445" s="3" t="s">
        <v>72</v>
      </c>
      <c r="N445" s="3" t="s">
        <v>1093</v>
      </c>
      <c r="O445" s="3" t="s">
        <v>59</v>
      </c>
      <c r="P445" s="8">
        <v>4901.1000000000004</v>
      </c>
      <c r="Q445" s="44"/>
      <c r="R445" s="35">
        <f t="shared" si="242"/>
        <v>46265</v>
      </c>
      <c r="S445" s="13"/>
      <c r="T445" s="35"/>
      <c r="U445" s="37"/>
      <c r="V445" s="37">
        <f t="shared" si="248"/>
        <v>46287</v>
      </c>
      <c r="W445" s="59">
        <f t="shared" si="237"/>
        <v>22</v>
      </c>
      <c r="X445" s="59">
        <f t="shared" si="238"/>
        <v>-46265</v>
      </c>
      <c r="Y445" s="59">
        <f t="shared" si="239"/>
        <v>46287</v>
      </c>
      <c r="Z445" s="39"/>
      <c r="AA445" s="4"/>
      <c r="AB445" s="35"/>
      <c r="AC445" s="13"/>
      <c r="AD445" s="174"/>
      <c r="AE445" s="13"/>
      <c r="AF445" s="35"/>
      <c r="AG445" s="3" t="str">
        <f t="shared" si="249"/>
        <v>FOB</v>
      </c>
      <c r="AH445" s="13"/>
      <c r="AI445" s="36" t="e">
        <f>#REF!</f>
        <v>#REF!</v>
      </c>
      <c r="AJ445" s="36">
        <v>0</v>
      </c>
      <c r="AK445" s="142" t="e">
        <f t="shared" si="245"/>
        <v>#DIV/0!</v>
      </c>
      <c r="AL445" s="47"/>
      <c r="AM445" s="153"/>
      <c r="AN445" s="63">
        <f t="shared" si="236"/>
        <v>0</v>
      </c>
      <c r="AO445" s="29"/>
      <c r="AP445" s="28"/>
      <c r="AQ445" s="64">
        <f t="shared" si="231"/>
        <v>0</v>
      </c>
      <c r="AR445" s="28"/>
      <c r="AS445" s="28"/>
      <c r="AT445" s="157">
        <f t="shared" si="250"/>
        <v>0</v>
      </c>
      <c r="AU445" s="28"/>
      <c r="AV445" s="28"/>
      <c r="AW445" s="109">
        <f t="shared" si="232"/>
        <v>0</v>
      </c>
      <c r="AX445" s="66">
        <f t="shared" si="233"/>
        <v>0</v>
      </c>
      <c r="AY445" s="66"/>
      <c r="AZ445" s="66">
        <f t="shared" si="234"/>
        <v>0</v>
      </c>
      <c r="BA445" s="30"/>
    </row>
    <row r="446" spans="1:53" ht="21.6" customHeight="1" x14ac:dyDescent="0.3">
      <c r="A446" s="2" t="s">
        <v>76</v>
      </c>
      <c r="B446" s="3" t="s">
        <v>51</v>
      </c>
      <c r="C446" s="3" t="s">
        <v>78</v>
      </c>
      <c r="D446" s="3" t="s">
        <v>53</v>
      </c>
      <c r="E446" s="3">
        <v>3100049780</v>
      </c>
      <c r="F446" s="3" t="s">
        <v>1094</v>
      </c>
      <c r="G446" s="144">
        <v>856</v>
      </c>
      <c r="H446" s="394">
        <v>46265</v>
      </c>
      <c r="I446" s="50">
        <v>46282</v>
      </c>
      <c r="J446" s="15">
        <f t="shared" si="246"/>
        <v>17</v>
      </c>
      <c r="K446" s="3" t="s">
        <v>55</v>
      </c>
      <c r="L446" s="3" t="s">
        <v>56</v>
      </c>
      <c r="M446" s="3" t="s">
        <v>57</v>
      </c>
      <c r="N446" s="3" t="s">
        <v>432</v>
      </c>
      <c r="O446" s="3" t="s">
        <v>59</v>
      </c>
      <c r="P446" s="8">
        <v>1794.9</v>
      </c>
      <c r="Q446" s="44"/>
      <c r="R446" s="35">
        <f t="shared" si="242"/>
        <v>46265</v>
      </c>
      <c r="S446" s="13"/>
      <c r="T446" s="35"/>
      <c r="U446" s="37"/>
      <c r="V446" s="37">
        <f t="shared" si="248"/>
        <v>46282</v>
      </c>
      <c r="W446" s="59">
        <f t="shared" si="237"/>
        <v>17</v>
      </c>
      <c r="X446" s="59">
        <f t="shared" si="238"/>
        <v>-46265</v>
      </c>
      <c r="Y446" s="59">
        <f t="shared" si="239"/>
        <v>46282</v>
      </c>
      <c r="Z446" s="39"/>
      <c r="AA446" s="4"/>
      <c r="AB446" s="35"/>
      <c r="AC446" s="13"/>
      <c r="AD446" s="174"/>
      <c r="AE446" s="13"/>
      <c r="AF446" s="35"/>
      <c r="AG446" s="3" t="str">
        <f t="shared" si="249"/>
        <v>FOB</v>
      </c>
      <c r="AH446" s="13"/>
      <c r="AI446" s="36" t="e">
        <f>#REF!</f>
        <v>#REF!</v>
      </c>
      <c r="AJ446" s="36">
        <v>0</v>
      </c>
      <c r="AK446" s="142" t="e">
        <f t="shared" si="245"/>
        <v>#DIV/0!</v>
      </c>
      <c r="AL446" s="47"/>
      <c r="AM446" s="153"/>
      <c r="AN446" s="63">
        <f t="shared" si="236"/>
        <v>0</v>
      </c>
      <c r="AO446" s="29"/>
      <c r="AP446" s="28"/>
      <c r="AQ446" s="64">
        <f t="shared" ref="AQ446:AQ509" si="251">AM446</f>
        <v>0</v>
      </c>
      <c r="AR446" s="28"/>
      <c r="AS446" s="28"/>
      <c r="AT446" s="157">
        <f t="shared" si="250"/>
        <v>0</v>
      </c>
      <c r="AU446" s="28"/>
      <c r="AV446" s="28"/>
      <c r="AW446" s="109">
        <f t="shared" ref="AW446:AW509" si="252">AC446</f>
        <v>0</v>
      </c>
      <c r="AX446" s="66">
        <f t="shared" ref="AX446:AX509" si="253">Z446</f>
        <v>0</v>
      </c>
      <c r="AY446" s="66"/>
      <c r="AZ446" s="66">
        <f t="shared" ref="AZ446:AZ509" si="254">AJ446</f>
        <v>0</v>
      </c>
      <c r="BA446" s="30"/>
    </row>
    <row r="447" spans="1:53" ht="21.6" customHeight="1" x14ac:dyDescent="0.3">
      <c r="A447" s="2" t="s">
        <v>291</v>
      </c>
      <c r="B447" s="3" t="s">
        <v>292</v>
      </c>
      <c r="C447" s="3" t="s">
        <v>78</v>
      </c>
      <c r="D447" s="3" t="s">
        <v>53</v>
      </c>
      <c r="E447" s="3">
        <v>4500272406</v>
      </c>
      <c r="F447" s="3" t="s">
        <v>53</v>
      </c>
      <c r="G447" s="144">
        <v>857</v>
      </c>
      <c r="H447" s="394">
        <v>46266</v>
      </c>
      <c r="I447" s="50">
        <v>46296</v>
      </c>
      <c r="J447" s="15">
        <f t="shared" si="246"/>
        <v>30</v>
      </c>
      <c r="K447" s="3" t="s">
        <v>55</v>
      </c>
      <c r="L447" s="3" t="s">
        <v>56</v>
      </c>
      <c r="M447" s="3" t="s">
        <v>294</v>
      </c>
      <c r="N447" s="3" t="s">
        <v>323</v>
      </c>
      <c r="O447" s="3" t="s">
        <v>59</v>
      </c>
      <c r="P447" s="8">
        <v>18009.759999999998</v>
      </c>
      <c r="Q447" s="44"/>
      <c r="R447" s="35">
        <f t="shared" si="242"/>
        <v>46266</v>
      </c>
      <c r="S447" s="13"/>
      <c r="T447" s="35"/>
      <c r="U447" s="37"/>
      <c r="V447" s="37">
        <f t="shared" si="248"/>
        <v>46296</v>
      </c>
      <c r="W447" s="59">
        <f t="shared" si="237"/>
        <v>30</v>
      </c>
      <c r="X447" s="59">
        <f t="shared" si="238"/>
        <v>-46266</v>
      </c>
      <c r="Y447" s="59">
        <f t="shared" si="239"/>
        <v>46296</v>
      </c>
      <c r="Z447" s="39"/>
      <c r="AA447" s="4"/>
      <c r="AB447" s="35"/>
      <c r="AC447" s="13"/>
      <c r="AD447" s="174"/>
      <c r="AE447" s="13"/>
      <c r="AF447" s="35"/>
      <c r="AG447" s="3" t="str">
        <f t="shared" si="249"/>
        <v>FOB</v>
      </c>
      <c r="AH447" s="13"/>
      <c r="AI447" s="36" t="e">
        <f>#REF!</f>
        <v>#REF!</v>
      </c>
      <c r="AJ447" s="36">
        <v>0</v>
      </c>
      <c r="AK447" s="142" t="e">
        <f t="shared" ref="AK447:AK478" si="255">AJ447/AC447</f>
        <v>#DIV/0!</v>
      </c>
      <c r="AL447" s="47"/>
      <c r="AM447" s="153"/>
      <c r="AN447" s="63">
        <f t="shared" ref="AN447:AN510" si="256">AM447-AF447</f>
        <v>0</v>
      </c>
      <c r="AO447" s="29"/>
      <c r="AP447" s="28"/>
      <c r="AQ447" s="64">
        <f t="shared" si="251"/>
        <v>0</v>
      </c>
      <c r="AR447" s="28"/>
      <c r="AS447" s="28"/>
      <c r="AT447" s="157">
        <f t="shared" si="250"/>
        <v>0</v>
      </c>
      <c r="AU447" s="28"/>
      <c r="AV447" s="28"/>
      <c r="AW447" s="109">
        <f t="shared" si="252"/>
        <v>0</v>
      </c>
      <c r="AX447" s="66">
        <f t="shared" si="253"/>
        <v>0</v>
      </c>
      <c r="AY447" s="66"/>
      <c r="AZ447" s="66">
        <f t="shared" si="254"/>
        <v>0</v>
      </c>
      <c r="BA447" s="30"/>
    </row>
    <row r="448" spans="1:53" ht="21.6" customHeight="1" x14ac:dyDescent="0.3">
      <c r="A448" s="2" t="s">
        <v>291</v>
      </c>
      <c r="B448" s="3" t="s">
        <v>292</v>
      </c>
      <c r="C448" s="3" t="s">
        <v>78</v>
      </c>
      <c r="D448" s="3" t="s">
        <v>53</v>
      </c>
      <c r="E448" s="3">
        <v>4500272407</v>
      </c>
      <c r="F448" s="3" t="s">
        <v>53</v>
      </c>
      <c r="G448" s="144">
        <v>858</v>
      </c>
      <c r="H448" s="394">
        <v>46266</v>
      </c>
      <c r="I448" s="50">
        <v>46296</v>
      </c>
      <c r="J448" s="15">
        <f t="shared" si="246"/>
        <v>30</v>
      </c>
      <c r="K448" s="3" t="s">
        <v>393</v>
      </c>
      <c r="L448" s="3" t="s">
        <v>56</v>
      </c>
      <c r="M448" s="3" t="s">
        <v>294</v>
      </c>
      <c r="N448" s="3" t="s">
        <v>323</v>
      </c>
      <c r="O448" s="3" t="s">
        <v>59</v>
      </c>
      <c r="P448" s="8">
        <v>1235.5999999999999</v>
      </c>
      <c r="Q448" s="44"/>
      <c r="R448" s="35">
        <f t="shared" si="242"/>
        <v>46266</v>
      </c>
      <c r="S448" s="13"/>
      <c r="T448" s="35"/>
      <c r="U448" s="37"/>
      <c r="V448" s="37">
        <f t="shared" si="248"/>
        <v>46296</v>
      </c>
      <c r="W448" s="59">
        <f t="shared" ref="W448:W511" si="257">V448-R448</f>
        <v>30</v>
      </c>
      <c r="X448" s="59">
        <f t="shared" ref="X448:X511" si="258">U448-R448</f>
        <v>-46266</v>
      </c>
      <c r="Y448" s="59">
        <f t="shared" ref="Y448:Y511" si="259">W448-X448</f>
        <v>46296</v>
      </c>
      <c r="Z448" s="39"/>
      <c r="AA448" s="4"/>
      <c r="AB448" s="35"/>
      <c r="AC448" s="13"/>
      <c r="AD448" s="174"/>
      <c r="AE448" s="13"/>
      <c r="AF448" s="35"/>
      <c r="AG448" s="3" t="str">
        <f t="shared" si="249"/>
        <v xml:space="preserve">FOB </v>
      </c>
      <c r="AH448" s="13"/>
      <c r="AI448" s="36" t="e">
        <f>#REF!</f>
        <v>#REF!</v>
      </c>
      <c r="AJ448" s="36">
        <v>0</v>
      </c>
      <c r="AK448" s="142" t="e">
        <f t="shared" si="255"/>
        <v>#DIV/0!</v>
      </c>
      <c r="AL448" s="47"/>
      <c r="AM448" s="153"/>
      <c r="AN448" s="63">
        <f t="shared" si="256"/>
        <v>0</v>
      </c>
      <c r="AO448" s="29"/>
      <c r="AP448" s="28"/>
      <c r="AQ448" s="64">
        <f t="shared" si="251"/>
        <v>0</v>
      </c>
      <c r="AR448" s="28"/>
      <c r="AS448" s="28"/>
      <c r="AT448" s="157">
        <f t="shared" si="250"/>
        <v>0</v>
      </c>
      <c r="AU448" s="28"/>
      <c r="AV448" s="28"/>
      <c r="AW448" s="109">
        <f t="shared" si="252"/>
        <v>0</v>
      </c>
      <c r="AX448" s="66">
        <f t="shared" si="253"/>
        <v>0</v>
      </c>
      <c r="AY448" s="66"/>
      <c r="AZ448" s="66">
        <f t="shared" si="254"/>
        <v>0</v>
      </c>
      <c r="BA448" s="30"/>
    </row>
    <row r="449" spans="1:53" ht="21.6" customHeight="1" x14ac:dyDescent="0.3">
      <c r="A449" s="2" t="s">
        <v>291</v>
      </c>
      <c r="B449" s="3" t="s">
        <v>292</v>
      </c>
      <c r="C449" s="3" t="s">
        <v>78</v>
      </c>
      <c r="D449" s="3" t="s">
        <v>53</v>
      </c>
      <c r="E449" s="3">
        <v>4500272423</v>
      </c>
      <c r="F449" s="3" t="s">
        <v>53</v>
      </c>
      <c r="G449" s="144">
        <v>859</v>
      </c>
      <c r="H449" s="394">
        <v>46266</v>
      </c>
      <c r="I449" s="50">
        <v>46296</v>
      </c>
      <c r="J449" s="15">
        <f t="shared" si="246"/>
        <v>30</v>
      </c>
      <c r="K449" s="3" t="s">
        <v>393</v>
      </c>
      <c r="L449" s="3" t="s">
        <v>56</v>
      </c>
      <c r="M449" s="3" t="s">
        <v>294</v>
      </c>
      <c r="N449" s="3" t="s">
        <v>323</v>
      </c>
      <c r="O449" s="3" t="s">
        <v>59</v>
      </c>
      <c r="P449" s="8">
        <v>4479.74</v>
      </c>
      <c r="Q449" s="44"/>
      <c r="R449" s="35">
        <f t="shared" si="242"/>
        <v>46266</v>
      </c>
      <c r="S449" s="13"/>
      <c r="T449" s="35"/>
      <c r="U449" s="37"/>
      <c r="V449" s="37">
        <f t="shared" si="248"/>
        <v>46296</v>
      </c>
      <c r="W449" s="59">
        <f t="shared" si="257"/>
        <v>30</v>
      </c>
      <c r="X449" s="59">
        <f t="shared" si="258"/>
        <v>-46266</v>
      </c>
      <c r="Y449" s="59">
        <f t="shared" si="259"/>
        <v>46296</v>
      </c>
      <c r="Z449" s="39"/>
      <c r="AA449" s="4"/>
      <c r="AB449" s="35"/>
      <c r="AC449" s="13"/>
      <c r="AD449" s="174"/>
      <c r="AE449" s="13"/>
      <c r="AF449" s="35"/>
      <c r="AG449" s="3" t="str">
        <f t="shared" si="249"/>
        <v xml:space="preserve">FOB </v>
      </c>
      <c r="AH449" s="13"/>
      <c r="AI449" s="36" t="e">
        <f>#REF!</f>
        <v>#REF!</v>
      </c>
      <c r="AJ449" s="36">
        <v>0</v>
      </c>
      <c r="AK449" s="142" t="e">
        <f t="shared" si="255"/>
        <v>#DIV/0!</v>
      </c>
      <c r="AL449" s="47"/>
      <c r="AM449" s="153"/>
      <c r="AN449" s="63">
        <f t="shared" si="256"/>
        <v>0</v>
      </c>
      <c r="AO449" s="29"/>
      <c r="AP449" s="28"/>
      <c r="AQ449" s="64">
        <f t="shared" si="251"/>
        <v>0</v>
      </c>
      <c r="AR449" s="28"/>
      <c r="AS449" s="28"/>
      <c r="AT449" s="157">
        <f t="shared" si="250"/>
        <v>0</v>
      </c>
      <c r="AU449" s="28"/>
      <c r="AV449" s="28"/>
      <c r="AW449" s="109">
        <f t="shared" si="252"/>
        <v>0</v>
      </c>
      <c r="AX449" s="66">
        <f t="shared" si="253"/>
        <v>0</v>
      </c>
      <c r="AY449" s="66"/>
      <c r="AZ449" s="66">
        <f t="shared" si="254"/>
        <v>0</v>
      </c>
      <c r="BA449" s="30"/>
    </row>
    <row r="450" spans="1:53" ht="21.6" customHeight="1" x14ac:dyDescent="0.3">
      <c r="A450" s="2" t="s">
        <v>76</v>
      </c>
      <c r="B450" s="3" t="s">
        <v>51</v>
      </c>
      <c r="C450" s="3" t="s">
        <v>78</v>
      </c>
      <c r="D450" s="3" t="s">
        <v>53</v>
      </c>
      <c r="E450" s="3">
        <v>3100049005</v>
      </c>
      <c r="F450" s="3" t="s">
        <v>994</v>
      </c>
      <c r="G450" s="144">
        <v>860</v>
      </c>
      <c r="H450" s="394">
        <v>46266</v>
      </c>
      <c r="I450" s="50">
        <v>46294</v>
      </c>
      <c r="J450" s="15">
        <f t="shared" si="246"/>
        <v>28</v>
      </c>
      <c r="K450" s="3" t="s">
        <v>55</v>
      </c>
      <c r="L450" s="3" t="s">
        <v>56</v>
      </c>
      <c r="M450" s="3" t="s">
        <v>57</v>
      </c>
      <c r="N450" s="3" t="s">
        <v>432</v>
      </c>
      <c r="O450" s="3" t="s">
        <v>1095</v>
      </c>
      <c r="P450" s="8">
        <v>56856.75</v>
      </c>
      <c r="Q450" s="44"/>
      <c r="R450" s="35">
        <f t="shared" si="242"/>
        <v>46266</v>
      </c>
      <c r="S450" s="13"/>
      <c r="T450" s="35"/>
      <c r="U450" s="37"/>
      <c r="V450" s="37">
        <f t="shared" si="248"/>
        <v>46294</v>
      </c>
      <c r="W450" s="59">
        <f t="shared" si="257"/>
        <v>28</v>
      </c>
      <c r="X450" s="59">
        <f t="shared" si="258"/>
        <v>-46266</v>
      </c>
      <c r="Y450" s="59">
        <f t="shared" si="259"/>
        <v>46294</v>
      </c>
      <c r="Z450" s="39"/>
      <c r="AA450" s="4"/>
      <c r="AB450" s="35"/>
      <c r="AC450" s="13"/>
      <c r="AD450" s="174"/>
      <c r="AE450" s="13"/>
      <c r="AF450" s="35"/>
      <c r="AG450" s="3" t="str">
        <f t="shared" si="249"/>
        <v>FOB</v>
      </c>
      <c r="AH450" s="13"/>
      <c r="AI450" s="36" t="e">
        <f>#REF!</f>
        <v>#REF!</v>
      </c>
      <c r="AJ450" s="36">
        <v>0</v>
      </c>
      <c r="AK450" s="142" t="e">
        <f t="shared" si="255"/>
        <v>#DIV/0!</v>
      </c>
      <c r="AL450" s="47"/>
      <c r="AM450" s="153"/>
      <c r="AN450" s="63">
        <f t="shared" si="256"/>
        <v>0</v>
      </c>
      <c r="AO450" s="29"/>
      <c r="AP450" s="28"/>
      <c r="AQ450" s="64">
        <f t="shared" si="251"/>
        <v>0</v>
      </c>
      <c r="AR450" s="28"/>
      <c r="AS450" s="28"/>
      <c r="AT450" s="157">
        <f t="shared" si="250"/>
        <v>0</v>
      </c>
      <c r="AU450" s="28"/>
      <c r="AV450" s="28"/>
      <c r="AW450" s="109">
        <f t="shared" si="252"/>
        <v>0</v>
      </c>
      <c r="AX450" s="66">
        <f t="shared" si="253"/>
        <v>0</v>
      </c>
      <c r="AY450" s="66"/>
      <c r="AZ450" s="66">
        <f t="shared" si="254"/>
        <v>0</v>
      </c>
      <c r="BA450" s="30"/>
    </row>
    <row r="451" spans="1:53" ht="21.6" customHeight="1" x14ac:dyDescent="0.3">
      <c r="A451" s="2" t="s">
        <v>264</v>
      </c>
      <c r="B451" s="3" t="s">
        <v>171</v>
      </c>
      <c r="C451" s="3" t="s">
        <v>78</v>
      </c>
      <c r="D451" s="3" t="s">
        <v>53</v>
      </c>
      <c r="E451" s="3" t="s">
        <v>53</v>
      </c>
      <c r="F451" s="3" t="s">
        <v>1096</v>
      </c>
      <c r="G451" s="144">
        <v>862</v>
      </c>
      <c r="H451" s="394">
        <v>46267</v>
      </c>
      <c r="I451" s="50">
        <v>46297</v>
      </c>
      <c r="J451" s="15">
        <f t="shared" si="246"/>
        <v>30</v>
      </c>
      <c r="K451" s="3" t="s">
        <v>55</v>
      </c>
      <c r="L451" s="3" t="s">
        <v>56</v>
      </c>
      <c r="M451" s="3" t="s">
        <v>173</v>
      </c>
      <c r="N451" s="3" t="s">
        <v>1097</v>
      </c>
      <c r="O451" s="3" t="s">
        <v>59</v>
      </c>
      <c r="P451" s="8">
        <v>6392.34</v>
      </c>
      <c r="Q451" s="44"/>
      <c r="R451" s="35">
        <f t="shared" si="242"/>
        <v>46267</v>
      </c>
      <c r="S451" s="13"/>
      <c r="T451" s="35"/>
      <c r="U451" s="37"/>
      <c r="V451" s="37">
        <f t="shared" si="248"/>
        <v>46297</v>
      </c>
      <c r="W451" s="59">
        <f t="shared" si="257"/>
        <v>30</v>
      </c>
      <c r="X451" s="59">
        <f t="shared" si="258"/>
        <v>-46267</v>
      </c>
      <c r="Y451" s="59">
        <f t="shared" si="259"/>
        <v>46297</v>
      </c>
      <c r="Z451" s="39"/>
      <c r="AA451" s="4"/>
      <c r="AB451" s="35"/>
      <c r="AC451" s="13"/>
      <c r="AD451" s="174"/>
      <c r="AE451" s="13"/>
      <c r="AF451" s="35"/>
      <c r="AG451" s="3" t="str">
        <f t="shared" si="249"/>
        <v>FOB</v>
      </c>
      <c r="AH451" s="13"/>
      <c r="AI451" s="36" t="e">
        <f>#REF!</f>
        <v>#REF!</v>
      </c>
      <c r="AJ451" s="36">
        <v>0</v>
      </c>
      <c r="AK451" s="142" t="e">
        <f t="shared" si="255"/>
        <v>#DIV/0!</v>
      </c>
      <c r="AL451" s="47"/>
      <c r="AM451" s="153"/>
      <c r="AN451" s="63">
        <f t="shared" si="256"/>
        <v>0</v>
      </c>
      <c r="AO451" s="29"/>
      <c r="AP451" s="28"/>
      <c r="AQ451" s="64">
        <f t="shared" si="251"/>
        <v>0</v>
      </c>
      <c r="AR451" s="28"/>
      <c r="AS451" s="28"/>
      <c r="AT451" s="157">
        <f t="shared" si="250"/>
        <v>0</v>
      </c>
      <c r="AU451" s="28"/>
      <c r="AV451" s="28"/>
      <c r="AW451" s="109">
        <f t="shared" si="252"/>
        <v>0</v>
      </c>
      <c r="AX451" s="66">
        <f t="shared" si="253"/>
        <v>0</v>
      </c>
      <c r="AY451" s="66"/>
      <c r="AZ451" s="66">
        <f t="shared" si="254"/>
        <v>0</v>
      </c>
      <c r="BA451" s="30"/>
    </row>
    <row r="452" spans="1:53" ht="21.6" customHeight="1" x14ac:dyDescent="0.3">
      <c r="A452" s="2" t="s">
        <v>291</v>
      </c>
      <c r="B452" s="3" t="s">
        <v>292</v>
      </c>
      <c r="C452" s="3" t="s">
        <v>78</v>
      </c>
      <c r="D452" s="3" t="s">
        <v>53</v>
      </c>
      <c r="E452" s="3">
        <v>4500272640</v>
      </c>
      <c r="F452" s="3" t="s">
        <v>53</v>
      </c>
      <c r="G452" s="144">
        <v>863</v>
      </c>
      <c r="H452" s="394">
        <v>46267</v>
      </c>
      <c r="I452" s="50">
        <v>46297</v>
      </c>
      <c r="J452" s="15">
        <f t="shared" si="246"/>
        <v>30</v>
      </c>
      <c r="K452" s="3" t="s">
        <v>55</v>
      </c>
      <c r="L452" s="3" t="s">
        <v>56</v>
      </c>
      <c r="M452" s="3" t="s">
        <v>294</v>
      </c>
      <c r="N452" s="3" t="s">
        <v>323</v>
      </c>
      <c r="O452" s="3" t="s">
        <v>59</v>
      </c>
      <c r="P452" s="8">
        <v>1235.5999999999999</v>
      </c>
      <c r="Q452" s="44"/>
      <c r="R452" s="35">
        <f t="shared" si="242"/>
        <v>46267</v>
      </c>
      <c r="S452" s="13"/>
      <c r="T452" s="35"/>
      <c r="U452" s="37"/>
      <c r="V452" s="37">
        <f t="shared" si="248"/>
        <v>46297</v>
      </c>
      <c r="W452" s="59">
        <f t="shared" si="257"/>
        <v>30</v>
      </c>
      <c r="X452" s="59">
        <f t="shared" si="258"/>
        <v>-46267</v>
      </c>
      <c r="Y452" s="59">
        <f t="shared" si="259"/>
        <v>46297</v>
      </c>
      <c r="Z452" s="39"/>
      <c r="AA452" s="4"/>
      <c r="AB452" s="35"/>
      <c r="AC452" s="13"/>
      <c r="AD452" s="174"/>
      <c r="AE452" s="13"/>
      <c r="AF452" s="35"/>
      <c r="AG452" s="3" t="str">
        <f t="shared" si="249"/>
        <v>FOB</v>
      </c>
      <c r="AH452" s="13"/>
      <c r="AI452" s="36" t="e">
        <f>#REF!</f>
        <v>#REF!</v>
      </c>
      <c r="AJ452" s="36">
        <v>0</v>
      </c>
      <c r="AK452" s="142" t="e">
        <f t="shared" si="255"/>
        <v>#DIV/0!</v>
      </c>
      <c r="AL452" s="47"/>
      <c r="AM452" s="153"/>
      <c r="AN452" s="63">
        <f t="shared" si="256"/>
        <v>0</v>
      </c>
      <c r="AO452" s="29"/>
      <c r="AP452" s="28"/>
      <c r="AQ452" s="64">
        <f t="shared" si="251"/>
        <v>0</v>
      </c>
      <c r="AR452" s="28"/>
      <c r="AS452" s="28"/>
      <c r="AT452" s="157">
        <f t="shared" si="250"/>
        <v>0</v>
      </c>
      <c r="AU452" s="28"/>
      <c r="AV452" s="28"/>
      <c r="AW452" s="109">
        <f t="shared" si="252"/>
        <v>0</v>
      </c>
      <c r="AX452" s="66">
        <f t="shared" si="253"/>
        <v>0</v>
      </c>
      <c r="AY452" s="66"/>
      <c r="AZ452" s="66">
        <f t="shared" si="254"/>
        <v>0</v>
      </c>
      <c r="BA452" s="30"/>
    </row>
    <row r="453" spans="1:53" ht="21.6" customHeight="1" x14ac:dyDescent="0.3">
      <c r="A453" s="2" t="s">
        <v>1098</v>
      </c>
      <c r="B453" s="3" t="s">
        <v>77</v>
      </c>
      <c r="C453" s="3" t="s">
        <v>78</v>
      </c>
      <c r="D453" s="3" t="s">
        <v>53</v>
      </c>
      <c r="E453" s="3">
        <v>4519948980</v>
      </c>
      <c r="F453" s="3" t="s">
        <v>1099</v>
      </c>
      <c r="G453" s="144">
        <v>865</v>
      </c>
      <c r="H453" s="394">
        <v>46267</v>
      </c>
      <c r="I453" s="50">
        <v>46279</v>
      </c>
      <c r="J453" s="15">
        <f t="shared" si="246"/>
        <v>12</v>
      </c>
      <c r="K453" s="3" t="s">
        <v>55</v>
      </c>
      <c r="L453" s="3" t="s">
        <v>56</v>
      </c>
      <c r="M453" s="3" t="s">
        <v>1100</v>
      </c>
      <c r="N453" s="3" t="s">
        <v>1101</v>
      </c>
      <c r="O453" s="3" t="s">
        <v>59</v>
      </c>
      <c r="P453" s="8">
        <v>7025.25</v>
      </c>
      <c r="Q453" s="44"/>
      <c r="R453" s="35">
        <f t="shared" si="242"/>
        <v>46267</v>
      </c>
      <c r="S453" s="13"/>
      <c r="T453" s="35"/>
      <c r="U453" s="37"/>
      <c r="V453" s="37">
        <f t="shared" si="248"/>
        <v>46279</v>
      </c>
      <c r="W453" s="59">
        <f t="shared" si="257"/>
        <v>12</v>
      </c>
      <c r="X453" s="59">
        <f t="shared" si="258"/>
        <v>-46267</v>
      </c>
      <c r="Y453" s="59">
        <f t="shared" si="259"/>
        <v>46279</v>
      </c>
      <c r="Z453" s="39"/>
      <c r="AA453" s="4"/>
      <c r="AB453" s="35"/>
      <c r="AC453" s="13"/>
      <c r="AD453" s="174"/>
      <c r="AE453" s="13"/>
      <c r="AF453" s="35"/>
      <c r="AG453" s="3" t="str">
        <f t="shared" si="249"/>
        <v>FOB</v>
      </c>
      <c r="AH453" s="13"/>
      <c r="AI453" s="36" t="e">
        <f>#REF!</f>
        <v>#REF!</v>
      </c>
      <c r="AJ453" s="36">
        <v>0</v>
      </c>
      <c r="AK453" s="142" t="e">
        <f t="shared" si="255"/>
        <v>#DIV/0!</v>
      </c>
      <c r="AL453" s="47"/>
      <c r="AM453" s="153"/>
      <c r="AN453" s="63">
        <f t="shared" si="256"/>
        <v>0</v>
      </c>
      <c r="AO453" s="29"/>
      <c r="AP453" s="28"/>
      <c r="AQ453" s="64">
        <f t="shared" si="251"/>
        <v>0</v>
      </c>
      <c r="AR453" s="28"/>
      <c r="AS453" s="28"/>
      <c r="AT453" s="157">
        <f t="shared" si="250"/>
        <v>0</v>
      </c>
      <c r="AU453" s="28"/>
      <c r="AV453" s="28"/>
      <c r="AW453" s="109">
        <f t="shared" si="252"/>
        <v>0</v>
      </c>
      <c r="AX453" s="66">
        <f t="shared" si="253"/>
        <v>0</v>
      </c>
      <c r="AY453" s="66"/>
      <c r="AZ453" s="66">
        <f t="shared" si="254"/>
        <v>0</v>
      </c>
      <c r="BA453" s="30"/>
    </row>
    <row r="454" spans="1:53" ht="21.6" customHeight="1" x14ac:dyDescent="0.3">
      <c r="A454" s="2" t="s">
        <v>90</v>
      </c>
      <c r="B454" s="3" t="s">
        <v>91</v>
      </c>
      <c r="C454" s="3" t="s">
        <v>78</v>
      </c>
      <c r="D454" s="3" t="s">
        <v>53</v>
      </c>
      <c r="E454" s="3">
        <v>4414097173</v>
      </c>
      <c r="F454" s="3" t="s">
        <v>53</v>
      </c>
      <c r="G454" s="144">
        <v>866</v>
      </c>
      <c r="H454" s="394">
        <v>46268</v>
      </c>
      <c r="I454" s="50">
        <v>46286</v>
      </c>
      <c r="J454" s="15">
        <f t="shared" si="246"/>
        <v>18</v>
      </c>
      <c r="K454" s="3" t="s">
        <v>70</v>
      </c>
      <c r="L454" s="3" t="s">
        <v>56</v>
      </c>
      <c r="M454" s="3" t="s">
        <v>92</v>
      </c>
      <c r="N454" s="3" t="s">
        <v>93</v>
      </c>
      <c r="O454" s="3" t="s">
        <v>59</v>
      </c>
      <c r="P454" s="8">
        <v>2226</v>
      </c>
      <c r="Q454" s="44"/>
      <c r="R454" s="35">
        <f t="shared" si="242"/>
        <v>46268</v>
      </c>
      <c r="S454" s="13"/>
      <c r="T454" s="35"/>
      <c r="U454" s="37"/>
      <c r="V454" s="37">
        <f t="shared" si="248"/>
        <v>46286</v>
      </c>
      <c r="W454" s="59">
        <f t="shared" si="257"/>
        <v>18</v>
      </c>
      <c r="X454" s="59">
        <f t="shared" si="258"/>
        <v>-46268</v>
      </c>
      <c r="Y454" s="59">
        <f t="shared" si="259"/>
        <v>46286</v>
      </c>
      <c r="Z454" s="39"/>
      <c r="AA454" s="4"/>
      <c r="AB454" s="35"/>
      <c r="AC454" s="13"/>
      <c r="AD454" s="174"/>
      <c r="AE454" s="13"/>
      <c r="AF454" s="35"/>
      <c r="AG454" s="3" t="str">
        <f t="shared" si="249"/>
        <v>CIF</v>
      </c>
      <c r="AH454" s="13"/>
      <c r="AI454" s="36" t="e">
        <f>#REF!</f>
        <v>#REF!</v>
      </c>
      <c r="AJ454" s="36">
        <v>0</v>
      </c>
      <c r="AK454" s="142" t="e">
        <f t="shared" si="255"/>
        <v>#DIV/0!</v>
      </c>
      <c r="AL454" s="47"/>
      <c r="AM454" s="153"/>
      <c r="AN454" s="63">
        <f t="shared" si="256"/>
        <v>0</v>
      </c>
      <c r="AO454" s="29"/>
      <c r="AP454" s="28"/>
      <c r="AQ454" s="64">
        <f t="shared" si="251"/>
        <v>0</v>
      </c>
      <c r="AR454" s="28"/>
      <c r="AS454" s="28"/>
      <c r="AT454" s="157">
        <f t="shared" si="250"/>
        <v>0</v>
      </c>
      <c r="AU454" s="28"/>
      <c r="AV454" s="28"/>
      <c r="AW454" s="109">
        <f t="shared" si="252"/>
        <v>0</v>
      </c>
      <c r="AX454" s="66">
        <f t="shared" si="253"/>
        <v>0</v>
      </c>
      <c r="AY454" s="66"/>
      <c r="AZ454" s="66">
        <f t="shared" si="254"/>
        <v>0</v>
      </c>
      <c r="BA454" s="30"/>
    </row>
    <row r="455" spans="1:53" ht="21.6" customHeight="1" x14ac:dyDescent="0.3">
      <c r="A455" s="2"/>
      <c r="B455" s="3"/>
      <c r="C455" s="3"/>
      <c r="D455" s="3"/>
      <c r="E455" s="3"/>
      <c r="F455" s="3"/>
      <c r="G455" s="144"/>
      <c r="H455" s="394"/>
      <c r="I455" s="50"/>
      <c r="J455" s="15">
        <f t="shared" si="246"/>
        <v>0</v>
      </c>
      <c r="K455" s="3"/>
      <c r="L455" s="3"/>
      <c r="M455" s="3"/>
      <c r="N455" s="3"/>
      <c r="O455" s="3"/>
      <c r="P455" s="8"/>
      <c r="Q455" s="44"/>
      <c r="R455" s="35">
        <f t="shared" si="242"/>
        <v>0</v>
      </c>
      <c r="S455" s="13"/>
      <c r="T455" s="35"/>
      <c r="U455" s="37"/>
      <c r="V455" s="37">
        <f t="shared" si="248"/>
        <v>0</v>
      </c>
      <c r="W455" s="59">
        <f t="shared" si="257"/>
        <v>0</v>
      </c>
      <c r="X455" s="59">
        <f t="shared" si="258"/>
        <v>0</v>
      </c>
      <c r="Y455" s="59">
        <f t="shared" si="259"/>
        <v>0</v>
      </c>
      <c r="Z455" s="39"/>
      <c r="AA455" s="4"/>
      <c r="AB455" s="35"/>
      <c r="AC455" s="13"/>
      <c r="AD455" s="174"/>
      <c r="AE455" s="13"/>
      <c r="AF455" s="35"/>
      <c r="AG455" s="3">
        <f t="shared" si="249"/>
        <v>0</v>
      </c>
      <c r="AH455" s="13"/>
      <c r="AI455" s="36" t="e">
        <f>#REF!</f>
        <v>#REF!</v>
      </c>
      <c r="AJ455" s="36">
        <v>0</v>
      </c>
      <c r="AK455" s="142" t="e">
        <f t="shared" si="255"/>
        <v>#DIV/0!</v>
      </c>
      <c r="AL455" s="47"/>
      <c r="AM455" s="153"/>
      <c r="AN455" s="63">
        <f t="shared" si="256"/>
        <v>0</v>
      </c>
      <c r="AO455" s="29"/>
      <c r="AP455" s="28"/>
      <c r="AQ455" s="64">
        <f t="shared" si="251"/>
        <v>0</v>
      </c>
      <c r="AR455" s="28"/>
      <c r="AS455" s="28"/>
      <c r="AT455" s="157">
        <f t="shared" si="250"/>
        <v>0</v>
      </c>
      <c r="AU455" s="28"/>
      <c r="AV455" s="28"/>
      <c r="AW455" s="109">
        <f t="shared" si="252"/>
        <v>0</v>
      </c>
      <c r="AX455" s="66">
        <f t="shared" si="253"/>
        <v>0</v>
      </c>
      <c r="AY455" s="66"/>
      <c r="AZ455" s="66">
        <f t="shared" si="254"/>
        <v>0</v>
      </c>
      <c r="BA455" s="30"/>
    </row>
    <row r="456" spans="1:53" ht="21.6" customHeight="1" x14ac:dyDescent="0.3">
      <c r="A456" s="2"/>
      <c r="B456" s="3"/>
      <c r="D456" s="3"/>
      <c r="E456" s="3"/>
      <c r="F456" s="3"/>
      <c r="G456" s="144"/>
      <c r="H456" s="394"/>
      <c r="I456" s="50"/>
      <c r="J456" s="15">
        <f t="shared" si="246"/>
        <v>0</v>
      </c>
      <c r="K456" s="3"/>
      <c r="L456" s="3"/>
      <c r="M456" s="3"/>
      <c r="N456" s="3"/>
      <c r="O456" s="3"/>
      <c r="P456" s="8"/>
      <c r="Q456" s="44"/>
      <c r="R456" s="35">
        <f t="shared" si="242"/>
        <v>0</v>
      </c>
      <c r="S456" s="13"/>
      <c r="T456" s="35"/>
      <c r="U456" s="37"/>
      <c r="V456" s="37">
        <f t="shared" si="248"/>
        <v>0</v>
      </c>
      <c r="W456" s="59">
        <f t="shared" si="257"/>
        <v>0</v>
      </c>
      <c r="X456" s="59">
        <f t="shared" si="258"/>
        <v>0</v>
      </c>
      <c r="Y456" s="59">
        <f t="shared" si="259"/>
        <v>0</v>
      </c>
      <c r="Z456" s="39"/>
      <c r="AA456" s="4"/>
      <c r="AB456" s="35"/>
      <c r="AC456" s="13"/>
      <c r="AD456" s="174"/>
      <c r="AE456" s="13"/>
      <c r="AF456" s="35"/>
      <c r="AG456" s="3">
        <f t="shared" si="249"/>
        <v>0</v>
      </c>
      <c r="AH456" s="13"/>
      <c r="AI456" s="36" t="e">
        <f>#REF!</f>
        <v>#REF!</v>
      </c>
      <c r="AJ456" s="36">
        <v>0</v>
      </c>
      <c r="AK456" s="142" t="e">
        <f t="shared" si="255"/>
        <v>#DIV/0!</v>
      </c>
      <c r="AL456" s="47"/>
      <c r="AM456" s="153"/>
      <c r="AN456" s="63">
        <f t="shared" si="256"/>
        <v>0</v>
      </c>
      <c r="AO456" s="29"/>
      <c r="AP456" s="28"/>
      <c r="AQ456" s="64">
        <f t="shared" si="251"/>
        <v>0</v>
      </c>
      <c r="AR456" s="28"/>
      <c r="AS456" s="28"/>
      <c r="AT456" s="157">
        <f t="shared" si="250"/>
        <v>0</v>
      </c>
      <c r="AU456" s="28"/>
      <c r="AV456" s="28"/>
      <c r="AW456" s="109">
        <f t="shared" si="252"/>
        <v>0</v>
      </c>
      <c r="AX456" s="66">
        <f t="shared" si="253"/>
        <v>0</v>
      </c>
      <c r="AY456" s="66"/>
      <c r="AZ456" s="66">
        <f t="shared" si="254"/>
        <v>0</v>
      </c>
      <c r="BA456" s="30"/>
    </row>
    <row r="457" spans="1:53" ht="21.6" customHeight="1" x14ac:dyDescent="0.3">
      <c r="A457" s="2"/>
      <c r="B457" s="3"/>
      <c r="C457" s="3"/>
      <c r="D457" s="3"/>
      <c r="E457" s="3"/>
      <c r="F457" s="3"/>
      <c r="G457" s="150"/>
      <c r="H457" s="394"/>
      <c r="I457" s="50"/>
      <c r="J457" s="15">
        <f t="shared" si="246"/>
        <v>0</v>
      </c>
      <c r="K457" s="3"/>
      <c r="L457" s="3"/>
      <c r="M457" s="3"/>
      <c r="N457" s="3"/>
      <c r="O457" s="3"/>
      <c r="P457" s="8"/>
      <c r="Q457" s="44"/>
      <c r="R457" s="35">
        <f t="shared" si="242"/>
        <v>0</v>
      </c>
      <c r="S457" s="13"/>
      <c r="T457" s="35"/>
      <c r="U457" s="37"/>
      <c r="V457" s="37">
        <f t="shared" si="248"/>
        <v>0</v>
      </c>
      <c r="W457" s="59">
        <f t="shared" si="257"/>
        <v>0</v>
      </c>
      <c r="X457" s="59">
        <f t="shared" si="258"/>
        <v>0</v>
      </c>
      <c r="Y457" s="59">
        <f t="shared" si="259"/>
        <v>0</v>
      </c>
      <c r="Z457" s="39"/>
      <c r="AA457" s="4"/>
      <c r="AB457" s="35"/>
      <c r="AC457" s="13"/>
      <c r="AD457" s="174"/>
      <c r="AE457" s="13"/>
      <c r="AF457" s="35"/>
      <c r="AG457" s="3">
        <f t="shared" si="249"/>
        <v>0</v>
      </c>
      <c r="AH457" s="13"/>
      <c r="AI457" s="36" t="e">
        <f>#REF!</f>
        <v>#REF!</v>
      </c>
      <c r="AJ457" s="36">
        <v>0</v>
      </c>
      <c r="AK457" s="142" t="e">
        <f t="shared" si="255"/>
        <v>#DIV/0!</v>
      </c>
      <c r="AL457" s="47"/>
      <c r="AM457" s="153"/>
      <c r="AN457" s="63">
        <f t="shared" si="256"/>
        <v>0</v>
      </c>
      <c r="AO457" s="29"/>
      <c r="AP457" s="28"/>
      <c r="AQ457" s="64">
        <f t="shared" si="251"/>
        <v>0</v>
      </c>
      <c r="AR457" s="28"/>
      <c r="AS457" s="28"/>
      <c r="AT457" s="157">
        <f t="shared" si="250"/>
        <v>0</v>
      </c>
      <c r="AU457" s="28"/>
      <c r="AV457" s="28"/>
      <c r="AW457" s="109">
        <f t="shared" si="252"/>
        <v>0</v>
      </c>
      <c r="AX457" s="66">
        <f t="shared" si="253"/>
        <v>0</v>
      </c>
      <c r="AY457" s="66"/>
      <c r="AZ457" s="66">
        <f t="shared" si="254"/>
        <v>0</v>
      </c>
      <c r="BA457" s="30"/>
    </row>
    <row r="458" spans="1:53" ht="21.6" customHeight="1" x14ac:dyDescent="0.3">
      <c r="A458" s="2"/>
      <c r="B458" s="3"/>
      <c r="C458" s="3"/>
      <c r="D458" s="3"/>
      <c r="E458" s="3"/>
      <c r="F458" s="3"/>
      <c r="G458" s="150"/>
      <c r="H458" s="394"/>
      <c r="I458" s="50"/>
      <c r="J458" s="15">
        <f t="shared" si="246"/>
        <v>0</v>
      </c>
      <c r="K458" s="3"/>
      <c r="L458" s="3"/>
      <c r="M458" s="3"/>
      <c r="N458" s="3"/>
      <c r="O458" s="3"/>
      <c r="P458" s="8"/>
      <c r="Q458" s="44"/>
      <c r="R458" s="35">
        <f t="shared" si="242"/>
        <v>0</v>
      </c>
      <c r="S458" s="13"/>
      <c r="T458" s="35"/>
      <c r="U458" s="37"/>
      <c r="V458" s="37">
        <f t="shared" si="248"/>
        <v>0</v>
      </c>
      <c r="W458" s="59">
        <f t="shared" si="257"/>
        <v>0</v>
      </c>
      <c r="X458" s="59">
        <f t="shared" si="258"/>
        <v>0</v>
      </c>
      <c r="Y458" s="59">
        <f t="shared" si="259"/>
        <v>0</v>
      </c>
      <c r="Z458" s="39"/>
      <c r="AA458" s="4"/>
      <c r="AB458" s="35"/>
      <c r="AC458" s="13"/>
      <c r="AD458" s="174"/>
      <c r="AE458" s="13"/>
      <c r="AF458" s="35"/>
      <c r="AG458" s="3">
        <f t="shared" si="249"/>
        <v>0</v>
      </c>
      <c r="AH458" s="13"/>
      <c r="AI458" s="36" t="e">
        <f>#REF!</f>
        <v>#REF!</v>
      </c>
      <c r="AJ458" s="36">
        <v>0</v>
      </c>
      <c r="AK458" s="142" t="e">
        <f t="shared" si="255"/>
        <v>#DIV/0!</v>
      </c>
      <c r="AL458" s="47"/>
      <c r="AM458" s="153"/>
      <c r="AN458" s="63">
        <f t="shared" si="256"/>
        <v>0</v>
      </c>
      <c r="AO458" s="29"/>
      <c r="AP458" s="28"/>
      <c r="AQ458" s="64">
        <f t="shared" si="251"/>
        <v>0</v>
      </c>
      <c r="AR458" s="28"/>
      <c r="AS458" s="28"/>
      <c r="AT458" s="157">
        <f t="shared" si="250"/>
        <v>0</v>
      </c>
      <c r="AU458" s="28"/>
      <c r="AV458" s="28"/>
      <c r="AW458" s="109">
        <f t="shared" si="252"/>
        <v>0</v>
      </c>
      <c r="AX458" s="66">
        <f t="shared" si="253"/>
        <v>0</v>
      </c>
      <c r="AY458" s="66"/>
      <c r="AZ458" s="66">
        <f t="shared" si="254"/>
        <v>0</v>
      </c>
      <c r="BA458" s="30"/>
    </row>
    <row r="459" spans="1:53" ht="21.6" customHeight="1" x14ac:dyDescent="0.3">
      <c r="A459" s="2"/>
      <c r="B459" s="3"/>
      <c r="C459" s="3"/>
      <c r="D459" s="3"/>
      <c r="E459" s="3"/>
      <c r="F459" s="3"/>
      <c r="G459" s="150"/>
      <c r="H459" s="394"/>
      <c r="I459" s="50"/>
      <c r="J459" s="15">
        <f t="shared" si="246"/>
        <v>0</v>
      </c>
      <c r="K459" s="3"/>
      <c r="L459" s="3"/>
      <c r="M459" s="3"/>
      <c r="N459" s="3"/>
      <c r="O459" s="3"/>
      <c r="P459" s="8"/>
      <c r="Q459" s="44"/>
      <c r="R459" s="35">
        <f t="shared" ref="R459:R522" si="260">H459</f>
        <v>0</v>
      </c>
      <c r="S459" s="13"/>
      <c r="T459" s="35"/>
      <c r="U459" s="37"/>
      <c r="V459" s="37">
        <f t="shared" si="248"/>
        <v>0</v>
      </c>
      <c r="W459" s="59">
        <f t="shared" si="257"/>
        <v>0</v>
      </c>
      <c r="X459" s="59">
        <f t="shared" si="258"/>
        <v>0</v>
      </c>
      <c r="Y459" s="59">
        <f t="shared" si="259"/>
        <v>0</v>
      </c>
      <c r="Z459" s="39"/>
      <c r="AA459" s="4"/>
      <c r="AB459" s="35"/>
      <c r="AC459" s="13"/>
      <c r="AD459" s="174"/>
      <c r="AE459" s="13"/>
      <c r="AF459" s="35"/>
      <c r="AG459" s="3">
        <f t="shared" si="249"/>
        <v>0</v>
      </c>
      <c r="AH459" s="13"/>
      <c r="AI459" s="36" t="e">
        <f>#REF!</f>
        <v>#REF!</v>
      </c>
      <c r="AJ459" s="36">
        <v>0</v>
      </c>
      <c r="AK459" s="142" t="e">
        <f t="shared" si="255"/>
        <v>#DIV/0!</v>
      </c>
      <c r="AL459" s="47"/>
      <c r="AM459" s="153"/>
      <c r="AN459" s="63">
        <f t="shared" si="256"/>
        <v>0</v>
      </c>
      <c r="AO459" s="29"/>
      <c r="AP459" s="28"/>
      <c r="AQ459" s="64">
        <f t="shared" si="251"/>
        <v>0</v>
      </c>
      <c r="AR459" s="28"/>
      <c r="AS459" s="28"/>
      <c r="AT459" s="157">
        <f t="shared" si="250"/>
        <v>0</v>
      </c>
      <c r="AU459" s="28"/>
      <c r="AV459" s="28"/>
      <c r="AW459" s="109">
        <f t="shared" si="252"/>
        <v>0</v>
      </c>
      <c r="AX459" s="66">
        <f t="shared" si="253"/>
        <v>0</v>
      </c>
      <c r="AY459" s="66"/>
      <c r="AZ459" s="66">
        <f t="shared" si="254"/>
        <v>0</v>
      </c>
      <c r="BA459" s="30"/>
    </row>
    <row r="460" spans="1:53" ht="21.6" customHeight="1" x14ac:dyDescent="0.3">
      <c r="A460" s="2"/>
      <c r="B460" s="3"/>
      <c r="C460" s="3"/>
      <c r="D460" s="3"/>
      <c r="E460" s="3"/>
      <c r="F460" s="3"/>
      <c r="G460" s="150"/>
      <c r="H460" s="394"/>
      <c r="I460" s="50"/>
      <c r="J460" s="15">
        <f t="shared" si="246"/>
        <v>0</v>
      </c>
      <c r="K460" s="3"/>
      <c r="L460" s="3"/>
      <c r="M460" s="3"/>
      <c r="N460" s="3"/>
      <c r="O460" s="3"/>
      <c r="P460" s="8"/>
      <c r="Q460" s="44"/>
      <c r="R460" s="35">
        <f t="shared" si="260"/>
        <v>0</v>
      </c>
      <c r="S460" s="13"/>
      <c r="T460" s="35"/>
      <c r="U460" s="37"/>
      <c r="V460" s="37">
        <f t="shared" si="248"/>
        <v>0</v>
      </c>
      <c r="W460" s="59">
        <f t="shared" si="257"/>
        <v>0</v>
      </c>
      <c r="X460" s="59">
        <f t="shared" si="258"/>
        <v>0</v>
      </c>
      <c r="Y460" s="59">
        <f t="shared" si="259"/>
        <v>0</v>
      </c>
      <c r="Z460" s="39"/>
      <c r="AA460" s="4"/>
      <c r="AB460" s="35"/>
      <c r="AC460" s="13"/>
      <c r="AD460" s="174"/>
      <c r="AE460" s="13"/>
      <c r="AF460" s="35"/>
      <c r="AG460" s="3">
        <f t="shared" si="249"/>
        <v>0</v>
      </c>
      <c r="AH460" s="13"/>
      <c r="AI460" s="36" t="e">
        <f>#REF!</f>
        <v>#REF!</v>
      </c>
      <c r="AJ460" s="36">
        <v>0</v>
      </c>
      <c r="AK460" s="142" t="e">
        <f t="shared" si="255"/>
        <v>#DIV/0!</v>
      </c>
      <c r="AL460" s="47"/>
      <c r="AM460" s="153"/>
      <c r="AN460" s="63">
        <f t="shared" si="256"/>
        <v>0</v>
      </c>
      <c r="AO460" s="29"/>
      <c r="AP460" s="28"/>
      <c r="AQ460" s="64">
        <f t="shared" si="251"/>
        <v>0</v>
      </c>
      <c r="AR460" s="28"/>
      <c r="AS460" s="28"/>
      <c r="AT460" s="157">
        <f t="shared" si="250"/>
        <v>0</v>
      </c>
      <c r="AU460" s="28"/>
      <c r="AV460" s="28"/>
      <c r="AW460" s="109">
        <f t="shared" si="252"/>
        <v>0</v>
      </c>
      <c r="AX460" s="66">
        <f t="shared" si="253"/>
        <v>0</v>
      </c>
      <c r="AY460" s="66"/>
      <c r="AZ460" s="66">
        <f t="shared" si="254"/>
        <v>0</v>
      </c>
      <c r="BA460" s="30"/>
    </row>
    <row r="461" spans="1:53" ht="21.6" customHeight="1" x14ac:dyDescent="0.3">
      <c r="A461" s="2"/>
      <c r="B461" s="3"/>
      <c r="C461" s="3"/>
      <c r="D461" s="3"/>
      <c r="E461" s="3"/>
      <c r="F461" s="3"/>
      <c r="G461" s="150"/>
      <c r="H461" s="394"/>
      <c r="I461" s="50"/>
      <c r="J461" s="15">
        <f t="shared" si="246"/>
        <v>0</v>
      </c>
      <c r="K461" s="3"/>
      <c r="L461" s="3"/>
      <c r="M461" s="3"/>
      <c r="N461" s="3"/>
      <c r="O461" s="3"/>
      <c r="P461" s="8"/>
      <c r="Q461" s="44"/>
      <c r="R461" s="35">
        <f t="shared" si="260"/>
        <v>0</v>
      </c>
      <c r="S461" s="13"/>
      <c r="T461" s="35"/>
      <c r="U461" s="37"/>
      <c r="V461" s="37">
        <f t="shared" si="248"/>
        <v>0</v>
      </c>
      <c r="W461" s="59">
        <f t="shared" si="257"/>
        <v>0</v>
      </c>
      <c r="X461" s="59">
        <f t="shared" si="258"/>
        <v>0</v>
      </c>
      <c r="Y461" s="59">
        <f t="shared" si="259"/>
        <v>0</v>
      </c>
      <c r="Z461" s="39"/>
      <c r="AA461" s="4"/>
      <c r="AB461" s="35"/>
      <c r="AC461" s="13"/>
      <c r="AD461" s="174"/>
      <c r="AE461" s="13"/>
      <c r="AF461" s="35"/>
      <c r="AG461" s="3">
        <f t="shared" si="249"/>
        <v>0</v>
      </c>
      <c r="AH461" s="13"/>
      <c r="AI461" s="36" t="e">
        <f>#REF!</f>
        <v>#REF!</v>
      </c>
      <c r="AJ461" s="36">
        <v>0</v>
      </c>
      <c r="AK461" s="142" t="e">
        <f t="shared" si="255"/>
        <v>#DIV/0!</v>
      </c>
      <c r="AL461" s="47"/>
      <c r="AM461" s="153"/>
      <c r="AN461" s="63">
        <f t="shared" si="256"/>
        <v>0</v>
      </c>
      <c r="AO461" s="29"/>
      <c r="AP461" s="28"/>
      <c r="AQ461" s="64">
        <f t="shared" si="251"/>
        <v>0</v>
      </c>
      <c r="AR461" s="28"/>
      <c r="AS461" s="28"/>
      <c r="AT461" s="157">
        <f t="shared" si="250"/>
        <v>0</v>
      </c>
      <c r="AU461" s="28"/>
      <c r="AV461" s="28"/>
      <c r="AW461" s="109">
        <f t="shared" si="252"/>
        <v>0</v>
      </c>
      <c r="AX461" s="66">
        <f t="shared" si="253"/>
        <v>0</v>
      </c>
      <c r="AY461" s="66"/>
      <c r="AZ461" s="66">
        <f t="shared" si="254"/>
        <v>0</v>
      </c>
      <c r="BA461" s="30"/>
    </row>
    <row r="462" spans="1:53" ht="21.6" customHeight="1" x14ac:dyDescent="0.3">
      <c r="A462" s="2"/>
      <c r="B462" s="3"/>
      <c r="C462" s="3"/>
      <c r="D462" s="3"/>
      <c r="E462" s="3"/>
      <c r="F462" s="3"/>
      <c r="G462" s="150"/>
      <c r="H462" s="394"/>
      <c r="I462" s="50"/>
      <c r="J462" s="15">
        <f t="shared" si="246"/>
        <v>0</v>
      </c>
      <c r="K462" s="3"/>
      <c r="L462" s="3"/>
      <c r="M462" s="3"/>
      <c r="N462" s="3"/>
      <c r="O462" s="3"/>
      <c r="P462" s="8"/>
      <c r="Q462" s="44"/>
      <c r="R462" s="35">
        <f t="shared" si="260"/>
        <v>0</v>
      </c>
      <c r="S462" s="13"/>
      <c r="T462" s="35"/>
      <c r="U462" s="37"/>
      <c r="V462" s="37">
        <f t="shared" si="248"/>
        <v>0</v>
      </c>
      <c r="W462" s="59">
        <f t="shared" si="257"/>
        <v>0</v>
      </c>
      <c r="X462" s="59">
        <f t="shared" si="258"/>
        <v>0</v>
      </c>
      <c r="Y462" s="59">
        <f t="shared" si="259"/>
        <v>0</v>
      </c>
      <c r="Z462" s="39"/>
      <c r="AA462" s="4"/>
      <c r="AB462" s="35"/>
      <c r="AC462" s="13"/>
      <c r="AD462" s="174"/>
      <c r="AE462" s="13"/>
      <c r="AF462" s="35"/>
      <c r="AG462" s="3">
        <f t="shared" si="249"/>
        <v>0</v>
      </c>
      <c r="AH462" s="13"/>
      <c r="AI462" s="36" t="e">
        <f>#REF!</f>
        <v>#REF!</v>
      </c>
      <c r="AJ462" s="36">
        <v>0</v>
      </c>
      <c r="AK462" s="142" t="e">
        <f t="shared" si="255"/>
        <v>#DIV/0!</v>
      </c>
      <c r="AL462" s="47"/>
      <c r="AM462" s="153"/>
      <c r="AN462" s="63">
        <f t="shared" si="256"/>
        <v>0</v>
      </c>
      <c r="AO462" s="29"/>
      <c r="AP462" s="28"/>
      <c r="AQ462" s="64">
        <f t="shared" si="251"/>
        <v>0</v>
      </c>
      <c r="AR462" s="28"/>
      <c r="AS462" s="28"/>
      <c r="AT462" s="157">
        <f t="shared" si="250"/>
        <v>0</v>
      </c>
      <c r="AU462" s="28"/>
      <c r="AV462" s="28"/>
      <c r="AW462" s="109">
        <f t="shared" si="252"/>
        <v>0</v>
      </c>
      <c r="AX462" s="66">
        <f t="shared" si="253"/>
        <v>0</v>
      </c>
      <c r="AY462" s="66"/>
      <c r="AZ462" s="66">
        <f t="shared" si="254"/>
        <v>0</v>
      </c>
      <c r="BA462" s="30"/>
    </row>
    <row r="463" spans="1:53" ht="21.6" customHeight="1" x14ac:dyDescent="0.3">
      <c r="A463" s="2"/>
      <c r="B463" s="3"/>
      <c r="C463" s="3"/>
      <c r="D463" s="3"/>
      <c r="E463" s="3"/>
      <c r="F463" s="3"/>
      <c r="G463" s="150"/>
      <c r="H463" s="394"/>
      <c r="I463" s="50"/>
      <c r="J463" s="15">
        <f t="shared" si="246"/>
        <v>0</v>
      </c>
      <c r="K463" s="3"/>
      <c r="L463" s="3"/>
      <c r="M463" s="3"/>
      <c r="N463" s="3"/>
      <c r="O463" s="3"/>
      <c r="P463" s="8"/>
      <c r="Q463" s="44"/>
      <c r="R463" s="35">
        <f t="shared" si="260"/>
        <v>0</v>
      </c>
      <c r="S463" s="13"/>
      <c r="T463" s="35"/>
      <c r="U463" s="37"/>
      <c r="V463" s="37">
        <f t="shared" si="248"/>
        <v>0</v>
      </c>
      <c r="W463" s="59">
        <f t="shared" si="257"/>
        <v>0</v>
      </c>
      <c r="X463" s="59">
        <f t="shared" si="258"/>
        <v>0</v>
      </c>
      <c r="Y463" s="59">
        <f t="shared" si="259"/>
        <v>0</v>
      </c>
      <c r="Z463" s="39"/>
      <c r="AA463" s="4"/>
      <c r="AB463" s="35"/>
      <c r="AC463" s="13"/>
      <c r="AD463" s="174"/>
      <c r="AE463" s="13"/>
      <c r="AF463" s="35"/>
      <c r="AG463" s="3">
        <f t="shared" si="249"/>
        <v>0</v>
      </c>
      <c r="AH463" s="13"/>
      <c r="AI463" s="36" t="e">
        <f>#REF!</f>
        <v>#REF!</v>
      </c>
      <c r="AJ463" s="36">
        <v>0</v>
      </c>
      <c r="AK463" s="142" t="e">
        <f t="shared" si="255"/>
        <v>#DIV/0!</v>
      </c>
      <c r="AL463" s="47"/>
      <c r="AM463" s="153"/>
      <c r="AN463" s="63">
        <f t="shared" si="256"/>
        <v>0</v>
      </c>
      <c r="AO463" s="29"/>
      <c r="AP463" s="28"/>
      <c r="AQ463" s="64">
        <f t="shared" si="251"/>
        <v>0</v>
      </c>
      <c r="AR463" s="28"/>
      <c r="AS463" s="28"/>
      <c r="AT463" s="157">
        <f t="shared" si="250"/>
        <v>0</v>
      </c>
      <c r="AU463" s="28"/>
      <c r="AV463" s="28"/>
      <c r="AW463" s="109">
        <f t="shared" si="252"/>
        <v>0</v>
      </c>
      <c r="AX463" s="66">
        <f t="shared" si="253"/>
        <v>0</v>
      </c>
      <c r="AY463" s="66"/>
      <c r="AZ463" s="66">
        <f t="shared" si="254"/>
        <v>0</v>
      </c>
      <c r="BA463" s="30"/>
    </row>
    <row r="464" spans="1:53" ht="21.6" customHeight="1" x14ac:dyDescent="0.3">
      <c r="A464" s="2"/>
      <c r="B464" s="3"/>
      <c r="C464" s="3"/>
      <c r="D464" s="3"/>
      <c r="E464" s="3"/>
      <c r="F464" s="3"/>
      <c r="G464" s="150"/>
      <c r="H464" s="394"/>
      <c r="I464" s="50"/>
      <c r="J464" s="15">
        <f t="shared" si="246"/>
        <v>0</v>
      </c>
      <c r="K464" s="3"/>
      <c r="L464" s="3"/>
      <c r="M464" s="3"/>
      <c r="N464" s="3"/>
      <c r="O464" s="3"/>
      <c r="P464" s="8"/>
      <c r="Q464" s="44"/>
      <c r="R464" s="35">
        <f t="shared" si="260"/>
        <v>0</v>
      </c>
      <c r="S464" s="13"/>
      <c r="T464" s="35"/>
      <c r="U464" s="37"/>
      <c r="V464" s="37">
        <f t="shared" si="248"/>
        <v>0</v>
      </c>
      <c r="W464" s="59">
        <f t="shared" si="257"/>
        <v>0</v>
      </c>
      <c r="X464" s="59">
        <f t="shared" si="258"/>
        <v>0</v>
      </c>
      <c r="Y464" s="59">
        <f t="shared" si="259"/>
        <v>0</v>
      </c>
      <c r="Z464" s="39"/>
      <c r="AA464" s="4"/>
      <c r="AB464" s="35"/>
      <c r="AC464" s="13"/>
      <c r="AD464" s="174"/>
      <c r="AE464" s="13"/>
      <c r="AF464" s="35"/>
      <c r="AG464" s="3">
        <f t="shared" si="249"/>
        <v>0</v>
      </c>
      <c r="AH464" s="13"/>
      <c r="AI464" s="36" t="e">
        <f>#REF!</f>
        <v>#REF!</v>
      </c>
      <c r="AJ464" s="36">
        <v>0</v>
      </c>
      <c r="AK464" s="142" t="e">
        <f t="shared" si="255"/>
        <v>#DIV/0!</v>
      </c>
      <c r="AL464" s="47"/>
      <c r="AM464" s="153"/>
      <c r="AN464" s="63">
        <f t="shared" si="256"/>
        <v>0</v>
      </c>
      <c r="AO464" s="29"/>
      <c r="AP464" s="28"/>
      <c r="AQ464" s="64">
        <f t="shared" si="251"/>
        <v>0</v>
      </c>
      <c r="AR464" s="28"/>
      <c r="AS464" s="28"/>
      <c r="AT464" s="157">
        <f t="shared" si="250"/>
        <v>0</v>
      </c>
      <c r="AU464" s="28"/>
      <c r="AV464" s="28"/>
      <c r="AW464" s="109">
        <f t="shared" si="252"/>
        <v>0</v>
      </c>
      <c r="AX464" s="66">
        <f t="shared" si="253"/>
        <v>0</v>
      </c>
      <c r="AY464" s="66"/>
      <c r="AZ464" s="66">
        <f t="shared" si="254"/>
        <v>0</v>
      </c>
      <c r="BA464" s="30"/>
    </row>
    <row r="465" spans="1:53" ht="21.6" customHeight="1" x14ac:dyDescent="0.3">
      <c r="A465" s="2"/>
      <c r="B465" s="3"/>
      <c r="C465" s="3"/>
      <c r="D465" s="3"/>
      <c r="E465" s="3"/>
      <c r="F465" s="3"/>
      <c r="G465" s="150"/>
      <c r="H465" s="394"/>
      <c r="I465" s="50"/>
      <c r="J465" s="15">
        <f t="shared" si="246"/>
        <v>0</v>
      </c>
      <c r="K465" s="3"/>
      <c r="L465" s="3"/>
      <c r="M465" s="3"/>
      <c r="N465" s="3"/>
      <c r="O465" s="3"/>
      <c r="P465" s="8"/>
      <c r="Q465" s="44"/>
      <c r="R465" s="35">
        <f t="shared" si="260"/>
        <v>0</v>
      </c>
      <c r="S465" s="13"/>
      <c r="T465" s="35"/>
      <c r="U465" s="37"/>
      <c r="V465" s="37">
        <f t="shared" si="248"/>
        <v>0</v>
      </c>
      <c r="W465" s="59">
        <f t="shared" si="257"/>
        <v>0</v>
      </c>
      <c r="X465" s="59">
        <f t="shared" si="258"/>
        <v>0</v>
      </c>
      <c r="Y465" s="59">
        <f t="shared" si="259"/>
        <v>0</v>
      </c>
      <c r="Z465" s="39"/>
      <c r="AA465" s="4"/>
      <c r="AB465" s="35"/>
      <c r="AC465" s="13"/>
      <c r="AD465" s="174"/>
      <c r="AE465" s="13"/>
      <c r="AF465" s="35"/>
      <c r="AG465" s="3">
        <f t="shared" si="249"/>
        <v>0</v>
      </c>
      <c r="AH465" s="13"/>
      <c r="AI465" s="36" t="e">
        <f>#REF!</f>
        <v>#REF!</v>
      </c>
      <c r="AJ465" s="36">
        <v>0</v>
      </c>
      <c r="AK465" s="142" t="e">
        <f t="shared" si="255"/>
        <v>#DIV/0!</v>
      </c>
      <c r="AL465" s="47"/>
      <c r="AM465" s="153"/>
      <c r="AN465" s="63">
        <f t="shared" si="256"/>
        <v>0</v>
      </c>
      <c r="AO465" s="29"/>
      <c r="AP465" s="28"/>
      <c r="AQ465" s="64">
        <f t="shared" si="251"/>
        <v>0</v>
      </c>
      <c r="AR465" s="28"/>
      <c r="AS465" s="28"/>
      <c r="AT465" s="157">
        <f t="shared" si="250"/>
        <v>0</v>
      </c>
      <c r="AU465" s="28"/>
      <c r="AV465" s="28"/>
      <c r="AW465" s="109">
        <f t="shared" si="252"/>
        <v>0</v>
      </c>
      <c r="AX465" s="66">
        <f t="shared" si="253"/>
        <v>0</v>
      </c>
      <c r="AY465" s="66"/>
      <c r="AZ465" s="66">
        <f t="shared" si="254"/>
        <v>0</v>
      </c>
      <c r="BA465" s="30"/>
    </row>
    <row r="466" spans="1:53" ht="21.6" customHeight="1" x14ac:dyDescent="0.3">
      <c r="A466" s="2"/>
      <c r="B466" s="3"/>
      <c r="C466" s="3"/>
      <c r="D466" s="3"/>
      <c r="E466" s="3"/>
      <c r="F466" s="3"/>
      <c r="G466" s="150"/>
      <c r="H466" s="394"/>
      <c r="I466" s="50"/>
      <c r="J466" s="15">
        <f t="shared" si="246"/>
        <v>0</v>
      </c>
      <c r="K466" s="3"/>
      <c r="L466" s="3"/>
      <c r="M466" s="3"/>
      <c r="N466" s="3"/>
      <c r="O466" s="3"/>
      <c r="P466" s="8"/>
      <c r="Q466" s="44"/>
      <c r="R466" s="35">
        <f t="shared" si="260"/>
        <v>0</v>
      </c>
      <c r="S466" s="13"/>
      <c r="T466" s="35"/>
      <c r="U466" s="37"/>
      <c r="V466" s="37">
        <f t="shared" si="248"/>
        <v>0</v>
      </c>
      <c r="W466" s="59">
        <f t="shared" si="257"/>
        <v>0</v>
      </c>
      <c r="X466" s="59">
        <f t="shared" si="258"/>
        <v>0</v>
      </c>
      <c r="Y466" s="59">
        <f t="shared" si="259"/>
        <v>0</v>
      </c>
      <c r="Z466" s="39"/>
      <c r="AA466" s="4"/>
      <c r="AB466" s="35"/>
      <c r="AC466" s="13"/>
      <c r="AD466" s="174"/>
      <c r="AE466" s="13"/>
      <c r="AF466" s="35"/>
      <c r="AG466" s="3">
        <f t="shared" si="249"/>
        <v>0</v>
      </c>
      <c r="AH466" s="13"/>
      <c r="AI466" s="36" t="e">
        <f>#REF!</f>
        <v>#REF!</v>
      </c>
      <c r="AJ466" s="36">
        <v>0</v>
      </c>
      <c r="AK466" s="142" t="e">
        <f t="shared" si="255"/>
        <v>#DIV/0!</v>
      </c>
      <c r="AL466" s="47"/>
      <c r="AM466" s="153"/>
      <c r="AN466" s="63">
        <f t="shared" si="256"/>
        <v>0</v>
      </c>
      <c r="AO466" s="29"/>
      <c r="AP466" s="28"/>
      <c r="AQ466" s="64">
        <f t="shared" si="251"/>
        <v>0</v>
      </c>
      <c r="AR466" s="28"/>
      <c r="AS466" s="28"/>
      <c r="AT466" s="157">
        <f t="shared" si="250"/>
        <v>0</v>
      </c>
      <c r="AU466" s="28"/>
      <c r="AV466" s="28"/>
      <c r="AW466" s="109">
        <f t="shared" si="252"/>
        <v>0</v>
      </c>
      <c r="AX466" s="66">
        <f t="shared" si="253"/>
        <v>0</v>
      </c>
      <c r="AY466" s="66"/>
      <c r="AZ466" s="66">
        <f t="shared" si="254"/>
        <v>0</v>
      </c>
      <c r="BA466" s="30"/>
    </row>
    <row r="467" spans="1:53" ht="21.6" customHeight="1" x14ac:dyDescent="0.3">
      <c r="A467" s="2"/>
      <c r="B467" s="3"/>
      <c r="C467" s="3"/>
      <c r="D467" s="3"/>
      <c r="E467" s="3"/>
      <c r="F467" s="3"/>
      <c r="G467" s="150"/>
      <c r="H467" s="394"/>
      <c r="I467" s="50"/>
      <c r="J467" s="15">
        <f t="shared" si="246"/>
        <v>0</v>
      </c>
      <c r="K467" s="3"/>
      <c r="L467" s="3"/>
      <c r="M467" s="3"/>
      <c r="N467" s="3"/>
      <c r="O467" s="3"/>
      <c r="P467" s="8"/>
      <c r="Q467" s="44"/>
      <c r="R467" s="35">
        <f t="shared" si="260"/>
        <v>0</v>
      </c>
      <c r="S467" s="13"/>
      <c r="T467" s="35"/>
      <c r="U467" s="37"/>
      <c r="V467" s="37">
        <f t="shared" si="248"/>
        <v>0</v>
      </c>
      <c r="W467" s="59">
        <f t="shared" si="257"/>
        <v>0</v>
      </c>
      <c r="X467" s="59">
        <f t="shared" si="258"/>
        <v>0</v>
      </c>
      <c r="Y467" s="59">
        <f t="shared" si="259"/>
        <v>0</v>
      </c>
      <c r="Z467" s="39"/>
      <c r="AA467" s="4"/>
      <c r="AB467" s="35"/>
      <c r="AC467" s="13"/>
      <c r="AD467" s="174"/>
      <c r="AE467" s="13"/>
      <c r="AF467" s="35"/>
      <c r="AG467" s="3">
        <f t="shared" si="249"/>
        <v>0</v>
      </c>
      <c r="AH467" s="13"/>
      <c r="AI467" s="36" t="e">
        <f>#REF!</f>
        <v>#REF!</v>
      </c>
      <c r="AJ467" s="36">
        <v>0</v>
      </c>
      <c r="AK467" s="142" t="e">
        <f t="shared" si="255"/>
        <v>#DIV/0!</v>
      </c>
      <c r="AL467" s="47"/>
      <c r="AM467" s="153"/>
      <c r="AN467" s="63">
        <f t="shared" si="256"/>
        <v>0</v>
      </c>
      <c r="AO467" s="29"/>
      <c r="AP467" s="28"/>
      <c r="AQ467" s="64">
        <f t="shared" si="251"/>
        <v>0</v>
      </c>
      <c r="AR467" s="28"/>
      <c r="AS467" s="28"/>
      <c r="AT467" s="157">
        <f t="shared" si="250"/>
        <v>0</v>
      </c>
      <c r="AU467" s="28"/>
      <c r="AV467" s="28"/>
      <c r="AW467" s="109">
        <f t="shared" si="252"/>
        <v>0</v>
      </c>
      <c r="AX467" s="66">
        <f t="shared" si="253"/>
        <v>0</v>
      </c>
      <c r="AY467" s="66"/>
      <c r="AZ467" s="66">
        <f t="shared" si="254"/>
        <v>0</v>
      </c>
      <c r="BA467" s="30"/>
    </row>
    <row r="468" spans="1:53" ht="21.6" customHeight="1" x14ac:dyDescent="0.3">
      <c r="A468" s="2"/>
      <c r="B468" s="3"/>
      <c r="C468" s="3"/>
      <c r="D468" s="3"/>
      <c r="E468" s="3"/>
      <c r="F468" s="3"/>
      <c r="G468" s="150"/>
      <c r="H468" s="394"/>
      <c r="I468" s="50"/>
      <c r="J468" s="15">
        <f t="shared" si="246"/>
        <v>0</v>
      </c>
      <c r="K468" s="3"/>
      <c r="L468" s="3"/>
      <c r="M468" s="3"/>
      <c r="N468" s="3"/>
      <c r="O468" s="3"/>
      <c r="P468" s="8"/>
      <c r="Q468" s="44"/>
      <c r="R468" s="35">
        <f t="shared" si="260"/>
        <v>0</v>
      </c>
      <c r="S468" s="13"/>
      <c r="T468" s="35"/>
      <c r="U468" s="37"/>
      <c r="V468" s="37">
        <f t="shared" si="248"/>
        <v>0</v>
      </c>
      <c r="W468" s="59">
        <f t="shared" si="257"/>
        <v>0</v>
      </c>
      <c r="X468" s="59">
        <f t="shared" si="258"/>
        <v>0</v>
      </c>
      <c r="Y468" s="59">
        <f t="shared" si="259"/>
        <v>0</v>
      </c>
      <c r="Z468" s="39"/>
      <c r="AA468" s="4"/>
      <c r="AB468" s="35"/>
      <c r="AC468" s="13"/>
      <c r="AD468" s="174"/>
      <c r="AE468" s="13"/>
      <c r="AF468" s="35"/>
      <c r="AG468" s="3">
        <f t="shared" si="249"/>
        <v>0</v>
      </c>
      <c r="AH468" s="13"/>
      <c r="AI468" s="36" t="e">
        <f>#REF!</f>
        <v>#REF!</v>
      </c>
      <c r="AJ468" s="36">
        <v>0</v>
      </c>
      <c r="AK468" s="142" t="e">
        <f t="shared" si="255"/>
        <v>#DIV/0!</v>
      </c>
      <c r="AL468" s="47"/>
      <c r="AM468" s="153"/>
      <c r="AN468" s="63">
        <f t="shared" si="256"/>
        <v>0</v>
      </c>
      <c r="AO468" s="29"/>
      <c r="AP468" s="28"/>
      <c r="AQ468" s="64">
        <f t="shared" si="251"/>
        <v>0</v>
      </c>
      <c r="AR468" s="28"/>
      <c r="AS468" s="28"/>
      <c r="AT468" s="157">
        <f t="shared" si="250"/>
        <v>0</v>
      </c>
      <c r="AU468" s="28"/>
      <c r="AV468" s="28"/>
      <c r="AW468" s="109">
        <f t="shared" si="252"/>
        <v>0</v>
      </c>
      <c r="AX468" s="66">
        <f t="shared" si="253"/>
        <v>0</v>
      </c>
      <c r="AY468" s="66"/>
      <c r="AZ468" s="66">
        <f t="shared" si="254"/>
        <v>0</v>
      </c>
      <c r="BA468" s="30"/>
    </row>
    <row r="469" spans="1:53" ht="21.6" customHeight="1" x14ac:dyDescent="0.3">
      <c r="A469" s="2"/>
      <c r="B469" s="3"/>
      <c r="C469" s="3"/>
      <c r="D469" s="3"/>
      <c r="E469" s="3"/>
      <c r="F469" s="3"/>
      <c r="G469" s="150"/>
      <c r="H469" s="394"/>
      <c r="I469" s="50"/>
      <c r="J469" s="15">
        <f t="shared" si="246"/>
        <v>0</v>
      </c>
      <c r="K469" s="3"/>
      <c r="L469" s="3"/>
      <c r="M469" s="3"/>
      <c r="N469" s="3"/>
      <c r="O469" s="3"/>
      <c r="P469" s="8"/>
      <c r="Q469" s="44"/>
      <c r="R469" s="35">
        <f t="shared" si="260"/>
        <v>0</v>
      </c>
      <c r="S469" s="13"/>
      <c r="T469" s="35"/>
      <c r="U469" s="37"/>
      <c r="V469" s="37">
        <f t="shared" si="248"/>
        <v>0</v>
      </c>
      <c r="W469" s="59">
        <f t="shared" si="257"/>
        <v>0</v>
      </c>
      <c r="X469" s="59">
        <f t="shared" si="258"/>
        <v>0</v>
      </c>
      <c r="Y469" s="59">
        <f t="shared" si="259"/>
        <v>0</v>
      </c>
      <c r="Z469" s="39"/>
      <c r="AA469" s="4"/>
      <c r="AB469" s="35"/>
      <c r="AC469" s="13"/>
      <c r="AD469" s="174"/>
      <c r="AE469" s="13"/>
      <c r="AF469" s="35"/>
      <c r="AG469" s="3">
        <f t="shared" si="249"/>
        <v>0</v>
      </c>
      <c r="AH469" s="13"/>
      <c r="AI469" s="36" t="e">
        <f>#REF!</f>
        <v>#REF!</v>
      </c>
      <c r="AJ469" s="36">
        <v>0</v>
      </c>
      <c r="AK469" s="142" t="e">
        <f t="shared" si="255"/>
        <v>#DIV/0!</v>
      </c>
      <c r="AL469" s="47"/>
      <c r="AM469" s="153"/>
      <c r="AN469" s="63">
        <f t="shared" si="256"/>
        <v>0</v>
      </c>
      <c r="AO469" s="29"/>
      <c r="AP469" s="28"/>
      <c r="AQ469" s="64">
        <f t="shared" si="251"/>
        <v>0</v>
      </c>
      <c r="AR469" s="28"/>
      <c r="AS469" s="28"/>
      <c r="AT469" s="157">
        <f t="shared" si="250"/>
        <v>0</v>
      </c>
      <c r="AU469" s="28"/>
      <c r="AV469" s="28"/>
      <c r="AW469" s="109">
        <f t="shared" si="252"/>
        <v>0</v>
      </c>
      <c r="AX469" s="66">
        <f t="shared" si="253"/>
        <v>0</v>
      </c>
      <c r="AY469" s="66"/>
      <c r="AZ469" s="66">
        <f t="shared" si="254"/>
        <v>0</v>
      </c>
      <c r="BA469" s="30"/>
    </row>
    <row r="470" spans="1:53" ht="21.6" customHeight="1" x14ac:dyDescent="0.3">
      <c r="A470" s="2"/>
      <c r="B470" s="3"/>
      <c r="C470" s="3"/>
      <c r="D470" s="3"/>
      <c r="E470" s="3"/>
      <c r="F470" s="3"/>
      <c r="G470" s="150"/>
      <c r="H470" s="394"/>
      <c r="I470" s="50"/>
      <c r="J470" s="15">
        <f t="shared" si="246"/>
        <v>0</v>
      </c>
      <c r="K470" s="3"/>
      <c r="L470" s="3"/>
      <c r="M470" s="3"/>
      <c r="N470" s="3"/>
      <c r="O470" s="3"/>
      <c r="P470" s="8"/>
      <c r="Q470" s="44"/>
      <c r="R470" s="35">
        <f t="shared" si="260"/>
        <v>0</v>
      </c>
      <c r="S470" s="13"/>
      <c r="T470" s="35"/>
      <c r="U470" s="37"/>
      <c r="V470" s="37">
        <f t="shared" si="248"/>
        <v>0</v>
      </c>
      <c r="W470" s="59">
        <f t="shared" si="257"/>
        <v>0</v>
      </c>
      <c r="X470" s="59">
        <f t="shared" si="258"/>
        <v>0</v>
      </c>
      <c r="Y470" s="59">
        <f t="shared" si="259"/>
        <v>0</v>
      </c>
      <c r="Z470" s="39"/>
      <c r="AA470" s="4"/>
      <c r="AB470" s="35"/>
      <c r="AC470" s="13"/>
      <c r="AD470" s="174"/>
      <c r="AE470" s="13"/>
      <c r="AF470" s="35"/>
      <c r="AG470" s="3">
        <f t="shared" si="249"/>
        <v>0</v>
      </c>
      <c r="AH470" s="13"/>
      <c r="AI470" s="36" t="e">
        <f>#REF!</f>
        <v>#REF!</v>
      </c>
      <c r="AJ470" s="36">
        <v>0</v>
      </c>
      <c r="AK470" s="142" t="e">
        <f t="shared" si="255"/>
        <v>#DIV/0!</v>
      </c>
      <c r="AL470" s="47"/>
      <c r="AM470" s="153"/>
      <c r="AN470" s="63">
        <f t="shared" si="256"/>
        <v>0</v>
      </c>
      <c r="AO470" s="29"/>
      <c r="AP470" s="28"/>
      <c r="AQ470" s="64">
        <f t="shared" si="251"/>
        <v>0</v>
      </c>
      <c r="AR470" s="28"/>
      <c r="AS470" s="28"/>
      <c r="AT470" s="157">
        <f t="shared" si="250"/>
        <v>0</v>
      </c>
      <c r="AU470" s="28"/>
      <c r="AV470" s="28"/>
      <c r="AW470" s="109">
        <f t="shared" si="252"/>
        <v>0</v>
      </c>
      <c r="AX470" s="66">
        <f t="shared" si="253"/>
        <v>0</v>
      </c>
      <c r="AY470" s="66"/>
      <c r="AZ470" s="66">
        <f t="shared" si="254"/>
        <v>0</v>
      </c>
      <c r="BA470" s="30"/>
    </row>
    <row r="471" spans="1:53" ht="21.6" customHeight="1" x14ac:dyDescent="0.3">
      <c r="A471" s="2"/>
      <c r="B471" s="3"/>
      <c r="C471" s="3"/>
      <c r="D471" s="3"/>
      <c r="E471" s="3"/>
      <c r="F471" s="3"/>
      <c r="G471" s="150"/>
      <c r="H471" s="394"/>
      <c r="I471" s="50"/>
      <c r="J471" s="15">
        <f t="shared" si="246"/>
        <v>0</v>
      </c>
      <c r="K471" s="3"/>
      <c r="L471" s="3"/>
      <c r="M471" s="3"/>
      <c r="N471" s="3"/>
      <c r="O471" s="3"/>
      <c r="P471" s="8"/>
      <c r="Q471" s="44"/>
      <c r="R471" s="35">
        <f t="shared" si="260"/>
        <v>0</v>
      </c>
      <c r="S471" s="13"/>
      <c r="T471" s="35"/>
      <c r="U471" s="37"/>
      <c r="V471" s="37">
        <f t="shared" si="248"/>
        <v>0</v>
      </c>
      <c r="W471" s="59">
        <f t="shared" si="257"/>
        <v>0</v>
      </c>
      <c r="X471" s="59">
        <f t="shared" si="258"/>
        <v>0</v>
      </c>
      <c r="Y471" s="59">
        <f t="shared" si="259"/>
        <v>0</v>
      </c>
      <c r="Z471" s="39"/>
      <c r="AA471" s="4"/>
      <c r="AB471" s="35"/>
      <c r="AC471" s="13"/>
      <c r="AD471" s="174"/>
      <c r="AE471" s="13"/>
      <c r="AF471" s="35"/>
      <c r="AG471" s="3">
        <f t="shared" si="249"/>
        <v>0</v>
      </c>
      <c r="AH471" s="13"/>
      <c r="AI471" s="36" t="e">
        <f>#REF!</f>
        <v>#REF!</v>
      </c>
      <c r="AJ471" s="36">
        <v>0</v>
      </c>
      <c r="AK471" s="142" t="e">
        <f t="shared" si="255"/>
        <v>#DIV/0!</v>
      </c>
      <c r="AL471" s="47"/>
      <c r="AM471" s="153"/>
      <c r="AN471" s="63">
        <f t="shared" si="256"/>
        <v>0</v>
      </c>
      <c r="AO471" s="29"/>
      <c r="AP471" s="28"/>
      <c r="AQ471" s="64">
        <f t="shared" si="251"/>
        <v>0</v>
      </c>
      <c r="AR471" s="28"/>
      <c r="AS471" s="28"/>
      <c r="AT471" s="157">
        <f t="shared" si="250"/>
        <v>0</v>
      </c>
      <c r="AU471" s="28"/>
      <c r="AV471" s="28"/>
      <c r="AW471" s="109">
        <f t="shared" si="252"/>
        <v>0</v>
      </c>
      <c r="AX471" s="66">
        <f t="shared" si="253"/>
        <v>0</v>
      </c>
      <c r="AY471" s="66"/>
      <c r="AZ471" s="66">
        <f t="shared" si="254"/>
        <v>0</v>
      </c>
      <c r="BA471" s="30"/>
    </row>
    <row r="472" spans="1:53" ht="21.6" customHeight="1" x14ac:dyDescent="0.3">
      <c r="A472" s="2"/>
      <c r="B472" s="3"/>
      <c r="C472" s="3"/>
      <c r="D472" s="3"/>
      <c r="E472" s="3"/>
      <c r="F472" s="3"/>
      <c r="G472" s="150"/>
      <c r="H472" s="394"/>
      <c r="I472" s="50"/>
      <c r="J472" s="15">
        <f t="shared" si="246"/>
        <v>0</v>
      </c>
      <c r="K472" s="3"/>
      <c r="L472" s="3"/>
      <c r="M472" s="3"/>
      <c r="N472" s="3"/>
      <c r="O472" s="3"/>
      <c r="P472" s="8"/>
      <c r="Q472" s="44"/>
      <c r="R472" s="35">
        <f t="shared" si="260"/>
        <v>0</v>
      </c>
      <c r="S472" s="13"/>
      <c r="T472" s="35"/>
      <c r="U472" s="37"/>
      <c r="V472" s="37">
        <f t="shared" si="248"/>
        <v>0</v>
      </c>
      <c r="W472" s="59">
        <f t="shared" si="257"/>
        <v>0</v>
      </c>
      <c r="X472" s="59">
        <f t="shared" si="258"/>
        <v>0</v>
      </c>
      <c r="Y472" s="59">
        <f t="shared" si="259"/>
        <v>0</v>
      </c>
      <c r="Z472" s="39"/>
      <c r="AA472" s="4"/>
      <c r="AB472" s="35"/>
      <c r="AC472" s="13"/>
      <c r="AD472" s="174"/>
      <c r="AE472" s="13"/>
      <c r="AF472" s="35"/>
      <c r="AG472" s="3">
        <f t="shared" si="249"/>
        <v>0</v>
      </c>
      <c r="AH472" s="13"/>
      <c r="AI472" s="36" t="e">
        <f>#REF!</f>
        <v>#REF!</v>
      </c>
      <c r="AJ472" s="36">
        <v>0</v>
      </c>
      <c r="AK472" s="142" t="e">
        <f t="shared" si="255"/>
        <v>#DIV/0!</v>
      </c>
      <c r="AL472" s="47"/>
      <c r="AM472" s="153"/>
      <c r="AN472" s="63">
        <f t="shared" si="256"/>
        <v>0</v>
      </c>
      <c r="AO472" s="29"/>
      <c r="AP472" s="28"/>
      <c r="AQ472" s="64">
        <f t="shared" si="251"/>
        <v>0</v>
      </c>
      <c r="AR472" s="28"/>
      <c r="AS472" s="28"/>
      <c r="AT472" s="157">
        <f t="shared" si="250"/>
        <v>0</v>
      </c>
      <c r="AU472" s="28"/>
      <c r="AV472" s="28"/>
      <c r="AW472" s="109">
        <f t="shared" si="252"/>
        <v>0</v>
      </c>
      <c r="AX472" s="66">
        <f t="shared" si="253"/>
        <v>0</v>
      </c>
      <c r="AY472" s="66"/>
      <c r="AZ472" s="66">
        <f t="shared" si="254"/>
        <v>0</v>
      </c>
      <c r="BA472" s="30"/>
    </row>
    <row r="473" spans="1:53" ht="21.6" customHeight="1" x14ac:dyDescent="0.3">
      <c r="A473" s="2"/>
      <c r="B473" s="3"/>
      <c r="C473" s="3"/>
      <c r="D473" s="3"/>
      <c r="E473" s="3"/>
      <c r="F473" s="3"/>
      <c r="G473" s="150"/>
      <c r="H473" s="394"/>
      <c r="I473" s="50"/>
      <c r="J473" s="15">
        <f t="shared" si="246"/>
        <v>0</v>
      </c>
      <c r="K473" s="3"/>
      <c r="L473" s="3"/>
      <c r="M473" s="3"/>
      <c r="N473" s="3"/>
      <c r="O473" s="3"/>
      <c r="P473" s="8"/>
      <c r="Q473" s="44"/>
      <c r="R473" s="35">
        <f t="shared" si="260"/>
        <v>0</v>
      </c>
      <c r="S473" s="13"/>
      <c r="T473" s="35"/>
      <c r="U473" s="37"/>
      <c r="V473" s="37">
        <f t="shared" si="248"/>
        <v>0</v>
      </c>
      <c r="W473" s="59">
        <f t="shared" si="257"/>
        <v>0</v>
      </c>
      <c r="X473" s="59">
        <f t="shared" si="258"/>
        <v>0</v>
      </c>
      <c r="Y473" s="59">
        <f t="shared" si="259"/>
        <v>0</v>
      </c>
      <c r="Z473" s="39"/>
      <c r="AA473" s="4"/>
      <c r="AB473" s="35"/>
      <c r="AC473" s="13"/>
      <c r="AD473" s="174"/>
      <c r="AE473" s="13"/>
      <c r="AF473" s="35"/>
      <c r="AG473" s="3">
        <f t="shared" si="249"/>
        <v>0</v>
      </c>
      <c r="AH473" s="13"/>
      <c r="AI473" s="36" t="e">
        <f>#REF!</f>
        <v>#REF!</v>
      </c>
      <c r="AJ473" s="36">
        <v>0</v>
      </c>
      <c r="AK473" s="142" t="e">
        <f t="shared" si="255"/>
        <v>#DIV/0!</v>
      </c>
      <c r="AL473" s="47"/>
      <c r="AM473" s="153"/>
      <c r="AN473" s="63">
        <f t="shared" si="256"/>
        <v>0</v>
      </c>
      <c r="AO473" s="29"/>
      <c r="AP473" s="28"/>
      <c r="AQ473" s="64">
        <f t="shared" si="251"/>
        <v>0</v>
      </c>
      <c r="AR473" s="28"/>
      <c r="AS473" s="28"/>
      <c r="AT473" s="157">
        <f t="shared" si="250"/>
        <v>0</v>
      </c>
      <c r="AU473" s="28"/>
      <c r="AV473" s="28"/>
      <c r="AW473" s="109">
        <f t="shared" si="252"/>
        <v>0</v>
      </c>
      <c r="AX473" s="66">
        <f t="shared" si="253"/>
        <v>0</v>
      </c>
      <c r="AY473" s="66"/>
      <c r="AZ473" s="66">
        <f t="shared" si="254"/>
        <v>0</v>
      </c>
      <c r="BA473" s="30"/>
    </row>
    <row r="474" spans="1:53" ht="21.6" customHeight="1" x14ac:dyDescent="0.3">
      <c r="A474" s="2"/>
      <c r="B474" s="3"/>
      <c r="C474" s="3"/>
      <c r="D474" s="3"/>
      <c r="E474" s="3"/>
      <c r="F474" s="3"/>
      <c r="G474" s="150"/>
      <c r="H474" s="394"/>
      <c r="I474" s="50"/>
      <c r="J474" s="15">
        <f t="shared" si="246"/>
        <v>0</v>
      </c>
      <c r="K474" s="3"/>
      <c r="L474" s="3"/>
      <c r="M474" s="3"/>
      <c r="N474" s="3"/>
      <c r="O474" s="3"/>
      <c r="P474" s="8"/>
      <c r="Q474" s="44"/>
      <c r="R474" s="35">
        <f t="shared" si="260"/>
        <v>0</v>
      </c>
      <c r="S474" s="13"/>
      <c r="T474" s="35"/>
      <c r="U474" s="37"/>
      <c r="V474" s="37">
        <f t="shared" si="248"/>
        <v>0</v>
      </c>
      <c r="W474" s="59">
        <f t="shared" si="257"/>
        <v>0</v>
      </c>
      <c r="X474" s="59">
        <f t="shared" si="258"/>
        <v>0</v>
      </c>
      <c r="Y474" s="59">
        <f t="shared" si="259"/>
        <v>0</v>
      </c>
      <c r="Z474" s="39"/>
      <c r="AA474" s="4"/>
      <c r="AB474" s="35"/>
      <c r="AC474" s="13"/>
      <c r="AD474" s="174"/>
      <c r="AE474" s="13"/>
      <c r="AF474" s="35"/>
      <c r="AG474" s="3">
        <f t="shared" si="249"/>
        <v>0</v>
      </c>
      <c r="AH474" s="13"/>
      <c r="AI474" s="36" t="e">
        <f>#REF!</f>
        <v>#REF!</v>
      </c>
      <c r="AJ474" s="36">
        <v>0</v>
      </c>
      <c r="AK474" s="142" t="e">
        <f t="shared" si="255"/>
        <v>#DIV/0!</v>
      </c>
      <c r="AL474" s="47"/>
      <c r="AM474" s="153"/>
      <c r="AN474" s="63">
        <f t="shared" si="256"/>
        <v>0</v>
      </c>
      <c r="AO474" s="29"/>
      <c r="AP474" s="28"/>
      <c r="AQ474" s="64">
        <f t="shared" si="251"/>
        <v>0</v>
      </c>
      <c r="AR474" s="28"/>
      <c r="AS474" s="28"/>
      <c r="AT474" s="157">
        <f t="shared" si="250"/>
        <v>0</v>
      </c>
      <c r="AU474" s="28"/>
      <c r="AV474" s="28"/>
      <c r="AW474" s="109">
        <f t="shared" si="252"/>
        <v>0</v>
      </c>
      <c r="AX474" s="66">
        <f t="shared" si="253"/>
        <v>0</v>
      </c>
      <c r="AY474" s="66"/>
      <c r="AZ474" s="66">
        <f t="shared" si="254"/>
        <v>0</v>
      </c>
      <c r="BA474" s="30"/>
    </row>
    <row r="475" spans="1:53" ht="21.6" customHeight="1" x14ac:dyDescent="0.3">
      <c r="A475" s="2"/>
      <c r="B475" s="3"/>
      <c r="C475" s="3"/>
      <c r="D475" s="3"/>
      <c r="E475" s="3"/>
      <c r="F475" s="3"/>
      <c r="G475" s="150"/>
      <c r="H475" s="394"/>
      <c r="I475" s="50"/>
      <c r="J475" s="15">
        <f t="shared" si="246"/>
        <v>0</v>
      </c>
      <c r="K475" s="3"/>
      <c r="L475" s="3"/>
      <c r="M475" s="3"/>
      <c r="N475" s="3"/>
      <c r="O475" s="3"/>
      <c r="P475" s="8"/>
      <c r="Q475" s="44"/>
      <c r="R475" s="35">
        <f t="shared" si="260"/>
        <v>0</v>
      </c>
      <c r="S475" s="13"/>
      <c r="T475" s="35"/>
      <c r="U475" s="37"/>
      <c r="V475" s="37">
        <f t="shared" si="248"/>
        <v>0</v>
      </c>
      <c r="W475" s="59">
        <f t="shared" si="257"/>
        <v>0</v>
      </c>
      <c r="X475" s="59">
        <f t="shared" si="258"/>
        <v>0</v>
      </c>
      <c r="Y475" s="59">
        <f t="shared" si="259"/>
        <v>0</v>
      </c>
      <c r="Z475" s="39"/>
      <c r="AA475" s="4"/>
      <c r="AB475" s="35"/>
      <c r="AC475" s="13"/>
      <c r="AD475" s="174"/>
      <c r="AE475" s="13"/>
      <c r="AF475" s="35"/>
      <c r="AG475" s="3">
        <f t="shared" si="249"/>
        <v>0</v>
      </c>
      <c r="AH475" s="13"/>
      <c r="AI475" s="36" t="e">
        <f>#REF!</f>
        <v>#REF!</v>
      </c>
      <c r="AJ475" s="36">
        <v>0</v>
      </c>
      <c r="AK475" s="142" t="e">
        <f t="shared" si="255"/>
        <v>#DIV/0!</v>
      </c>
      <c r="AL475" s="47"/>
      <c r="AM475" s="153"/>
      <c r="AN475" s="63">
        <f t="shared" si="256"/>
        <v>0</v>
      </c>
      <c r="AO475" s="29"/>
      <c r="AP475" s="28"/>
      <c r="AQ475" s="64">
        <f t="shared" si="251"/>
        <v>0</v>
      </c>
      <c r="AR475" s="28"/>
      <c r="AS475" s="28"/>
      <c r="AT475" s="157">
        <f t="shared" si="250"/>
        <v>0</v>
      </c>
      <c r="AU475" s="28"/>
      <c r="AV475" s="28"/>
      <c r="AW475" s="109">
        <f t="shared" si="252"/>
        <v>0</v>
      </c>
      <c r="AX475" s="66">
        <f t="shared" si="253"/>
        <v>0</v>
      </c>
      <c r="AY475" s="66"/>
      <c r="AZ475" s="66">
        <f t="shared" si="254"/>
        <v>0</v>
      </c>
      <c r="BA475" s="30"/>
    </row>
    <row r="476" spans="1:53" ht="21.6" customHeight="1" x14ac:dyDescent="0.3">
      <c r="A476" s="2"/>
      <c r="B476" s="3"/>
      <c r="C476" s="3"/>
      <c r="D476" s="3"/>
      <c r="E476" s="3"/>
      <c r="F476" s="3"/>
      <c r="G476" s="150"/>
      <c r="H476" s="394"/>
      <c r="I476" s="50"/>
      <c r="J476" s="15">
        <f t="shared" si="246"/>
        <v>0</v>
      </c>
      <c r="K476" s="3"/>
      <c r="L476" s="3"/>
      <c r="M476" s="3"/>
      <c r="N476" s="3"/>
      <c r="O476" s="3"/>
      <c r="P476" s="8"/>
      <c r="Q476" s="44"/>
      <c r="R476" s="35">
        <f t="shared" si="260"/>
        <v>0</v>
      </c>
      <c r="S476" s="13"/>
      <c r="T476" s="35"/>
      <c r="U476" s="37"/>
      <c r="V476" s="37">
        <f t="shared" si="248"/>
        <v>0</v>
      </c>
      <c r="W476" s="59">
        <f t="shared" si="257"/>
        <v>0</v>
      </c>
      <c r="X476" s="59">
        <f t="shared" si="258"/>
        <v>0</v>
      </c>
      <c r="Y476" s="59">
        <f t="shared" si="259"/>
        <v>0</v>
      </c>
      <c r="Z476" s="39"/>
      <c r="AA476" s="4"/>
      <c r="AB476" s="35"/>
      <c r="AC476" s="13"/>
      <c r="AD476" s="174"/>
      <c r="AE476" s="13"/>
      <c r="AF476" s="35"/>
      <c r="AG476" s="3">
        <f t="shared" si="249"/>
        <v>0</v>
      </c>
      <c r="AH476" s="13"/>
      <c r="AI476" s="36" t="e">
        <f>#REF!</f>
        <v>#REF!</v>
      </c>
      <c r="AJ476" s="36">
        <v>0</v>
      </c>
      <c r="AK476" s="142" t="e">
        <f t="shared" si="255"/>
        <v>#DIV/0!</v>
      </c>
      <c r="AL476" s="47"/>
      <c r="AM476" s="153"/>
      <c r="AN476" s="63">
        <f t="shared" si="256"/>
        <v>0</v>
      </c>
      <c r="AO476" s="29"/>
      <c r="AP476" s="28"/>
      <c r="AQ476" s="64">
        <f t="shared" si="251"/>
        <v>0</v>
      </c>
      <c r="AR476" s="28"/>
      <c r="AS476" s="28"/>
      <c r="AT476" s="157">
        <f t="shared" si="250"/>
        <v>0</v>
      </c>
      <c r="AU476" s="28"/>
      <c r="AV476" s="28"/>
      <c r="AW476" s="109">
        <f t="shared" si="252"/>
        <v>0</v>
      </c>
      <c r="AX476" s="66">
        <f t="shared" si="253"/>
        <v>0</v>
      </c>
      <c r="AY476" s="66"/>
      <c r="AZ476" s="66">
        <f t="shared" si="254"/>
        <v>0</v>
      </c>
      <c r="BA476" s="30"/>
    </row>
    <row r="477" spans="1:53" ht="21.6" customHeight="1" x14ac:dyDescent="0.3">
      <c r="A477" s="2"/>
      <c r="B477" s="3"/>
      <c r="C477" s="3"/>
      <c r="D477" s="3"/>
      <c r="E477" s="3"/>
      <c r="F477" s="3"/>
      <c r="G477" s="150"/>
      <c r="H477" s="394"/>
      <c r="I477" s="50"/>
      <c r="J477" s="15">
        <f t="shared" si="246"/>
        <v>0</v>
      </c>
      <c r="K477" s="3"/>
      <c r="L477" s="3"/>
      <c r="M477" s="3"/>
      <c r="N477" s="3"/>
      <c r="O477" s="3"/>
      <c r="P477" s="8"/>
      <c r="Q477" s="44"/>
      <c r="R477" s="35">
        <f t="shared" si="260"/>
        <v>0</v>
      </c>
      <c r="S477" s="13"/>
      <c r="T477" s="35"/>
      <c r="U477" s="37"/>
      <c r="V477" s="37">
        <f t="shared" si="248"/>
        <v>0</v>
      </c>
      <c r="W477" s="59">
        <f t="shared" si="257"/>
        <v>0</v>
      </c>
      <c r="X477" s="59">
        <f t="shared" si="258"/>
        <v>0</v>
      </c>
      <c r="Y477" s="59">
        <f t="shared" si="259"/>
        <v>0</v>
      </c>
      <c r="Z477" s="39"/>
      <c r="AA477" s="4"/>
      <c r="AB477" s="35"/>
      <c r="AC477" s="13"/>
      <c r="AD477" s="174"/>
      <c r="AE477" s="13"/>
      <c r="AF477" s="35"/>
      <c r="AG477" s="3">
        <f t="shared" si="249"/>
        <v>0</v>
      </c>
      <c r="AH477" s="13"/>
      <c r="AI477" s="36" t="e">
        <f>#REF!</f>
        <v>#REF!</v>
      </c>
      <c r="AJ477" s="36">
        <v>0</v>
      </c>
      <c r="AK477" s="142" t="e">
        <f t="shared" si="255"/>
        <v>#DIV/0!</v>
      </c>
      <c r="AL477" s="47"/>
      <c r="AM477" s="153"/>
      <c r="AN477" s="63">
        <f t="shared" si="256"/>
        <v>0</v>
      </c>
      <c r="AO477" s="29"/>
      <c r="AP477" s="28"/>
      <c r="AQ477" s="64">
        <f t="shared" si="251"/>
        <v>0</v>
      </c>
      <c r="AR477" s="28"/>
      <c r="AS477" s="28"/>
      <c r="AT477" s="157">
        <f t="shared" si="250"/>
        <v>0</v>
      </c>
      <c r="AU477" s="28"/>
      <c r="AV477" s="28"/>
      <c r="AW477" s="109">
        <f t="shared" si="252"/>
        <v>0</v>
      </c>
      <c r="AX477" s="66">
        <f t="shared" si="253"/>
        <v>0</v>
      </c>
      <c r="AY477" s="66"/>
      <c r="AZ477" s="66">
        <f t="shared" si="254"/>
        <v>0</v>
      </c>
      <c r="BA477" s="30"/>
    </row>
    <row r="478" spans="1:53" ht="21.6" customHeight="1" x14ac:dyDescent="0.3">
      <c r="A478" s="2"/>
      <c r="B478" s="3"/>
      <c r="C478" s="3"/>
      <c r="D478" s="3"/>
      <c r="E478" s="3"/>
      <c r="F478" s="3"/>
      <c r="G478" s="150"/>
      <c r="H478" s="394"/>
      <c r="I478" s="50"/>
      <c r="J478" s="15">
        <f t="shared" si="246"/>
        <v>0</v>
      </c>
      <c r="K478" s="3"/>
      <c r="L478" s="3"/>
      <c r="M478" s="3"/>
      <c r="N478" s="3"/>
      <c r="O478" s="3"/>
      <c r="P478" s="8"/>
      <c r="Q478" s="44"/>
      <c r="R478" s="35">
        <f t="shared" si="260"/>
        <v>0</v>
      </c>
      <c r="S478" s="13"/>
      <c r="T478" s="35"/>
      <c r="U478" s="37"/>
      <c r="V478" s="37">
        <f t="shared" si="248"/>
        <v>0</v>
      </c>
      <c r="W478" s="59">
        <f t="shared" si="257"/>
        <v>0</v>
      </c>
      <c r="X478" s="59">
        <f t="shared" si="258"/>
        <v>0</v>
      </c>
      <c r="Y478" s="59">
        <f t="shared" si="259"/>
        <v>0</v>
      </c>
      <c r="Z478" s="39"/>
      <c r="AA478" s="4"/>
      <c r="AB478" s="35"/>
      <c r="AC478" s="13"/>
      <c r="AD478" s="174"/>
      <c r="AE478" s="13"/>
      <c r="AF478" s="35"/>
      <c r="AG478" s="3">
        <f t="shared" si="249"/>
        <v>0</v>
      </c>
      <c r="AH478" s="13"/>
      <c r="AI478" s="36" t="e">
        <f>#REF!</f>
        <v>#REF!</v>
      </c>
      <c r="AJ478" s="36">
        <v>0</v>
      </c>
      <c r="AK478" s="142" t="e">
        <f t="shared" si="255"/>
        <v>#DIV/0!</v>
      </c>
      <c r="AL478" s="47"/>
      <c r="AM478" s="153"/>
      <c r="AN478" s="63">
        <f t="shared" si="256"/>
        <v>0</v>
      </c>
      <c r="AO478" s="29"/>
      <c r="AP478" s="28"/>
      <c r="AQ478" s="64">
        <f t="shared" si="251"/>
        <v>0</v>
      </c>
      <c r="AR478" s="28"/>
      <c r="AS478" s="28"/>
      <c r="AT478" s="157">
        <f t="shared" si="250"/>
        <v>0</v>
      </c>
      <c r="AU478" s="28"/>
      <c r="AV478" s="28"/>
      <c r="AW478" s="109">
        <f t="shared" si="252"/>
        <v>0</v>
      </c>
      <c r="AX478" s="66">
        <f t="shared" si="253"/>
        <v>0</v>
      </c>
      <c r="AY478" s="66"/>
      <c r="AZ478" s="66">
        <f t="shared" si="254"/>
        <v>0</v>
      </c>
      <c r="BA478" s="30"/>
    </row>
    <row r="479" spans="1:53" ht="21.6" customHeight="1" x14ac:dyDescent="0.3">
      <c r="A479" s="2"/>
      <c r="B479" s="3"/>
      <c r="C479" s="3"/>
      <c r="D479" s="3"/>
      <c r="E479" s="3"/>
      <c r="F479" s="3"/>
      <c r="G479" s="150"/>
      <c r="H479" s="394"/>
      <c r="I479" s="50"/>
      <c r="J479" s="15">
        <f t="shared" si="246"/>
        <v>0</v>
      </c>
      <c r="K479" s="3"/>
      <c r="L479" s="3"/>
      <c r="M479" s="3"/>
      <c r="N479" s="3"/>
      <c r="O479" s="3"/>
      <c r="P479" s="8"/>
      <c r="Q479" s="44"/>
      <c r="R479" s="35">
        <f t="shared" si="260"/>
        <v>0</v>
      </c>
      <c r="S479" s="13"/>
      <c r="T479" s="35"/>
      <c r="U479" s="37"/>
      <c r="V479" s="37">
        <f t="shared" si="248"/>
        <v>0</v>
      </c>
      <c r="W479" s="59">
        <f t="shared" si="257"/>
        <v>0</v>
      </c>
      <c r="X479" s="59">
        <f t="shared" si="258"/>
        <v>0</v>
      </c>
      <c r="Y479" s="59">
        <f t="shared" si="259"/>
        <v>0</v>
      </c>
      <c r="Z479" s="39"/>
      <c r="AA479" s="4"/>
      <c r="AB479" s="35"/>
      <c r="AC479" s="13"/>
      <c r="AD479" s="174"/>
      <c r="AE479" s="13"/>
      <c r="AF479" s="35"/>
      <c r="AG479" s="3">
        <f t="shared" si="249"/>
        <v>0</v>
      </c>
      <c r="AH479" s="13"/>
      <c r="AI479" s="36" t="e">
        <f>#REF!</f>
        <v>#REF!</v>
      </c>
      <c r="AJ479" s="36">
        <v>0</v>
      </c>
      <c r="AK479" s="142" t="e">
        <f t="shared" ref="AK479:AK490" si="261">AJ479/AC479</f>
        <v>#DIV/0!</v>
      </c>
      <c r="AL479" s="47"/>
      <c r="AM479" s="153"/>
      <c r="AN479" s="63">
        <f t="shared" si="256"/>
        <v>0</v>
      </c>
      <c r="AO479" s="29"/>
      <c r="AP479" s="28"/>
      <c r="AQ479" s="64">
        <f t="shared" si="251"/>
        <v>0</v>
      </c>
      <c r="AR479" s="28"/>
      <c r="AS479" s="28"/>
      <c r="AT479" s="157">
        <f t="shared" si="250"/>
        <v>0</v>
      </c>
      <c r="AU479" s="28"/>
      <c r="AV479" s="28"/>
      <c r="AW479" s="109">
        <f t="shared" si="252"/>
        <v>0</v>
      </c>
      <c r="AX479" s="66">
        <f t="shared" si="253"/>
        <v>0</v>
      </c>
      <c r="AY479" s="66"/>
      <c r="AZ479" s="66">
        <f t="shared" si="254"/>
        <v>0</v>
      </c>
      <c r="BA479" s="30"/>
    </row>
    <row r="480" spans="1:53" ht="21.6" customHeight="1" x14ac:dyDescent="0.3">
      <c r="A480" s="2"/>
      <c r="B480" s="3"/>
      <c r="C480" s="3"/>
      <c r="D480" s="3"/>
      <c r="E480" s="3"/>
      <c r="F480" s="3"/>
      <c r="G480" s="150"/>
      <c r="H480" s="394"/>
      <c r="I480" s="50"/>
      <c r="J480" s="15">
        <f t="shared" si="246"/>
        <v>0</v>
      </c>
      <c r="K480" s="3"/>
      <c r="L480" s="3"/>
      <c r="M480" s="3"/>
      <c r="N480" s="3"/>
      <c r="O480" s="3"/>
      <c r="P480" s="8"/>
      <c r="Q480" s="44"/>
      <c r="R480" s="35">
        <f t="shared" si="260"/>
        <v>0</v>
      </c>
      <c r="S480" s="13"/>
      <c r="T480" s="35"/>
      <c r="U480" s="37"/>
      <c r="V480" s="37">
        <f t="shared" si="248"/>
        <v>0</v>
      </c>
      <c r="W480" s="59">
        <f t="shared" si="257"/>
        <v>0</v>
      </c>
      <c r="X480" s="59">
        <f t="shared" si="258"/>
        <v>0</v>
      </c>
      <c r="Y480" s="59">
        <f t="shared" si="259"/>
        <v>0</v>
      </c>
      <c r="Z480" s="39"/>
      <c r="AA480" s="4"/>
      <c r="AB480" s="35"/>
      <c r="AC480" s="13"/>
      <c r="AD480" s="174"/>
      <c r="AE480" s="13"/>
      <c r="AF480" s="35"/>
      <c r="AG480" s="3">
        <f t="shared" si="249"/>
        <v>0</v>
      </c>
      <c r="AH480" s="13"/>
      <c r="AI480" s="36" t="e">
        <f>#REF!</f>
        <v>#REF!</v>
      </c>
      <c r="AJ480" s="36">
        <v>0</v>
      </c>
      <c r="AK480" s="142" t="e">
        <f t="shared" si="261"/>
        <v>#DIV/0!</v>
      </c>
      <c r="AL480" s="47"/>
      <c r="AM480" s="153"/>
      <c r="AN480" s="63">
        <f t="shared" si="256"/>
        <v>0</v>
      </c>
      <c r="AO480" s="29"/>
      <c r="AP480" s="28"/>
      <c r="AQ480" s="64">
        <f t="shared" si="251"/>
        <v>0</v>
      </c>
      <c r="AR480" s="28"/>
      <c r="AS480" s="28"/>
      <c r="AT480" s="157">
        <f t="shared" si="250"/>
        <v>0</v>
      </c>
      <c r="AU480" s="28"/>
      <c r="AV480" s="28"/>
      <c r="AW480" s="109">
        <f t="shared" si="252"/>
        <v>0</v>
      </c>
      <c r="AX480" s="66">
        <f t="shared" si="253"/>
        <v>0</v>
      </c>
      <c r="AY480" s="66"/>
      <c r="AZ480" s="66">
        <f t="shared" si="254"/>
        <v>0</v>
      </c>
      <c r="BA480" s="30"/>
    </row>
    <row r="481" spans="1:53" ht="21.6" customHeight="1" x14ac:dyDescent="0.3">
      <c r="A481" s="2"/>
      <c r="B481" s="3"/>
      <c r="C481" s="3"/>
      <c r="D481" s="3"/>
      <c r="E481" s="3"/>
      <c r="F481" s="3"/>
      <c r="G481" s="150"/>
      <c r="H481" s="394"/>
      <c r="I481" s="50"/>
      <c r="J481" s="15">
        <f t="shared" si="246"/>
        <v>0</v>
      </c>
      <c r="K481" s="3"/>
      <c r="L481" s="3"/>
      <c r="M481" s="3"/>
      <c r="N481" s="3"/>
      <c r="O481" s="3"/>
      <c r="P481" s="8"/>
      <c r="Q481" s="44"/>
      <c r="R481" s="35">
        <f t="shared" si="260"/>
        <v>0</v>
      </c>
      <c r="S481" s="13"/>
      <c r="T481" s="35"/>
      <c r="U481" s="37"/>
      <c r="V481" s="37">
        <f t="shared" si="248"/>
        <v>0</v>
      </c>
      <c r="W481" s="59">
        <f t="shared" si="257"/>
        <v>0</v>
      </c>
      <c r="X481" s="59">
        <f t="shared" si="258"/>
        <v>0</v>
      </c>
      <c r="Y481" s="59">
        <f t="shared" si="259"/>
        <v>0</v>
      </c>
      <c r="Z481" s="39"/>
      <c r="AA481" s="4"/>
      <c r="AB481" s="35"/>
      <c r="AC481" s="13"/>
      <c r="AD481" s="174"/>
      <c r="AE481" s="13"/>
      <c r="AF481" s="35"/>
      <c r="AG481" s="3">
        <f t="shared" si="249"/>
        <v>0</v>
      </c>
      <c r="AH481" s="13"/>
      <c r="AI481" s="36" t="e">
        <f>#REF!</f>
        <v>#REF!</v>
      </c>
      <c r="AJ481" s="36">
        <v>0</v>
      </c>
      <c r="AK481" s="142" t="e">
        <f t="shared" si="261"/>
        <v>#DIV/0!</v>
      </c>
      <c r="AL481" s="47"/>
      <c r="AM481" s="153"/>
      <c r="AN481" s="63">
        <f t="shared" si="256"/>
        <v>0</v>
      </c>
      <c r="AO481" s="29"/>
      <c r="AP481" s="28"/>
      <c r="AQ481" s="64">
        <f t="shared" si="251"/>
        <v>0</v>
      </c>
      <c r="AR481" s="28"/>
      <c r="AS481" s="28"/>
      <c r="AT481" s="157">
        <f t="shared" si="250"/>
        <v>0</v>
      </c>
      <c r="AU481" s="28"/>
      <c r="AV481" s="28"/>
      <c r="AW481" s="109">
        <f t="shared" si="252"/>
        <v>0</v>
      </c>
      <c r="AX481" s="66">
        <f t="shared" si="253"/>
        <v>0</v>
      </c>
      <c r="AY481" s="66"/>
      <c r="AZ481" s="66">
        <f t="shared" si="254"/>
        <v>0</v>
      </c>
      <c r="BA481" s="30"/>
    </row>
    <row r="482" spans="1:53" ht="21.6" customHeight="1" x14ac:dyDescent="0.3">
      <c r="A482" s="2"/>
      <c r="B482" s="3"/>
      <c r="C482" s="3"/>
      <c r="D482" s="3"/>
      <c r="E482" s="3"/>
      <c r="F482" s="3"/>
      <c r="G482" s="150"/>
      <c r="H482" s="394"/>
      <c r="I482" s="50"/>
      <c r="J482" s="15">
        <f t="shared" si="246"/>
        <v>0</v>
      </c>
      <c r="K482" s="3"/>
      <c r="L482" s="3"/>
      <c r="M482" s="3"/>
      <c r="N482" s="3"/>
      <c r="O482" s="3"/>
      <c r="P482" s="8"/>
      <c r="Q482" s="44"/>
      <c r="R482" s="35">
        <f t="shared" si="260"/>
        <v>0</v>
      </c>
      <c r="S482" s="13"/>
      <c r="T482" s="35"/>
      <c r="U482" s="37"/>
      <c r="V482" s="37">
        <f t="shared" si="248"/>
        <v>0</v>
      </c>
      <c r="W482" s="59">
        <f t="shared" si="257"/>
        <v>0</v>
      </c>
      <c r="X482" s="59">
        <f t="shared" si="258"/>
        <v>0</v>
      </c>
      <c r="Y482" s="59">
        <f t="shared" si="259"/>
        <v>0</v>
      </c>
      <c r="Z482" s="39"/>
      <c r="AA482" s="4"/>
      <c r="AB482" s="35"/>
      <c r="AC482" s="13"/>
      <c r="AD482" s="174"/>
      <c r="AE482" s="13"/>
      <c r="AF482" s="35"/>
      <c r="AG482" s="3">
        <f t="shared" si="249"/>
        <v>0</v>
      </c>
      <c r="AH482" s="13"/>
      <c r="AI482" s="36" t="e">
        <f>#REF!</f>
        <v>#REF!</v>
      </c>
      <c r="AJ482" s="36">
        <v>0</v>
      </c>
      <c r="AK482" s="142" t="e">
        <f t="shared" si="261"/>
        <v>#DIV/0!</v>
      </c>
      <c r="AL482" s="47"/>
      <c r="AM482" s="153"/>
      <c r="AN482" s="63">
        <f t="shared" si="256"/>
        <v>0</v>
      </c>
      <c r="AO482" s="29"/>
      <c r="AP482" s="28"/>
      <c r="AQ482" s="64">
        <f t="shared" si="251"/>
        <v>0</v>
      </c>
      <c r="AR482" s="28"/>
      <c r="AS482" s="28"/>
      <c r="AT482" s="157">
        <f t="shared" si="250"/>
        <v>0</v>
      </c>
      <c r="AU482" s="28"/>
      <c r="AV482" s="28"/>
      <c r="AW482" s="109">
        <f t="shared" si="252"/>
        <v>0</v>
      </c>
      <c r="AX482" s="66">
        <f t="shared" si="253"/>
        <v>0</v>
      </c>
      <c r="AY482" s="66"/>
      <c r="AZ482" s="66">
        <f t="shared" si="254"/>
        <v>0</v>
      </c>
      <c r="BA482" s="30"/>
    </row>
    <row r="483" spans="1:53" ht="21.6" customHeight="1" x14ac:dyDescent="0.3">
      <c r="A483" s="2"/>
      <c r="B483" s="3"/>
      <c r="C483" s="3"/>
      <c r="D483" s="3"/>
      <c r="E483" s="3"/>
      <c r="F483" s="3"/>
      <c r="G483" s="150"/>
      <c r="H483" s="394"/>
      <c r="I483" s="50"/>
      <c r="J483" s="15">
        <f t="shared" si="246"/>
        <v>0</v>
      </c>
      <c r="K483" s="3"/>
      <c r="L483" s="3"/>
      <c r="M483" s="3"/>
      <c r="N483" s="3"/>
      <c r="O483" s="3"/>
      <c r="P483" s="8"/>
      <c r="Q483" s="44"/>
      <c r="R483" s="35">
        <f t="shared" si="260"/>
        <v>0</v>
      </c>
      <c r="S483" s="13"/>
      <c r="T483" s="35"/>
      <c r="U483" s="37"/>
      <c r="V483" s="37">
        <f t="shared" si="248"/>
        <v>0</v>
      </c>
      <c r="W483" s="59">
        <f t="shared" si="257"/>
        <v>0</v>
      </c>
      <c r="X483" s="59">
        <f t="shared" si="258"/>
        <v>0</v>
      </c>
      <c r="Y483" s="59">
        <f t="shared" si="259"/>
        <v>0</v>
      </c>
      <c r="Z483" s="39"/>
      <c r="AA483" s="4"/>
      <c r="AB483" s="35"/>
      <c r="AC483" s="13"/>
      <c r="AD483" s="174"/>
      <c r="AE483" s="13"/>
      <c r="AF483" s="35"/>
      <c r="AG483" s="3">
        <f t="shared" si="249"/>
        <v>0</v>
      </c>
      <c r="AH483" s="13"/>
      <c r="AI483" s="36" t="e">
        <f>#REF!</f>
        <v>#REF!</v>
      </c>
      <c r="AJ483" s="36">
        <v>0</v>
      </c>
      <c r="AK483" s="142" t="e">
        <f t="shared" si="261"/>
        <v>#DIV/0!</v>
      </c>
      <c r="AL483" s="47"/>
      <c r="AM483" s="153"/>
      <c r="AN483" s="63">
        <f t="shared" si="256"/>
        <v>0</v>
      </c>
      <c r="AO483" s="29"/>
      <c r="AP483" s="28"/>
      <c r="AQ483" s="64">
        <f t="shared" si="251"/>
        <v>0</v>
      </c>
      <c r="AR483" s="28"/>
      <c r="AS483" s="28"/>
      <c r="AT483" s="157">
        <f t="shared" si="250"/>
        <v>0</v>
      </c>
      <c r="AU483" s="28"/>
      <c r="AV483" s="28"/>
      <c r="AW483" s="109">
        <f t="shared" si="252"/>
        <v>0</v>
      </c>
      <c r="AX483" s="66">
        <f t="shared" si="253"/>
        <v>0</v>
      </c>
      <c r="AY483" s="66"/>
      <c r="AZ483" s="66">
        <f t="shared" si="254"/>
        <v>0</v>
      </c>
      <c r="BA483" s="30"/>
    </row>
    <row r="484" spans="1:53" ht="21.6" customHeight="1" x14ac:dyDescent="0.3">
      <c r="A484" s="2"/>
      <c r="B484" s="3"/>
      <c r="C484" s="3"/>
      <c r="D484" s="3"/>
      <c r="E484" s="3"/>
      <c r="F484" s="3"/>
      <c r="G484" s="150"/>
      <c r="H484" s="394"/>
      <c r="I484" s="50"/>
      <c r="J484" s="15">
        <f t="shared" si="246"/>
        <v>0</v>
      </c>
      <c r="K484" s="3"/>
      <c r="L484" s="3"/>
      <c r="M484" s="3"/>
      <c r="N484" s="3"/>
      <c r="O484" s="3"/>
      <c r="P484" s="8"/>
      <c r="Q484" s="44"/>
      <c r="R484" s="35">
        <f t="shared" si="260"/>
        <v>0</v>
      </c>
      <c r="S484" s="13"/>
      <c r="T484" s="35"/>
      <c r="U484" s="37"/>
      <c r="V484" s="37">
        <f t="shared" si="248"/>
        <v>0</v>
      </c>
      <c r="W484" s="59">
        <f t="shared" si="257"/>
        <v>0</v>
      </c>
      <c r="X484" s="59">
        <f t="shared" si="258"/>
        <v>0</v>
      </c>
      <c r="Y484" s="59">
        <f t="shared" si="259"/>
        <v>0</v>
      </c>
      <c r="Z484" s="39"/>
      <c r="AA484" s="4"/>
      <c r="AB484" s="35"/>
      <c r="AC484" s="13"/>
      <c r="AD484" s="174"/>
      <c r="AE484" s="13"/>
      <c r="AF484" s="35"/>
      <c r="AG484" s="3">
        <f t="shared" si="249"/>
        <v>0</v>
      </c>
      <c r="AH484" s="13"/>
      <c r="AI484" s="36" t="e">
        <f>#REF!</f>
        <v>#REF!</v>
      </c>
      <c r="AJ484" s="36">
        <v>0</v>
      </c>
      <c r="AK484" s="142" t="e">
        <f t="shared" si="261"/>
        <v>#DIV/0!</v>
      </c>
      <c r="AL484" s="47"/>
      <c r="AM484" s="153"/>
      <c r="AN484" s="63">
        <f t="shared" si="256"/>
        <v>0</v>
      </c>
      <c r="AO484" s="29"/>
      <c r="AP484" s="28"/>
      <c r="AQ484" s="64">
        <f t="shared" si="251"/>
        <v>0</v>
      </c>
      <c r="AR484" s="28"/>
      <c r="AS484" s="28"/>
      <c r="AT484" s="157">
        <f t="shared" si="250"/>
        <v>0</v>
      </c>
      <c r="AU484" s="28"/>
      <c r="AV484" s="28"/>
      <c r="AW484" s="109">
        <f t="shared" si="252"/>
        <v>0</v>
      </c>
      <c r="AX484" s="66">
        <f t="shared" si="253"/>
        <v>0</v>
      </c>
      <c r="AY484" s="66"/>
      <c r="AZ484" s="66">
        <f t="shared" si="254"/>
        <v>0</v>
      </c>
      <c r="BA484" s="30"/>
    </row>
    <row r="485" spans="1:53" ht="21.6" customHeight="1" x14ac:dyDescent="0.3">
      <c r="A485" s="2"/>
      <c r="B485" s="3"/>
      <c r="C485" s="3"/>
      <c r="D485" s="3"/>
      <c r="E485" s="3"/>
      <c r="F485" s="3"/>
      <c r="G485" s="150"/>
      <c r="H485" s="394"/>
      <c r="I485" s="50"/>
      <c r="J485" s="15">
        <f t="shared" si="246"/>
        <v>0</v>
      </c>
      <c r="K485" s="3"/>
      <c r="L485" s="3"/>
      <c r="M485" s="3"/>
      <c r="N485" s="3"/>
      <c r="O485" s="3"/>
      <c r="P485" s="8"/>
      <c r="Q485" s="44"/>
      <c r="R485" s="35">
        <f t="shared" si="260"/>
        <v>0</v>
      </c>
      <c r="S485" s="13"/>
      <c r="T485" s="35"/>
      <c r="U485" s="37"/>
      <c r="V485" s="37">
        <f t="shared" si="248"/>
        <v>0</v>
      </c>
      <c r="W485" s="59">
        <f t="shared" si="257"/>
        <v>0</v>
      </c>
      <c r="X485" s="59">
        <f t="shared" si="258"/>
        <v>0</v>
      </c>
      <c r="Y485" s="59">
        <f t="shared" si="259"/>
        <v>0</v>
      </c>
      <c r="Z485" s="39"/>
      <c r="AA485" s="4"/>
      <c r="AB485" s="35"/>
      <c r="AC485" s="13"/>
      <c r="AD485" s="174"/>
      <c r="AE485" s="13"/>
      <c r="AF485" s="35"/>
      <c r="AG485" s="3">
        <f t="shared" si="249"/>
        <v>0</v>
      </c>
      <c r="AH485" s="13"/>
      <c r="AI485" s="36" t="e">
        <f>#REF!</f>
        <v>#REF!</v>
      </c>
      <c r="AJ485" s="36">
        <v>0</v>
      </c>
      <c r="AK485" s="142" t="e">
        <f t="shared" si="261"/>
        <v>#DIV/0!</v>
      </c>
      <c r="AL485" s="47"/>
      <c r="AM485" s="153"/>
      <c r="AN485" s="63">
        <f t="shared" si="256"/>
        <v>0</v>
      </c>
      <c r="AO485" s="29"/>
      <c r="AP485" s="28"/>
      <c r="AQ485" s="64">
        <f t="shared" si="251"/>
        <v>0</v>
      </c>
      <c r="AR485" s="28"/>
      <c r="AS485" s="28"/>
      <c r="AT485" s="157">
        <f t="shared" si="250"/>
        <v>0</v>
      </c>
      <c r="AU485" s="28"/>
      <c r="AV485" s="28"/>
      <c r="AW485" s="109">
        <f t="shared" si="252"/>
        <v>0</v>
      </c>
      <c r="AX485" s="66">
        <f t="shared" si="253"/>
        <v>0</v>
      </c>
      <c r="AY485" s="66"/>
      <c r="AZ485" s="66">
        <f t="shared" si="254"/>
        <v>0</v>
      </c>
      <c r="BA485" s="30"/>
    </row>
    <row r="486" spans="1:53" ht="21.6" customHeight="1" x14ac:dyDescent="0.3">
      <c r="A486" s="2"/>
      <c r="B486" s="3"/>
      <c r="C486" s="3"/>
      <c r="D486" s="3"/>
      <c r="E486" s="3"/>
      <c r="F486" s="3"/>
      <c r="G486" s="150"/>
      <c r="H486" s="394"/>
      <c r="I486" s="50"/>
      <c r="J486" s="15">
        <f t="shared" si="246"/>
        <v>0</v>
      </c>
      <c r="K486" s="3"/>
      <c r="L486" s="3"/>
      <c r="M486" s="3"/>
      <c r="N486" s="3"/>
      <c r="O486" s="3"/>
      <c r="P486" s="8"/>
      <c r="Q486" s="44"/>
      <c r="R486" s="35">
        <f t="shared" si="260"/>
        <v>0</v>
      </c>
      <c r="S486" s="13"/>
      <c r="T486" s="35"/>
      <c r="U486" s="37"/>
      <c r="V486" s="37">
        <f t="shared" si="248"/>
        <v>0</v>
      </c>
      <c r="W486" s="59">
        <f t="shared" si="257"/>
        <v>0</v>
      </c>
      <c r="X486" s="59">
        <f t="shared" si="258"/>
        <v>0</v>
      </c>
      <c r="Y486" s="59">
        <f t="shared" si="259"/>
        <v>0</v>
      </c>
      <c r="Z486" s="39"/>
      <c r="AA486" s="4"/>
      <c r="AB486" s="35"/>
      <c r="AC486" s="13"/>
      <c r="AD486" s="174"/>
      <c r="AE486" s="13"/>
      <c r="AF486" s="35"/>
      <c r="AG486" s="3">
        <f t="shared" si="249"/>
        <v>0</v>
      </c>
      <c r="AH486" s="13"/>
      <c r="AI486" s="36" t="e">
        <f>#REF!</f>
        <v>#REF!</v>
      </c>
      <c r="AJ486" s="36">
        <v>0</v>
      </c>
      <c r="AK486" s="142" t="e">
        <f t="shared" si="261"/>
        <v>#DIV/0!</v>
      </c>
      <c r="AL486" s="47"/>
      <c r="AM486" s="153"/>
      <c r="AN486" s="63">
        <f t="shared" si="256"/>
        <v>0</v>
      </c>
      <c r="AO486" s="29"/>
      <c r="AP486" s="28"/>
      <c r="AQ486" s="64">
        <f t="shared" si="251"/>
        <v>0</v>
      </c>
      <c r="AR486" s="28"/>
      <c r="AS486" s="28"/>
      <c r="AT486" s="157">
        <f t="shared" si="250"/>
        <v>0</v>
      </c>
      <c r="AU486" s="28"/>
      <c r="AV486" s="28"/>
      <c r="AW486" s="109">
        <f t="shared" si="252"/>
        <v>0</v>
      </c>
      <c r="AX486" s="66">
        <f t="shared" si="253"/>
        <v>0</v>
      </c>
      <c r="AY486" s="66"/>
      <c r="AZ486" s="66">
        <f t="shared" si="254"/>
        <v>0</v>
      </c>
      <c r="BA486" s="30"/>
    </row>
    <row r="487" spans="1:53" ht="21.6" customHeight="1" x14ac:dyDescent="0.3">
      <c r="A487" s="2"/>
      <c r="B487" s="3"/>
      <c r="C487" s="3"/>
      <c r="D487" s="3"/>
      <c r="E487" s="3"/>
      <c r="F487" s="3"/>
      <c r="G487" s="150"/>
      <c r="H487" s="394"/>
      <c r="I487" s="50"/>
      <c r="J487" s="15">
        <f t="shared" si="246"/>
        <v>0</v>
      </c>
      <c r="K487" s="3"/>
      <c r="L487" s="3"/>
      <c r="M487" s="3"/>
      <c r="N487" s="3"/>
      <c r="O487" s="3"/>
      <c r="P487" s="8"/>
      <c r="Q487" s="44"/>
      <c r="R487" s="35">
        <f t="shared" si="260"/>
        <v>0</v>
      </c>
      <c r="S487" s="13"/>
      <c r="T487" s="35"/>
      <c r="U487" s="37"/>
      <c r="V487" s="37">
        <f t="shared" si="248"/>
        <v>0</v>
      </c>
      <c r="W487" s="59">
        <f t="shared" si="257"/>
        <v>0</v>
      </c>
      <c r="X487" s="59">
        <f t="shared" si="258"/>
        <v>0</v>
      </c>
      <c r="Y487" s="59">
        <f t="shared" si="259"/>
        <v>0</v>
      </c>
      <c r="Z487" s="39"/>
      <c r="AA487" s="4"/>
      <c r="AB487" s="35"/>
      <c r="AC487" s="13"/>
      <c r="AD487" s="174"/>
      <c r="AE487" s="13"/>
      <c r="AF487" s="35"/>
      <c r="AG487" s="3">
        <f t="shared" si="249"/>
        <v>0</v>
      </c>
      <c r="AH487" s="13"/>
      <c r="AI487" s="36" t="e">
        <f>#REF!</f>
        <v>#REF!</v>
      </c>
      <c r="AJ487" s="36">
        <v>0</v>
      </c>
      <c r="AK487" s="142" t="e">
        <f t="shared" si="261"/>
        <v>#DIV/0!</v>
      </c>
      <c r="AL487" s="47"/>
      <c r="AM487" s="153"/>
      <c r="AN487" s="63">
        <f t="shared" si="256"/>
        <v>0</v>
      </c>
      <c r="AO487" s="29"/>
      <c r="AP487" s="28"/>
      <c r="AQ487" s="64">
        <f t="shared" si="251"/>
        <v>0</v>
      </c>
      <c r="AR487" s="28"/>
      <c r="AS487" s="28"/>
      <c r="AT487" s="157">
        <f t="shared" si="250"/>
        <v>0</v>
      </c>
      <c r="AU487" s="28"/>
      <c r="AV487" s="28"/>
      <c r="AW487" s="109">
        <f t="shared" si="252"/>
        <v>0</v>
      </c>
      <c r="AX487" s="66">
        <f t="shared" si="253"/>
        <v>0</v>
      </c>
      <c r="AY487" s="66"/>
      <c r="AZ487" s="66">
        <f t="shared" si="254"/>
        <v>0</v>
      </c>
      <c r="BA487" s="30"/>
    </row>
    <row r="488" spans="1:53" ht="21.6" customHeight="1" x14ac:dyDescent="0.3">
      <c r="A488" s="2"/>
      <c r="B488" s="3"/>
      <c r="C488" s="3"/>
      <c r="D488" s="3"/>
      <c r="E488" s="3"/>
      <c r="F488" s="3"/>
      <c r="G488" s="150"/>
      <c r="H488" s="394"/>
      <c r="I488" s="50"/>
      <c r="J488" s="15">
        <f t="shared" si="246"/>
        <v>0</v>
      </c>
      <c r="K488" s="3"/>
      <c r="L488" s="3"/>
      <c r="M488" s="3"/>
      <c r="N488" s="3"/>
      <c r="O488" s="3"/>
      <c r="P488" s="8"/>
      <c r="Q488" s="44"/>
      <c r="R488" s="35">
        <f t="shared" si="260"/>
        <v>0</v>
      </c>
      <c r="S488" s="13"/>
      <c r="T488" s="35"/>
      <c r="U488" s="37"/>
      <c r="V488" s="37">
        <f t="shared" si="248"/>
        <v>0</v>
      </c>
      <c r="W488" s="59">
        <f t="shared" si="257"/>
        <v>0</v>
      </c>
      <c r="X488" s="59">
        <f t="shared" si="258"/>
        <v>0</v>
      </c>
      <c r="Y488" s="59">
        <f t="shared" si="259"/>
        <v>0</v>
      </c>
      <c r="Z488" s="39"/>
      <c r="AA488" s="4"/>
      <c r="AB488" s="35"/>
      <c r="AC488" s="13"/>
      <c r="AD488" s="174"/>
      <c r="AE488" s="13"/>
      <c r="AF488" s="35"/>
      <c r="AG488" s="3">
        <f t="shared" si="249"/>
        <v>0</v>
      </c>
      <c r="AH488" s="13"/>
      <c r="AI488" s="36" t="e">
        <f>#REF!</f>
        <v>#REF!</v>
      </c>
      <c r="AJ488" s="36">
        <v>0</v>
      </c>
      <c r="AK488" s="142" t="e">
        <f t="shared" si="261"/>
        <v>#DIV/0!</v>
      </c>
      <c r="AL488" s="47"/>
      <c r="AM488" s="153"/>
      <c r="AN488" s="63">
        <f t="shared" si="256"/>
        <v>0</v>
      </c>
      <c r="AO488" s="29"/>
      <c r="AP488" s="28"/>
      <c r="AQ488" s="64">
        <f t="shared" si="251"/>
        <v>0</v>
      </c>
      <c r="AR488" s="28"/>
      <c r="AS488" s="28"/>
      <c r="AT488" s="157">
        <f t="shared" si="250"/>
        <v>0</v>
      </c>
      <c r="AU488" s="28"/>
      <c r="AV488" s="28"/>
      <c r="AW488" s="109">
        <f t="shared" si="252"/>
        <v>0</v>
      </c>
      <c r="AX488" s="66">
        <f t="shared" si="253"/>
        <v>0</v>
      </c>
      <c r="AY488" s="66"/>
      <c r="AZ488" s="66">
        <f t="shared" si="254"/>
        <v>0</v>
      </c>
      <c r="BA488" s="30"/>
    </row>
    <row r="489" spans="1:53" ht="21.6" customHeight="1" x14ac:dyDescent="0.3">
      <c r="A489" s="2"/>
      <c r="B489" s="3"/>
      <c r="C489" s="3"/>
      <c r="D489" s="3"/>
      <c r="E489" s="3"/>
      <c r="F489" s="3"/>
      <c r="G489" s="150"/>
      <c r="H489" s="394"/>
      <c r="I489" s="50"/>
      <c r="J489" s="15">
        <f t="shared" si="246"/>
        <v>0</v>
      </c>
      <c r="K489" s="3"/>
      <c r="L489" s="3"/>
      <c r="M489" s="3"/>
      <c r="N489" s="3"/>
      <c r="O489" s="3"/>
      <c r="P489" s="8"/>
      <c r="Q489" s="44"/>
      <c r="R489" s="35">
        <f t="shared" si="260"/>
        <v>0</v>
      </c>
      <c r="S489" s="13"/>
      <c r="T489" s="35"/>
      <c r="U489" s="37"/>
      <c r="V489" s="37">
        <f t="shared" si="248"/>
        <v>0</v>
      </c>
      <c r="W489" s="59">
        <f t="shared" si="257"/>
        <v>0</v>
      </c>
      <c r="X489" s="59">
        <f t="shared" si="258"/>
        <v>0</v>
      </c>
      <c r="Y489" s="59">
        <f t="shared" si="259"/>
        <v>0</v>
      </c>
      <c r="Z489" s="39"/>
      <c r="AA489" s="4"/>
      <c r="AB489" s="35"/>
      <c r="AC489" s="13"/>
      <c r="AD489" s="174"/>
      <c r="AE489" s="13"/>
      <c r="AF489" s="35"/>
      <c r="AG489" s="3">
        <f t="shared" si="249"/>
        <v>0</v>
      </c>
      <c r="AH489" s="13"/>
      <c r="AI489" s="36" t="e">
        <f>#REF!</f>
        <v>#REF!</v>
      </c>
      <c r="AJ489" s="36">
        <v>0</v>
      </c>
      <c r="AK489" s="142" t="e">
        <f t="shared" si="261"/>
        <v>#DIV/0!</v>
      </c>
      <c r="AL489" s="47"/>
      <c r="AM489" s="153"/>
      <c r="AN489" s="63">
        <f t="shared" si="256"/>
        <v>0</v>
      </c>
      <c r="AO489" s="29"/>
      <c r="AP489" s="28"/>
      <c r="AQ489" s="64">
        <f t="shared" si="251"/>
        <v>0</v>
      </c>
      <c r="AR489" s="28"/>
      <c r="AS489" s="28"/>
      <c r="AT489" s="157">
        <f t="shared" si="250"/>
        <v>0</v>
      </c>
      <c r="AU489" s="28"/>
      <c r="AV489" s="28"/>
      <c r="AW489" s="109">
        <f t="shared" si="252"/>
        <v>0</v>
      </c>
      <c r="AX489" s="66">
        <f t="shared" si="253"/>
        <v>0</v>
      </c>
      <c r="AY489" s="66"/>
      <c r="AZ489" s="66">
        <f t="shared" si="254"/>
        <v>0</v>
      </c>
      <c r="BA489" s="30"/>
    </row>
    <row r="490" spans="1:53" ht="21.6" customHeight="1" x14ac:dyDescent="0.3">
      <c r="A490" s="2"/>
      <c r="B490" s="3"/>
      <c r="C490" s="3"/>
      <c r="D490" s="3"/>
      <c r="E490" s="3"/>
      <c r="F490" s="3"/>
      <c r="G490" s="150"/>
      <c r="H490" s="394"/>
      <c r="I490" s="50"/>
      <c r="J490" s="15">
        <f t="shared" si="246"/>
        <v>0</v>
      </c>
      <c r="K490" s="3"/>
      <c r="L490" s="3"/>
      <c r="M490" s="3"/>
      <c r="N490" s="3"/>
      <c r="O490" s="3"/>
      <c r="P490" s="8"/>
      <c r="Q490" s="44"/>
      <c r="R490" s="35">
        <f t="shared" si="260"/>
        <v>0</v>
      </c>
      <c r="S490" s="13"/>
      <c r="T490" s="35"/>
      <c r="U490" s="37"/>
      <c r="V490" s="37">
        <f t="shared" si="248"/>
        <v>0</v>
      </c>
      <c r="W490" s="59">
        <f t="shared" si="257"/>
        <v>0</v>
      </c>
      <c r="X490" s="59">
        <f t="shared" si="258"/>
        <v>0</v>
      </c>
      <c r="Y490" s="59">
        <f t="shared" si="259"/>
        <v>0</v>
      </c>
      <c r="Z490" s="39"/>
      <c r="AA490" s="4"/>
      <c r="AB490" s="35"/>
      <c r="AC490" s="13"/>
      <c r="AD490" s="174"/>
      <c r="AE490" s="13"/>
      <c r="AF490" s="35"/>
      <c r="AG490" s="3">
        <f t="shared" si="249"/>
        <v>0</v>
      </c>
      <c r="AH490" s="13"/>
      <c r="AI490" s="36" t="e">
        <f>#REF!</f>
        <v>#REF!</v>
      </c>
      <c r="AJ490" s="36">
        <v>0</v>
      </c>
      <c r="AK490" s="142" t="e">
        <f t="shared" si="261"/>
        <v>#DIV/0!</v>
      </c>
      <c r="AL490" s="47"/>
      <c r="AM490" s="153"/>
      <c r="AN490" s="63">
        <f t="shared" si="256"/>
        <v>0</v>
      </c>
      <c r="AO490" s="29"/>
      <c r="AP490" s="28"/>
      <c r="AQ490" s="64">
        <f t="shared" si="251"/>
        <v>0</v>
      </c>
      <c r="AR490" s="28"/>
      <c r="AS490" s="28"/>
      <c r="AT490" s="157">
        <f t="shared" si="250"/>
        <v>0</v>
      </c>
      <c r="AU490" s="28"/>
      <c r="AV490" s="28"/>
      <c r="AW490" s="109">
        <f t="shared" si="252"/>
        <v>0</v>
      </c>
      <c r="AX490" s="66">
        <f t="shared" si="253"/>
        <v>0</v>
      </c>
      <c r="AY490" s="66"/>
      <c r="AZ490" s="66">
        <f t="shared" si="254"/>
        <v>0</v>
      </c>
      <c r="BA490" s="30"/>
    </row>
    <row r="491" spans="1:53" ht="21.6" customHeight="1" x14ac:dyDescent="0.3">
      <c r="A491" s="2"/>
      <c r="B491" s="3"/>
      <c r="C491" s="3"/>
      <c r="D491" s="3"/>
      <c r="E491" s="3"/>
      <c r="F491" s="3"/>
      <c r="G491" s="150"/>
      <c r="H491" s="394"/>
      <c r="I491" s="50"/>
      <c r="J491" s="15">
        <f t="shared" ref="J491:J554" si="262">I491-H491</f>
        <v>0</v>
      </c>
      <c r="K491" s="3"/>
      <c r="L491" s="3"/>
      <c r="M491" s="3"/>
      <c r="N491" s="3"/>
      <c r="O491" s="3"/>
      <c r="P491" s="8"/>
      <c r="Q491" s="44"/>
      <c r="R491" s="35">
        <f t="shared" si="260"/>
        <v>0</v>
      </c>
      <c r="S491" s="13"/>
      <c r="T491" s="35"/>
      <c r="U491" s="37"/>
      <c r="V491" s="37">
        <f t="shared" si="248"/>
        <v>0</v>
      </c>
      <c r="W491" s="59">
        <f t="shared" si="257"/>
        <v>0</v>
      </c>
      <c r="X491" s="59">
        <f t="shared" si="258"/>
        <v>0</v>
      </c>
      <c r="Y491" s="59">
        <f t="shared" si="259"/>
        <v>0</v>
      </c>
      <c r="Z491" s="39"/>
      <c r="AA491" s="4"/>
      <c r="AB491" s="35"/>
      <c r="AC491" s="13"/>
      <c r="AD491" s="174"/>
      <c r="AE491" s="13"/>
      <c r="AF491" s="35"/>
      <c r="AG491" s="3">
        <f t="shared" si="249"/>
        <v>0</v>
      </c>
      <c r="AH491" s="13"/>
      <c r="AI491" s="36" t="e">
        <f>#REF!</f>
        <v>#REF!</v>
      </c>
      <c r="AJ491" s="36">
        <v>0</v>
      </c>
      <c r="AK491" s="36"/>
      <c r="AL491" s="47"/>
      <c r="AM491" s="153"/>
      <c r="AN491" s="63">
        <f t="shared" si="256"/>
        <v>0</v>
      </c>
      <c r="AO491" s="29"/>
      <c r="AP491" s="28"/>
      <c r="AQ491" s="64">
        <f t="shared" si="251"/>
        <v>0</v>
      </c>
      <c r="AR491" s="28"/>
      <c r="AS491" s="28"/>
      <c r="AT491" s="157">
        <f t="shared" si="250"/>
        <v>0</v>
      </c>
      <c r="AU491" s="28"/>
      <c r="AV491" s="28"/>
      <c r="AW491" s="109">
        <f t="shared" si="252"/>
        <v>0</v>
      </c>
      <c r="AX491" s="66">
        <f t="shared" si="253"/>
        <v>0</v>
      </c>
      <c r="AY491" s="66"/>
      <c r="AZ491" s="66">
        <f t="shared" si="254"/>
        <v>0</v>
      </c>
      <c r="BA491" s="30"/>
    </row>
    <row r="492" spans="1:53" ht="21.6" customHeight="1" x14ac:dyDescent="0.3">
      <c r="A492" s="2"/>
      <c r="B492" s="3"/>
      <c r="C492" s="3"/>
      <c r="D492" s="3"/>
      <c r="E492" s="3"/>
      <c r="F492" s="3"/>
      <c r="G492" s="150"/>
      <c r="H492" s="394"/>
      <c r="I492" s="50"/>
      <c r="J492" s="15">
        <f t="shared" si="262"/>
        <v>0</v>
      </c>
      <c r="K492" s="3"/>
      <c r="L492" s="3"/>
      <c r="M492" s="3"/>
      <c r="N492" s="3"/>
      <c r="O492" s="3"/>
      <c r="P492" s="8"/>
      <c r="Q492" s="44"/>
      <c r="R492" s="35">
        <f t="shared" si="260"/>
        <v>0</v>
      </c>
      <c r="S492" s="13"/>
      <c r="T492" s="35"/>
      <c r="U492" s="37"/>
      <c r="V492" s="37">
        <f t="shared" si="248"/>
        <v>0</v>
      </c>
      <c r="W492" s="59">
        <f t="shared" si="257"/>
        <v>0</v>
      </c>
      <c r="X492" s="59">
        <f t="shared" si="258"/>
        <v>0</v>
      </c>
      <c r="Y492" s="59">
        <f t="shared" si="259"/>
        <v>0</v>
      </c>
      <c r="Z492" s="39"/>
      <c r="AA492" s="4"/>
      <c r="AB492" s="35"/>
      <c r="AC492" s="13"/>
      <c r="AD492" s="174"/>
      <c r="AE492" s="13"/>
      <c r="AF492" s="35"/>
      <c r="AG492" s="3">
        <f t="shared" si="249"/>
        <v>0</v>
      </c>
      <c r="AH492" s="13"/>
      <c r="AI492" s="36" t="e">
        <f>#REF!</f>
        <v>#REF!</v>
      </c>
      <c r="AJ492" s="36">
        <v>0</v>
      </c>
      <c r="AK492" s="36"/>
      <c r="AL492" s="47"/>
      <c r="AM492" s="153"/>
      <c r="AN492" s="63">
        <f t="shared" si="256"/>
        <v>0</v>
      </c>
      <c r="AO492" s="29"/>
      <c r="AP492" s="28"/>
      <c r="AQ492" s="64">
        <f t="shared" si="251"/>
        <v>0</v>
      </c>
      <c r="AR492" s="28"/>
      <c r="AS492" s="28"/>
      <c r="AT492" s="157">
        <f t="shared" si="250"/>
        <v>0</v>
      </c>
      <c r="AU492" s="28"/>
      <c r="AV492" s="28"/>
      <c r="AW492" s="109">
        <f t="shared" si="252"/>
        <v>0</v>
      </c>
      <c r="AX492" s="66">
        <f t="shared" si="253"/>
        <v>0</v>
      </c>
      <c r="AY492" s="66"/>
      <c r="AZ492" s="66">
        <f t="shared" si="254"/>
        <v>0</v>
      </c>
      <c r="BA492" s="30"/>
    </row>
    <row r="493" spans="1:53" ht="21.6" customHeight="1" x14ac:dyDescent="0.3">
      <c r="A493" s="2"/>
      <c r="B493" s="3"/>
      <c r="C493" s="3"/>
      <c r="D493" s="3"/>
      <c r="E493" s="3"/>
      <c r="F493" s="3"/>
      <c r="G493" s="150"/>
      <c r="H493" s="394"/>
      <c r="I493" s="50"/>
      <c r="J493" s="15">
        <f t="shared" si="262"/>
        <v>0</v>
      </c>
      <c r="K493" s="3"/>
      <c r="L493" s="3"/>
      <c r="M493" s="3"/>
      <c r="N493" s="3"/>
      <c r="O493" s="3"/>
      <c r="P493" s="8"/>
      <c r="Q493" s="44"/>
      <c r="R493" s="35">
        <f t="shared" si="260"/>
        <v>0</v>
      </c>
      <c r="S493" s="13"/>
      <c r="T493" s="35"/>
      <c r="U493" s="37"/>
      <c r="V493" s="37">
        <f t="shared" si="248"/>
        <v>0</v>
      </c>
      <c r="W493" s="59">
        <f t="shared" si="257"/>
        <v>0</v>
      </c>
      <c r="X493" s="59">
        <f t="shared" si="258"/>
        <v>0</v>
      </c>
      <c r="Y493" s="59">
        <f t="shared" si="259"/>
        <v>0</v>
      </c>
      <c r="Z493" s="39"/>
      <c r="AA493" s="4"/>
      <c r="AB493" s="35"/>
      <c r="AC493" s="13"/>
      <c r="AD493" s="174"/>
      <c r="AE493" s="13"/>
      <c r="AF493" s="35"/>
      <c r="AG493" s="3">
        <f t="shared" si="249"/>
        <v>0</v>
      </c>
      <c r="AH493" s="13"/>
      <c r="AI493" s="36" t="e">
        <f>#REF!</f>
        <v>#REF!</v>
      </c>
      <c r="AJ493" s="36">
        <v>0</v>
      </c>
      <c r="AK493" s="36"/>
      <c r="AL493" s="47"/>
      <c r="AM493" s="153"/>
      <c r="AN493" s="63">
        <f t="shared" si="256"/>
        <v>0</v>
      </c>
      <c r="AO493" s="29"/>
      <c r="AP493" s="28"/>
      <c r="AQ493" s="64">
        <f t="shared" si="251"/>
        <v>0</v>
      </c>
      <c r="AR493" s="28"/>
      <c r="AS493" s="28"/>
      <c r="AT493" s="157">
        <f t="shared" si="250"/>
        <v>0</v>
      </c>
      <c r="AU493" s="28"/>
      <c r="AV493" s="28"/>
      <c r="AW493" s="109">
        <f t="shared" si="252"/>
        <v>0</v>
      </c>
      <c r="AX493" s="66">
        <f t="shared" si="253"/>
        <v>0</v>
      </c>
      <c r="AY493" s="66"/>
      <c r="AZ493" s="66">
        <f t="shared" si="254"/>
        <v>0</v>
      </c>
      <c r="BA493" s="30"/>
    </row>
    <row r="494" spans="1:53" ht="21.6" customHeight="1" x14ac:dyDescent="0.3">
      <c r="A494" s="2"/>
      <c r="B494" s="3"/>
      <c r="C494" s="3"/>
      <c r="D494" s="3"/>
      <c r="E494" s="3"/>
      <c r="F494" s="3"/>
      <c r="G494" s="150"/>
      <c r="H494" s="394"/>
      <c r="I494" s="50"/>
      <c r="J494" s="15">
        <f t="shared" si="262"/>
        <v>0</v>
      </c>
      <c r="K494" s="3"/>
      <c r="L494" s="3"/>
      <c r="M494" s="3"/>
      <c r="N494" s="3"/>
      <c r="O494" s="3"/>
      <c r="P494" s="8"/>
      <c r="Q494" s="44"/>
      <c r="R494" s="35">
        <f t="shared" si="260"/>
        <v>0</v>
      </c>
      <c r="S494" s="13"/>
      <c r="T494" s="35"/>
      <c r="U494" s="37"/>
      <c r="V494" s="37">
        <f t="shared" si="248"/>
        <v>0</v>
      </c>
      <c r="W494" s="59">
        <f t="shared" si="257"/>
        <v>0</v>
      </c>
      <c r="X494" s="59">
        <f t="shared" si="258"/>
        <v>0</v>
      </c>
      <c r="Y494" s="59">
        <f t="shared" si="259"/>
        <v>0</v>
      </c>
      <c r="Z494" s="39"/>
      <c r="AA494" s="4"/>
      <c r="AB494" s="35"/>
      <c r="AC494" s="13"/>
      <c r="AD494" s="174"/>
      <c r="AE494" s="13"/>
      <c r="AF494" s="35"/>
      <c r="AG494" s="3">
        <f t="shared" si="249"/>
        <v>0</v>
      </c>
      <c r="AH494" s="13"/>
      <c r="AI494" s="36" t="e">
        <f>#REF!</f>
        <v>#REF!</v>
      </c>
      <c r="AJ494" s="36">
        <v>0</v>
      </c>
      <c r="AK494" s="36"/>
      <c r="AL494" s="47"/>
      <c r="AM494" s="153"/>
      <c r="AN494" s="63">
        <f t="shared" si="256"/>
        <v>0</v>
      </c>
      <c r="AO494" s="29"/>
      <c r="AP494" s="28"/>
      <c r="AQ494" s="64">
        <f t="shared" si="251"/>
        <v>0</v>
      </c>
      <c r="AR494" s="28"/>
      <c r="AS494" s="28"/>
      <c r="AT494" s="157">
        <f t="shared" si="250"/>
        <v>0</v>
      </c>
      <c r="AU494" s="28"/>
      <c r="AV494" s="28"/>
      <c r="AW494" s="109">
        <f t="shared" si="252"/>
        <v>0</v>
      </c>
      <c r="AX494" s="66">
        <f t="shared" si="253"/>
        <v>0</v>
      </c>
      <c r="AY494" s="66"/>
      <c r="AZ494" s="66">
        <f t="shared" si="254"/>
        <v>0</v>
      </c>
      <c r="BA494" s="30"/>
    </row>
    <row r="495" spans="1:53" ht="21.6" customHeight="1" x14ac:dyDescent="0.3">
      <c r="A495" s="2"/>
      <c r="B495" s="3"/>
      <c r="C495" s="3"/>
      <c r="D495" s="3"/>
      <c r="E495" s="3"/>
      <c r="F495" s="3"/>
      <c r="G495" s="150"/>
      <c r="H495" s="394"/>
      <c r="I495" s="50"/>
      <c r="J495" s="15">
        <f t="shared" si="262"/>
        <v>0</v>
      </c>
      <c r="K495" s="3"/>
      <c r="L495" s="3"/>
      <c r="M495" s="3"/>
      <c r="N495" s="3"/>
      <c r="O495" s="3"/>
      <c r="P495" s="8"/>
      <c r="Q495" s="44"/>
      <c r="R495" s="35">
        <f t="shared" si="260"/>
        <v>0</v>
      </c>
      <c r="S495" s="13"/>
      <c r="T495" s="35"/>
      <c r="U495" s="37"/>
      <c r="V495" s="37">
        <f t="shared" si="248"/>
        <v>0</v>
      </c>
      <c r="W495" s="59">
        <f t="shared" si="257"/>
        <v>0</v>
      </c>
      <c r="X495" s="59">
        <f t="shared" si="258"/>
        <v>0</v>
      </c>
      <c r="Y495" s="59">
        <f t="shared" si="259"/>
        <v>0</v>
      </c>
      <c r="Z495" s="39"/>
      <c r="AA495" s="4"/>
      <c r="AB495" s="35"/>
      <c r="AC495" s="13"/>
      <c r="AD495" s="174"/>
      <c r="AE495" s="13"/>
      <c r="AF495" s="35"/>
      <c r="AG495" s="3">
        <f t="shared" si="249"/>
        <v>0</v>
      </c>
      <c r="AH495" s="13"/>
      <c r="AI495" s="36" t="e">
        <f>#REF!</f>
        <v>#REF!</v>
      </c>
      <c r="AJ495" s="36">
        <v>0</v>
      </c>
      <c r="AK495" s="36"/>
      <c r="AL495" s="47"/>
      <c r="AM495" s="153"/>
      <c r="AN495" s="63">
        <f t="shared" si="256"/>
        <v>0</v>
      </c>
      <c r="AO495" s="29"/>
      <c r="AP495" s="28"/>
      <c r="AQ495" s="64">
        <f t="shared" si="251"/>
        <v>0</v>
      </c>
      <c r="AR495" s="28"/>
      <c r="AS495" s="28"/>
      <c r="AT495" s="157">
        <f t="shared" si="250"/>
        <v>0</v>
      </c>
      <c r="AU495" s="28"/>
      <c r="AV495" s="28"/>
      <c r="AW495" s="109">
        <f t="shared" si="252"/>
        <v>0</v>
      </c>
      <c r="AX495" s="66">
        <f t="shared" si="253"/>
        <v>0</v>
      </c>
      <c r="AY495" s="66"/>
      <c r="AZ495" s="66">
        <f t="shared" si="254"/>
        <v>0</v>
      </c>
      <c r="BA495" s="30"/>
    </row>
    <row r="496" spans="1:53" ht="21.6" customHeight="1" x14ac:dyDescent="0.3">
      <c r="A496" s="2"/>
      <c r="B496" s="3"/>
      <c r="C496" s="3"/>
      <c r="D496" s="3"/>
      <c r="E496" s="3"/>
      <c r="F496" s="3"/>
      <c r="G496" s="150"/>
      <c r="H496" s="394"/>
      <c r="I496" s="50"/>
      <c r="J496" s="15">
        <f t="shared" si="262"/>
        <v>0</v>
      </c>
      <c r="K496" s="3"/>
      <c r="L496" s="3"/>
      <c r="M496" s="3"/>
      <c r="N496" s="3"/>
      <c r="O496" s="3"/>
      <c r="P496" s="8"/>
      <c r="Q496" s="44"/>
      <c r="R496" s="35">
        <f t="shared" si="260"/>
        <v>0</v>
      </c>
      <c r="S496" s="13"/>
      <c r="T496" s="35"/>
      <c r="U496" s="37"/>
      <c r="V496" s="37">
        <f t="shared" si="248"/>
        <v>0</v>
      </c>
      <c r="W496" s="59">
        <f t="shared" si="257"/>
        <v>0</v>
      </c>
      <c r="X496" s="59">
        <f t="shared" si="258"/>
        <v>0</v>
      </c>
      <c r="Y496" s="59">
        <f t="shared" si="259"/>
        <v>0</v>
      </c>
      <c r="Z496" s="39"/>
      <c r="AA496" s="4"/>
      <c r="AB496" s="35"/>
      <c r="AC496" s="13"/>
      <c r="AD496" s="174"/>
      <c r="AE496" s="13"/>
      <c r="AF496" s="35"/>
      <c r="AG496" s="3">
        <f t="shared" si="249"/>
        <v>0</v>
      </c>
      <c r="AH496" s="13"/>
      <c r="AI496" s="36" t="e">
        <f>#REF!</f>
        <v>#REF!</v>
      </c>
      <c r="AJ496" s="36">
        <v>0</v>
      </c>
      <c r="AK496" s="36"/>
      <c r="AL496" s="47"/>
      <c r="AM496" s="153"/>
      <c r="AN496" s="63">
        <f t="shared" si="256"/>
        <v>0</v>
      </c>
      <c r="AO496" s="29"/>
      <c r="AP496" s="28"/>
      <c r="AQ496" s="64">
        <f t="shared" si="251"/>
        <v>0</v>
      </c>
      <c r="AR496" s="28"/>
      <c r="AS496" s="28"/>
      <c r="AT496" s="157">
        <f t="shared" si="250"/>
        <v>0</v>
      </c>
      <c r="AU496" s="28"/>
      <c r="AV496" s="28"/>
      <c r="AW496" s="109">
        <f t="shared" si="252"/>
        <v>0</v>
      </c>
      <c r="AX496" s="66">
        <f t="shared" si="253"/>
        <v>0</v>
      </c>
      <c r="AY496" s="66"/>
      <c r="AZ496" s="66">
        <f t="shared" si="254"/>
        <v>0</v>
      </c>
      <c r="BA496" s="30"/>
    </row>
    <row r="497" spans="1:53" ht="21.6" customHeight="1" x14ac:dyDescent="0.3">
      <c r="A497" s="2"/>
      <c r="B497" s="3"/>
      <c r="C497" s="3"/>
      <c r="D497" s="3"/>
      <c r="E497" s="3"/>
      <c r="F497" s="3"/>
      <c r="G497" s="150"/>
      <c r="H497" s="394"/>
      <c r="I497" s="50"/>
      <c r="J497" s="15">
        <f t="shared" si="262"/>
        <v>0</v>
      </c>
      <c r="K497" s="3"/>
      <c r="L497" s="3"/>
      <c r="M497" s="3"/>
      <c r="N497" s="3"/>
      <c r="O497" s="3"/>
      <c r="P497" s="8"/>
      <c r="Q497" s="44"/>
      <c r="R497" s="35">
        <f t="shared" si="260"/>
        <v>0</v>
      </c>
      <c r="S497" s="13"/>
      <c r="T497" s="35"/>
      <c r="U497" s="37"/>
      <c r="V497" s="37">
        <f t="shared" si="248"/>
        <v>0</v>
      </c>
      <c r="W497" s="59">
        <f t="shared" si="257"/>
        <v>0</v>
      </c>
      <c r="X497" s="59">
        <f t="shared" si="258"/>
        <v>0</v>
      </c>
      <c r="Y497" s="59">
        <f t="shared" si="259"/>
        <v>0</v>
      </c>
      <c r="Z497" s="39"/>
      <c r="AA497" s="4"/>
      <c r="AB497" s="35"/>
      <c r="AC497" s="13"/>
      <c r="AD497" s="174"/>
      <c r="AE497" s="13"/>
      <c r="AF497" s="35"/>
      <c r="AG497" s="3">
        <f t="shared" si="249"/>
        <v>0</v>
      </c>
      <c r="AH497" s="13"/>
      <c r="AI497" s="36" t="e">
        <f>#REF!</f>
        <v>#REF!</v>
      </c>
      <c r="AJ497" s="36">
        <v>0</v>
      </c>
      <c r="AK497" s="36"/>
      <c r="AL497" s="47"/>
      <c r="AM497" s="153"/>
      <c r="AN497" s="63">
        <f t="shared" si="256"/>
        <v>0</v>
      </c>
      <c r="AO497" s="29"/>
      <c r="AP497" s="28"/>
      <c r="AQ497" s="64">
        <f t="shared" si="251"/>
        <v>0</v>
      </c>
      <c r="AR497" s="28"/>
      <c r="AS497" s="28"/>
      <c r="AT497" s="157">
        <f t="shared" si="250"/>
        <v>0</v>
      </c>
      <c r="AU497" s="28"/>
      <c r="AV497" s="28"/>
      <c r="AW497" s="109">
        <f t="shared" si="252"/>
        <v>0</v>
      </c>
      <c r="AX497" s="66">
        <f t="shared" si="253"/>
        <v>0</v>
      </c>
      <c r="AY497" s="66"/>
      <c r="AZ497" s="66">
        <f t="shared" si="254"/>
        <v>0</v>
      </c>
      <c r="BA497" s="30"/>
    </row>
    <row r="498" spans="1:53" ht="21.6" customHeight="1" x14ac:dyDescent="0.3">
      <c r="A498" s="2"/>
      <c r="B498" s="3"/>
      <c r="C498" s="3"/>
      <c r="D498" s="3"/>
      <c r="E498" s="3"/>
      <c r="F498" s="3"/>
      <c r="G498" s="150"/>
      <c r="H498" s="394"/>
      <c r="I498" s="50"/>
      <c r="J498" s="15">
        <f t="shared" si="262"/>
        <v>0</v>
      </c>
      <c r="K498" s="3"/>
      <c r="L498" s="3"/>
      <c r="M498" s="3"/>
      <c r="N498" s="3"/>
      <c r="O498" s="3"/>
      <c r="P498" s="8"/>
      <c r="Q498" s="44"/>
      <c r="R498" s="35">
        <f t="shared" si="260"/>
        <v>0</v>
      </c>
      <c r="S498" s="13"/>
      <c r="T498" s="35"/>
      <c r="U498" s="37"/>
      <c r="V498" s="37">
        <f t="shared" si="248"/>
        <v>0</v>
      </c>
      <c r="W498" s="59">
        <f t="shared" si="257"/>
        <v>0</v>
      </c>
      <c r="X498" s="59">
        <f t="shared" si="258"/>
        <v>0</v>
      </c>
      <c r="Y498" s="59">
        <f t="shared" si="259"/>
        <v>0</v>
      </c>
      <c r="Z498" s="39"/>
      <c r="AA498" s="4"/>
      <c r="AB498" s="35"/>
      <c r="AC498" s="13"/>
      <c r="AD498" s="174"/>
      <c r="AE498" s="13"/>
      <c r="AF498" s="35"/>
      <c r="AG498" s="3">
        <f t="shared" si="249"/>
        <v>0</v>
      </c>
      <c r="AH498" s="13"/>
      <c r="AI498" s="36" t="e">
        <f>#REF!</f>
        <v>#REF!</v>
      </c>
      <c r="AJ498" s="36">
        <v>0</v>
      </c>
      <c r="AK498" s="36"/>
      <c r="AL498" s="47"/>
      <c r="AM498" s="153"/>
      <c r="AN498" s="63">
        <f t="shared" si="256"/>
        <v>0</v>
      </c>
      <c r="AO498" s="29"/>
      <c r="AP498" s="28"/>
      <c r="AQ498" s="64">
        <f t="shared" si="251"/>
        <v>0</v>
      </c>
      <c r="AR498" s="28"/>
      <c r="AS498" s="28"/>
      <c r="AT498" s="157">
        <f t="shared" si="250"/>
        <v>0</v>
      </c>
      <c r="AU498" s="28"/>
      <c r="AV498" s="28"/>
      <c r="AW498" s="109">
        <f t="shared" si="252"/>
        <v>0</v>
      </c>
      <c r="AX498" s="66">
        <f t="shared" si="253"/>
        <v>0</v>
      </c>
      <c r="AY498" s="66"/>
      <c r="AZ498" s="66">
        <f t="shared" si="254"/>
        <v>0</v>
      </c>
      <c r="BA498" s="30"/>
    </row>
    <row r="499" spans="1:53" ht="21.6" customHeight="1" x14ac:dyDescent="0.3">
      <c r="A499" s="2"/>
      <c r="B499" s="3"/>
      <c r="C499" s="3"/>
      <c r="D499" s="3"/>
      <c r="E499" s="3"/>
      <c r="F499" s="3"/>
      <c r="G499" s="150"/>
      <c r="H499" s="394"/>
      <c r="I499" s="50"/>
      <c r="J499" s="15">
        <f t="shared" si="262"/>
        <v>0</v>
      </c>
      <c r="K499" s="3"/>
      <c r="L499" s="3"/>
      <c r="M499" s="3"/>
      <c r="N499" s="3"/>
      <c r="O499" s="3"/>
      <c r="P499" s="8"/>
      <c r="Q499" s="44"/>
      <c r="R499" s="35">
        <f t="shared" si="260"/>
        <v>0</v>
      </c>
      <c r="S499" s="13"/>
      <c r="T499" s="35"/>
      <c r="U499" s="37"/>
      <c r="V499" s="37">
        <f t="shared" ref="V499:V562" si="263">I499</f>
        <v>0</v>
      </c>
      <c r="W499" s="59">
        <f t="shared" si="257"/>
        <v>0</v>
      </c>
      <c r="X499" s="59">
        <f t="shared" si="258"/>
        <v>0</v>
      </c>
      <c r="Y499" s="59">
        <f t="shared" si="259"/>
        <v>0</v>
      </c>
      <c r="Z499" s="39"/>
      <c r="AA499" s="4"/>
      <c r="AB499" s="35"/>
      <c r="AC499" s="13"/>
      <c r="AD499" s="174"/>
      <c r="AE499" s="13"/>
      <c r="AF499" s="35"/>
      <c r="AG499" s="3">
        <f t="shared" ref="AG499:AG562" si="264">K499</f>
        <v>0</v>
      </c>
      <c r="AH499" s="13"/>
      <c r="AI499" s="36" t="e">
        <f>#REF!</f>
        <v>#REF!</v>
      </c>
      <c r="AJ499" s="36">
        <v>0</v>
      </c>
      <c r="AK499" s="36"/>
      <c r="AL499" s="47"/>
      <c r="AM499" s="153"/>
      <c r="AN499" s="63">
        <f t="shared" si="256"/>
        <v>0</v>
      </c>
      <c r="AO499" s="29"/>
      <c r="AP499" s="28"/>
      <c r="AQ499" s="64">
        <f t="shared" si="251"/>
        <v>0</v>
      </c>
      <c r="AR499" s="28"/>
      <c r="AS499" s="28"/>
      <c r="AT499" s="157">
        <f t="shared" ref="AT499:AT562" si="265">AR499-AS499</f>
        <v>0</v>
      </c>
      <c r="AU499" s="28"/>
      <c r="AV499" s="28"/>
      <c r="AW499" s="109">
        <f t="shared" si="252"/>
        <v>0</v>
      </c>
      <c r="AX499" s="66">
        <f t="shared" si="253"/>
        <v>0</v>
      </c>
      <c r="AY499" s="66"/>
      <c r="AZ499" s="66">
        <f t="shared" si="254"/>
        <v>0</v>
      </c>
      <c r="BA499" s="30"/>
    </row>
    <row r="500" spans="1:53" ht="21.6" customHeight="1" x14ac:dyDescent="0.3">
      <c r="A500" s="2"/>
      <c r="B500" s="3"/>
      <c r="C500" s="3"/>
      <c r="D500" s="3"/>
      <c r="E500" s="3"/>
      <c r="F500" s="3"/>
      <c r="G500" s="150"/>
      <c r="H500" s="394"/>
      <c r="I500" s="50"/>
      <c r="J500" s="15">
        <f t="shared" si="262"/>
        <v>0</v>
      </c>
      <c r="K500" s="3"/>
      <c r="L500" s="3"/>
      <c r="M500" s="3"/>
      <c r="N500" s="3"/>
      <c r="O500" s="3"/>
      <c r="P500" s="8"/>
      <c r="Q500" s="44"/>
      <c r="R500" s="35">
        <f t="shared" si="260"/>
        <v>0</v>
      </c>
      <c r="S500" s="13"/>
      <c r="T500" s="35"/>
      <c r="U500" s="37"/>
      <c r="V500" s="37">
        <f t="shared" si="263"/>
        <v>0</v>
      </c>
      <c r="W500" s="59">
        <f t="shared" si="257"/>
        <v>0</v>
      </c>
      <c r="X500" s="59">
        <f t="shared" si="258"/>
        <v>0</v>
      </c>
      <c r="Y500" s="59">
        <f t="shared" si="259"/>
        <v>0</v>
      </c>
      <c r="Z500" s="39"/>
      <c r="AA500" s="4"/>
      <c r="AB500" s="35"/>
      <c r="AC500" s="13"/>
      <c r="AD500" s="174"/>
      <c r="AE500" s="13"/>
      <c r="AF500" s="35"/>
      <c r="AG500" s="3">
        <f t="shared" si="264"/>
        <v>0</v>
      </c>
      <c r="AH500" s="13"/>
      <c r="AI500" s="36" t="e">
        <f>#REF!</f>
        <v>#REF!</v>
      </c>
      <c r="AJ500" s="36">
        <v>0</v>
      </c>
      <c r="AK500" s="36"/>
      <c r="AL500" s="47"/>
      <c r="AM500" s="153"/>
      <c r="AN500" s="63">
        <f t="shared" si="256"/>
        <v>0</v>
      </c>
      <c r="AO500" s="29"/>
      <c r="AP500" s="28"/>
      <c r="AQ500" s="64">
        <f t="shared" si="251"/>
        <v>0</v>
      </c>
      <c r="AR500" s="28"/>
      <c r="AS500" s="28"/>
      <c r="AT500" s="157">
        <f t="shared" si="265"/>
        <v>0</v>
      </c>
      <c r="AU500" s="28"/>
      <c r="AV500" s="28"/>
      <c r="AW500" s="109">
        <f t="shared" si="252"/>
        <v>0</v>
      </c>
      <c r="AX500" s="66">
        <f t="shared" si="253"/>
        <v>0</v>
      </c>
      <c r="AY500" s="66"/>
      <c r="AZ500" s="66">
        <f t="shared" si="254"/>
        <v>0</v>
      </c>
      <c r="BA500" s="30"/>
    </row>
    <row r="501" spans="1:53" ht="21.6" customHeight="1" x14ac:dyDescent="0.3">
      <c r="A501" s="2"/>
      <c r="B501" s="3"/>
      <c r="C501" s="3"/>
      <c r="D501" s="3"/>
      <c r="E501" s="3"/>
      <c r="F501" s="3"/>
      <c r="G501" s="150"/>
      <c r="H501" s="394"/>
      <c r="I501" s="50"/>
      <c r="J501" s="15">
        <f t="shared" si="262"/>
        <v>0</v>
      </c>
      <c r="K501" s="3"/>
      <c r="L501" s="3"/>
      <c r="M501" s="3"/>
      <c r="N501" s="3"/>
      <c r="O501" s="3"/>
      <c r="P501" s="8"/>
      <c r="Q501" s="44"/>
      <c r="R501" s="35">
        <f t="shared" si="260"/>
        <v>0</v>
      </c>
      <c r="S501" s="13"/>
      <c r="T501" s="35"/>
      <c r="U501" s="37"/>
      <c r="V501" s="37">
        <f t="shared" si="263"/>
        <v>0</v>
      </c>
      <c r="W501" s="59">
        <f t="shared" si="257"/>
        <v>0</v>
      </c>
      <c r="X501" s="59">
        <f t="shared" si="258"/>
        <v>0</v>
      </c>
      <c r="Y501" s="59">
        <f t="shared" si="259"/>
        <v>0</v>
      </c>
      <c r="Z501" s="39"/>
      <c r="AA501" s="4"/>
      <c r="AB501" s="35"/>
      <c r="AC501" s="13"/>
      <c r="AD501" s="174"/>
      <c r="AE501" s="13"/>
      <c r="AF501" s="35"/>
      <c r="AG501" s="3">
        <f t="shared" si="264"/>
        <v>0</v>
      </c>
      <c r="AH501" s="13"/>
      <c r="AI501" s="36" t="e">
        <f>#REF!</f>
        <v>#REF!</v>
      </c>
      <c r="AJ501" s="36">
        <v>0</v>
      </c>
      <c r="AK501" s="36"/>
      <c r="AL501" s="47"/>
      <c r="AM501" s="153"/>
      <c r="AN501" s="63">
        <f t="shared" si="256"/>
        <v>0</v>
      </c>
      <c r="AO501" s="29"/>
      <c r="AP501" s="28"/>
      <c r="AQ501" s="64">
        <f t="shared" si="251"/>
        <v>0</v>
      </c>
      <c r="AR501" s="28"/>
      <c r="AS501" s="28"/>
      <c r="AT501" s="157">
        <f t="shared" si="265"/>
        <v>0</v>
      </c>
      <c r="AU501" s="28"/>
      <c r="AV501" s="28"/>
      <c r="AW501" s="109">
        <f t="shared" si="252"/>
        <v>0</v>
      </c>
      <c r="AX501" s="66">
        <f t="shared" si="253"/>
        <v>0</v>
      </c>
      <c r="AY501" s="66"/>
      <c r="AZ501" s="66">
        <f t="shared" si="254"/>
        <v>0</v>
      </c>
      <c r="BA501" s="30"/>
    </row>
    <row r="502" spans="1:53" ht="21.6" customHeight="1" x14ac:dyDescent="0.3">
      <c r="A502" s="2"/>
      <c r="B502" s="3"/>
      <c r="C502" s="3"/>
      <c r="D502" s="3"/>
      <c r="E502" s="3"/>
      <c r="F502" s="3"/>
      <c r="G502" s="150"/>
      <c r="H502" s="394"/>
      <c r="I502" s="50"/>
      <c r="J502" s="15">
        <f t="shared" si="262"/>
        <v>0</v>
      </c>
      <c r="K502" s="3"/>
      <c r="L502" s="3"/>
      <c r="M502" s="3"/>
      <c r="N502" s="3"/>
      <c r="O502" s="3"/>
      <c r="P502" s="8"/>
      <c r="Q502" s="44"/>
      <c r="R502" s="35">
        <f t="shared" si="260"/>
        <v>0</v>
      </c>
      <c r="S502" s="13"/>
      <c r="T502" s="35"/>
      <c r="U502" s="37"/>
      <c r="V502" s="37">
        <f t="shared" si="263"/>
        <v>0</v>
      </c>
      <c r="W502" s="59">
        <f t="shared" si="257"/>
        <v>0</v>
      </c>
      <c r="X502" s="59">
        <f t="shared" si="258"/>
        <v>0</v>
      </c>
      <c r="Y502" s="59">
        <f t="shared" si="259"/>
        <v>0</v>
      </c>
      <c r="Z502" s="39"/>
      <c r="AA502" s="4"/>
      <c r="AB502" s="35"/>
      <c r="AC502" s="13"/>
      <c r="AD502" s="174"/>
      <c r="AE502" s="13"/>
      <c r="AF502" s="35"/>
      <c r="AG502" s="3">
        <f t="shared" si="264"/>
        <v>0</v>
      </c>
      <c r="AH502" s="13"/>
      <c r="AI502" s="36" t="e">
        <f>#REF!</f>
        <v>#REF!</v>
      </c>
      <c r="AJ502" s="36">
        <v>0</v>
      </c>
      <c r="AK502" s="36"/>
      <c r="AL502" s="47"/>
      <c r="AM502" s="153"/>
      <c r="AN502" s="63">
        <f t="shared" si="256"/>
        <v>0</v>
      </c>
      <c r="AO502" s="29"/>
      <c r="AP502" s="28"/>
      <c r="AQ502" s="64">
        <f t="shared" si="251"/>
        <v>0</v>
      </c>
      <c r="AR502" s="28"/>
      <c r="AS502" s="28"/>
      <c r="AT502" s="157">
        <f t="shared" si="265"/>
        <v>0</v>
      </c>
      <c r="AU502" s="28"/>
      <c r="AV502" s="28"/>
      <c r="AW502" s="109">
        <f t="shared" si="252"/>
        <v>0</v>
      </c>
      <c r="AX502" s="66">
        <f t="shared" si="253"/>
        <v>0</v>
      </c>
      <c r="AY502" s="66"/>
      <c r="AZ502" s="66">
        <f t="shared" si="254"/>
        <v>0</v>
      </c>
      <c r="BA502" s="30"/>
    </row>
    <row r="503" spans="1:53" ht="21.6" customHeight="1" x14ac:dyDescent="0.3">
      <c r="A503" s="2"/>
      <c r="B503" s="3"/>
      <c r="C503" s="3"/>
      <c r="D503" s="3"/>
      <c r="E503" s="3"/>
      <c r="F503" s="3"/>
      <c r="G503" s="150"/>
      <c r="H503" s="394"/>
      <c r="I503" s="50"/>
      <c r="J503" s="15">
        <f t="shared" si="262"/>
        <v>0</v>
      </c>
      <c r="K503" s="3"/>
      <c r="L503" s="3"/>
      <c r="M503" s="3"/>
      <c r="N503" s="3"/>
      <c r="O503" s="3"/>
      <c r="P503" s="8"/>
      <c r="Q503" s="44"/>
      <c r="R503" s="35">
        <f t="shared" si="260"/>
        <v>0</v>
      </c>
      <c r="S503" s="13"/>
      <c r="T503" s="35"/>
      <c r="U503" s="37"/>
      <c r="V503" s="37">
        <f t="shared" si="263"/>
        <v>0</v>
      </c>
      <c r="W503" s="59">
        <f t="shared" si="257"/>
        <v>0</v>
      </c>
      <c r="X503" s="59">
        <f t="shared" si="258"/>
        <v>0</v>
      </c>
      <c r="Y503" s="59">
        <f t="shared" si="259"/>
        <v>0</v>
      </c>
      <c r="Z503" s="39"/>
      <c r="AA503" s="4"/>
      <c r="AB503" s="35"/>
      <c r="AC503" s="13"/>
      <c r="AD503" s="174"/>
      <c r="AE503" s="13"/>
      <c r="AF503" s="35"/>
      <c r="AG503" s="3">
        <f t="shared" si="264"/>
        <v>0</v>
      </c>
      <c r="AH503" s="13"/>
      <c r="AI503" s="36" t="e">
        <f>#REF!</f>
        <v>#REF!</v>
      </c>
      <c r="AJ503" s="36">
        <v>0</v>
      </c>
      <c r="AK503" s="36"/>
      <c r="AL503" s="47"/>
      <c r="AM503" s="153"/>
      <c r="AN503" s="63">
        <f t="shared" si="256"/>
        <v>0</v>
      </c>
      <c r="AO503" s="29"/>
      <c r="AP503" s="28"/>
      <c r="AQ503" s="64">
        <f t="shared" si="251"/>
        <v>0</v>
      </c>
      <c r="AR503" s="28"/>
      <c r="AS503" s="28"/>
      <c r="AT503" s="157">
        <f t="shared" si="265"/>
        <v>0</v>
      </c>
      <c r="AU503" s="28"/>
      <c r="AV503" s="28"/>
      <c r="AW503" s="109">
        <f t="shared" si="252"/>
        <v>0</v>
      </c>
      <c r="AX503" s="66">
        <f t="shared" si="253"/>
        <v>0</v>
      </c>
      <c r="AY503" s="66"/>
      <c r="AZ503" s="66">
        <f t="shared" si="254"/>
        <v>0</v>
      </c>
      <c r="BA503" s="30"/>
    </row>
    <row r="504" spans="1:53" ht="21.6" customHeight="1" x14ac:dyDescent="0.3">
      <c r="A504" s="2"/>
      <c r="B504" s="3"/>
      <c r="C504" s="3"/>
      <c r="D504" s="3"/>
      <c r="E504" s="3"/>
      <c r="F504" s="3"/>
      <c r="G504" s="150"/>
      <c r="H504" s="394"/>
      <c r="I504" s="50"/>
      <c r="J504" s="15">
        <f t="shared" si="262"/>
        <v>0</v>
      </c>
      <c r="K504" s="3"/>
      <c r="L504" s="3"/>
      <c r="M504" s="3"/>
      <c r="N504" s="3"/>
      <c r="O504" s="3"/>
      <c r="P504" s="8"/>
      <c r="Q504" s="44"/>
      <c r="R504" s="35">
        <f t="shared" si="260"/>
        <v>0</v>
      </c>
      <c r="S504" s="13"/>
      <c r="T504" s="35"/>
      <c r="U504" s="37"/>
      <c r="V504" s="37">
        <f t="shared" si="263"/>
        <v>0</v>
      </c>
      <c r="W504" s="59">
        <f t="shared" si="257"/>
        <v>0</v>
      </c>
      <c r="X504" s="59">
        <f t="shared" si="258"/>
        <v>0</v>
      </c>
      <c r="Y504" s="59">
        <f t="shared" si="259"/>
        <v>0</v>
      </c>
      <c r="Z504" s="39"/>
      <c r="AA504" s="4"/>
      <c r="AB504" s="35"/>
      <c r="AC504" s="13"/>
      <c r="AD504" s="174"/>
      <c r="AE504" s="13"/>
      <c r="AF504" s="35"/>
      <c r="AG504" s="3">
        <f t="shared" si="264"/>
        <v>0</v>
      </c>
      <c r="AH504" s="13"/>
      <c r="AI504" s="36" t="e">
        <f>#REF!</f>
        <v>#REF!</v>
      </c>
      <c r="AJ504" s="36">
        <v>0</v>
      </c>
      <c r="AK504" s="36"/>
      <c r="AL504" s="47"/>
      <c r="AM504" s="153"/>
      <c r="AN504" s="63">
        <f t="shared" si="256"/>
        <v>0</v>
      </c>
      <c r="AO504" s="29"/>
      <c r="AP504" s="28"/>
      <c r="AQ504" s="64">
        <f t="shared" si="251"/>
        <v>0</v>
      </c>
      <c r="AR504" s="28"/>
      <c r="AS504" s="28"/>
      <c r="AT504" s="157">
        <f t="shared" si="265"/>
        <v>0</v>
      </c>
      <c r="AU504" s="28"/>
      <c r="AV504" s="28"/>
      <c r="AW504" s="109">
        <f t="shared" si="252"/>
        <v>0</v>
      </c>
      <c r="AX504" s="66">
        <f t="shared" si="253"/>
        <v>0</v>
      </c>
      <c r="AY504" s="66"/>
      <c r="AZ504" s="66">
        <f t="shared" si="254"/>
        <v>0</v>
      </c>
      <c r="BA504" s="30"/>
    </row>
    <row r="505" spans="1:53" ht="21.6" customHeight="1" x14ac:dyDescent="0.3">
      <c r="A505" s="2"/>
      <c r="B505" s="3"/>
      <c r="C505" s="3"/>
      <c r="D505" s="3"/>
      <c r="E505" s="3"/>
      <c r="F505" s="3"/>
      <c r="G505" s="150"/>
      <c r="H505" s="394"/>
      <c r="I505" s="50"/>
      <c r="J505" s="15">
        <f t="shared" si="262"/>
        <v>0</v>
      </c>
      <c r="K505" s="3"/>
      <c r="L505" s="3"/>
      <c r="M505" s="3"/>
      <c r="N505" s="3"/>
      <c r="O505" s="3"/>
      <c r="P505" s="8"/>
      <c r="Q505" s="44"/>
      <c r="R505" s="35">
        <f t="shared" si="260"/>
        <v>0</v>
      </c>
      <c r="S505" s="13"/>
      <c r="T505" s="35"/>
      <c r="U505" s="37"/>
      <c r="V505" s="37">
        <f t="shared" si="263"/>
        <v>0</v>
      </c>
      <c r="W505" s="59">
        <f t="shared" si="257"/>
        <v>0</v>
      </c>
      <c r="X505" s="59">
        <f t="shared" si="258"/>
        <v>0</v>
      </c>
      <c r="Y505" s="59">
        <f t="shared" si="259"/>
        <v>0</v>
      </c>
      <c r="Z505" s="39"/>
      <c r="AA505" s="4"/>
      <c r="AB505" s="35"/>
      <c r="AC505" s="13"/>
      <c r="AD505" s="174"/>
      <c r="AE505" s="13"/>
      <c r="AF505" s="35"/>
      <c r="AG505" s="3">
        <f t="shared" si="264"/>
        <v>0</v>
      </c>
      <c r="AH505" s="13"/>
      <c r="AI505" s="36" t="e">
        <f>#REF!</f>
        <v>#REF!</v>
      </c>
      <c r="AJ505" s="36">
        <v>0</v>
      </c>
      <c r="AK505" s="36"/>
      <c r="AL505" s="47"/>
      <c r="AM505" s="153"/>
      <c r="AN505" s="63">
        <f t="shared" si="256"/>
        <v>0</v>
      </c>
      <c r="AO505" s="29"/>
      <c r="AP505" s="28"/>
      <c r="AQ505" s="64">
        <f t="shared" si="251"/>
        <v>0</v>
      </c>
      <c r="AR505" s="28"/>
      <c r="AS505" s="28"/>
      <c r="AT505" s="157">
        <f t="shared" si="265"/>
        <v>0</v>
      </c>
      <c r="AU505" s="28"/>
      <c r="AV505" s="28"/>
      <c r="AW505" s="109">
        <f t="shared" si="252"/>
        <v>0</v>
      </c>
      <c r="AX505" s="66">
        <f t="shared" si="253"/>
        <v>0</v>
      </c>
      <c r="AY505" s="66"/>
      <c r="AZ505" s="66">
        <f t="shared" si="254"/>
        <v>0</v>
      </c>
      <c r="BA505" s="30"/>
    </row>
    <row r="506" spans="1:53" ht="21.6" customHeight="1" x14ac:dyDescent="0.3">
      <c r="A506" s="2"/>
      <c r="B506" s="3"/>
      <c r="C506" s="3"/>
      <c r="D506" s="3"/>
      <c r="E506" s="3"/>
      <c r="F506" s="3"/>
      <c r="G506" s="150"/>
      <c r="H506" s="394"/>
      <c r="I506" s="50"/>
      <c r="J506" s="15">
        <f t="shared" si="262"/>
        <v>0</v>
      </c>
      <c r="K506" s="3"/>
      <c r="L506" s="3"/>
      <c r="M506" s="3"/>
      <c r="N506" s="3"/>
      <c r="O506" s="3"/>
      <c r="P506" s="8"/>
      <c r="Q506" s="44"/>
      <c r="R506" s="35">
        <f t="shared" si="260"/>
        <v>0</v>
      </c>
      <c r="S506" s="13"/>
      <c r="T506" s="35"/>
      <c r="U506" s="37"/>
      <c r="V506" s="37">
        <f t="shared" si="263"/>
        <v>0</v>
      </c>
      <c r="W506" s="59">
        <f t="shared" si="257"/>
        <v>0</v>
      </c>
      <c r="X506" s="59">
        <f t="shared" si="258"/>
        <v>0</v>
      </c>
      <c r="Y506" s="59">
        <f t="shared" si="259"/>
        <v>0</v>
      </c>
      <c r="Z506" s="39"/>
      <c r="AA506" s="4"/>
      <c r="AB506" s="35"/>
      <c r="AC506" s="13"/>
      <c r="AD506" s="174"/>
      <c r="AE506" s="13"/>
      <c r="AF506" s="35"/>
      <c r="AG506" s="3">
        <f t="shared" si="264"/>
        <v>0</v>
      </c>
      <c r="AH506" s="13"/>
      <c r="AI506" s="36" t="e">
        <f>#REF!</f>
        <v>#REF!</v>
      </c>
      <c r="AJ506" s="36">
        <v>0</v>
      </c>
      <c r="AK506" s="36"/>
      <c r="AL506" s="47"/>
      <c r="AM506" s="153"/>
      <c r="AN506" s="63">
        <f t="shared" si="256"/>
        <v>0</v>
      </c>
      <c r="AO506" s="29"/>
      <c r="AP506" s="28"/>
      <c r="AQ506" s="64">
        <f t="shared" si="251"/>
        <v>0</v>
      </c>
      <c r="AR506" s="28"/>
      <c r="AS506" s="28"/>
      <c r="AT506" s="157">
        <f t="shared" si="265"/>
        <v>0</v>
      </c>
      <c r="AU506" s="28"/>
      <c r="AV506" s="28"/>
      <c r="AW506" s="109">
        <f t="shared" si="252"/>
        <v>0</v>
      </c>
      <c r="AX506" s="66">
        <f t="shared" si="253"/>
        <v>0</v>
      </c>
      <c r="AY506" s="66"/>
      <c r="AZ506" s="66">
        <f t="shared" si="254"/>
        <v>0</v>
      </c>
      <c r="BA506" s="30"/>
    </row>
    <row r="507" spans="1:53" ht="21.6" customHeight="1" x14ac:dyDescent="0.3">
      <c r="A507" s="2"/>
      <c r="B507" s="3"/>
      <c r="C507" s="3"/>
      <c r="D507" s="3"/>
      <c r="E507" s="3"/>
      <c r="F507" s="3"/>
      <c r="G507" s="150"/>
      <c r="H507" s="394"/>
      <c r="I507" s="50"/>
      <c r="J507" s="15">
        <f t="shared" si="262"/>
        <v>0</v>
      </c>
      <c r="K507" s="3"/>
      <c r="L507" s="3"/>
      <c r="M507" s="3"/>
      <c r="N507" s="3"/>
      <c r="O507" s="3"/>
      <c r="P507" s="8"/>
      <c r="Q507" s="44"/>
      <c r="R507" s="35">
        <f t="shared" si="260"/>
        <v>0</v>
      </c>
      <c r="S507" s="13"/>
      <c r="T507" s="35"/>
      <c r="U507" s="37"/>
      <c r="V507" s="37">
        <f t="shared" si="263"/>
        <v>0</v>
      </c>
      <c r="W507" s="59">
        <f t="shared" si="257"/>
        <v>0</v>
      </c>
      <c r="X507" s="59">
        <f t="shared" si="258"/>
        <v>0</v>
      </c>
      <c r="Y507" s="59">
        <f t="shared" si="259"/>
        <v>0</v>
      </c>
      <c r="Z507" s="39"/>
      <c r="AA507" s="4"/>
      <c r="AB507" s="35"/>
      <c r="AC507" s="13"/>
      <c r="AD507" s="174"/>
      <c r="AE507" s="13"/>
      <c r="AF507" s="35"/>
      <c r="AG507" s="3">
        <f t="shared" si="264"/>
        <v>0</v>
      </c>
      <c r="AH507" s="13"/>
      <c r="AI507" s="36" t="e">
        <f>#REF!</f>
        <v>#REF!</v>
      </c>
      <c r="AJ507" s="36">
        <v>0</v>
      </c>
      <c r="AK507" s="36"/>
      <c r="AL507" s="47"/>
      <c r="AM507" s="153"/>
      <c r="AN507" s="63">
        <f t="shared" si="256"/>
        <v>0</v>
      </c>
      <c r="AO507" s="29"/>
      <c r="AP507" s="28"/>
      <c r="AQ507" s="64">
        <f t="shared" si="251"/>
        <v>0</v>
      </c>
      <c r="AR507" s="28"/>
      <c r="AS507" s="28"/>
      <c r="AT507" s="157">
        <f t="shared" si="265"/>
        <v>0</v>
      </c>
      <c r="AU507" s="28"/>
      <c r="AV507" s="28"/>
      <c r="AW507" s="109">
        <f t="shared" si="252"/>
        <v>0</v>
      </c>
      <c r="AX507" s="66">
        <f t="shared" si="253"/>
        <v>0</v>
      </c>
      <c r="AY507" s="66"/>
      <c r="AZ507" s="66">
        <f t="shared" si="254"/>
        <v>0</v>
      </c>
      <c r="BA507" s="30"/>
    </row>
    <row r="508" spans="1:53" ht="21.6" customHeight="1" x14ac:dyDescent="0.3">
      <c r="A508" s="2"/>
      <c r="B508" s="3"/>
      <c r="C508" s="3"/>
      <c r="D508" s="3"/>
      <c r="E508" s="3"/>
      <c r="F508" s="3"/>
      <c r="G508" s="150"/>
      <c r="H508" s="394"/>
      <c r="I508" s="50"/>
      <c r="J508" s="15">
        <f t="shared" si="262"/>
        <v>0</v>
      </c>
      <c r="K508" s="3"/>
      <c r="L508" s="3"/>
      <c r="M508" s="3"/>
      <c r="N508" s="3"/>
      <c r="O508" s="3"/>
      <c r="P508" s="8"/>
      <c r="Q508" s="44"/>
      <c r="R508" s="35">
        <f t="shared" si="260"/>
        <v>0</v>
      </c>
      <c r="S508" s="13"/>
      <c r="T508" s="35"/>
      <c r="U508" s="37"/>
      <c r="V508" s="37">
        <f t="shared" si="263"/>
        <v>0</v>
      </c>
      <c r="W508" s="59">
        <f t="shared" si="257"/>
        <v>0</v>
      </c>
      <c r="X508" s="59">
        <f t="shared" si="258"/>
        <v>0</v>
      </c>
      <c r="Y508" s="59">
        <f t="shared" si="259"/>
        <v>0</v>
      </c>
      <c r="Z508" s="39"/>
      <c r="AA508" s="4"/>
      <c r="AB508" s="35"/>
      <c r="AC508" s="13"/>
      <c r="AD508" s="174"/>
      <c r="AE508" s="13"/>
      <c r="AF508" s="35"/>
      <c r="AG508" s="3">
        <f t="shared" si="264"/>
        <v>0</v>
      </c>
      <c r="AH508" s="13"/>
      <c r="AI508" s="36" t="e">
        <f>#REF!</f>
        <v>#REF!</v>
      </c>
      <c r="AJ508" s="36">
        <v>0</v>
      </c>
      <c r="AK508" s="36"/>
      <c r="AL508" s="47"/>
      <c r="AM508" s="153"/>
      <c r="AN508" s="63">
        <f t="shared" si="256"/>
        <v>0</v>
      </c>
      <c r="AO508" s="29"/>
      <c r="AP508" s="28"/>
      <c r="AQ508" s="64">
        <f t="shared" si="251"/>
        <v>0</v>
      </c>
      <c r="AR508" s="28"/>
      <c r="AS508" s="28"/>
      <c r="AT508" s="157">
        <f t="shared" si="265"/>
        <v>0</v>
      </c>
      <c r="AU508" s="28"/>
      <c r="AV508" s="28"/>
      <c r="AW508" s="109">
        <f t="shared" si="252"/>
        <v>0</v>
      </c>
      <c r="AX508" s="66">
        <f t="shared" si="253"/>
        <v>0</v>
      </c>
      <c r="AY508" s="66"/>
      <c r="AZ508" s="66">
        <f t="shared" si="254"/>
        <v>0</v>
      </c>
      <c r="BA508" s="30"/>
    </row>
    <row r="509" spans="1:53" ht="21.6" customHeight="1" x14ac:dyDescent="0.3">
      <c r="A509" s="2"/>
      <c r="B509" s="3"/>
      <c r="C509" s="3"/>
      <c r="D509" s="3"/>
      <c r="E509" s="3"/>
      <c r="F509" s="3"/>
      <c r="G509" s="150"/>
      <c r="H509" s="394"/>
      <c r="I509" s="50"/>
      <c r="J509" s="15">
        <f t="shared" si="262"/>
        <v>0</v>
      </c>
      <c r="K509" s="3"/>
      <c r="L509" s="3"/>
      <c r="M509" s="3"/>
      <c r="N509" s="3"/>
      <c r="O509" s="3"/>
      <c r="P509" s="8"/>
      <c r="Q509" s="44"/>
      <c r="R509" s="35">
        <f t="shared" si="260"/>
        <v>0</v>
      </c>
      <c r="S509" s="13"/>
      <c r="T509" s="35"/>
      <c r="U509" s="37"/>
      <c r="V509" s="37">
        <f t="shared" si="263"/>
        <v>0</v>
      </c>
      <c r="W509" s="59">
        <f t="shared" si="257"/>
        <v>0</v>
      </c>
      <c r="X509" s="59">
        <f t="shared" si="258"/>
        <v>0</v>
      </c>
      <c r="Y509" s="59">
        <f t="shared" si="259"/>
        <v>0</v>
      </c>
      <c r="Z509" s="39"/>
      <c r="AA509" s="4"/>
      <c r="AB509" s="35"/>
      <c r="AC509" s="13"/>
      <c r="AD509" s="174"/>
      <c r="AE509" s="13"/>
      <c r="AF509" s="35"/>
      <c r="AG509" s="3">
        <f t="shared" si="264"/>
        <v>0</v>
      </c>
      <c r="AH509" s="13"/>
      <c r="AI509" s="36" t="e">
        <f>#REF!</f>
        <v>#REF!</v>
      </c>
      <c r="AJ509" s="36">
        <v>0</v>
      </c>
      <c r="AK509" s="36"/>
      <c r="AL509" s="47"/>
      <c r="AM509" s="153"/>
      <c r="AN509" s="63">
        <f t="shared" si="256"/>
        <v>0</v>
      </c>
      <c r="AO509" s="29"/>
      <c r="AP509" s="28"/>
      <c r="AQ509" s="64">
        <f t="shared" si="251"/>
        <v>0</v>
      </c>
      <c r="AR509" s="28"/>
      <c r="AS509" s="28"/>
      <c r="AT509" s="157">
        <f t="shared" si="265"/>
        <v>0</v>
      </c>
      <c r="AU509" s="28"/>
      <c r="AV509" s="28"/>
      <c r="AW509" s="109">
        <f t="shared" si="252"/>
        <v>0</v>
      </c>
      <c r="AX509" s="66">
        <f t="shared" si="253"/>
        <v>0</v>
      </c>
      <c r="AY509" s="66"/>
      <c r="AZ509" s="66">
        <f t="shared" si="254"/>
        <v>0</v>
      </c>
      <c r="BA509" s="30"/>
    </row>
    <row r="510" spans="1:53" ht="21.6" customHeight="1" x14ac:dyDescent="0.3">
      <c r="A510" s="2"/>
      <c r="B510" s="3"/>
      <c r="C510" s="3"/>
      <c r="D510" s="3"/>
      <c r="E510" s="3"/>
      <c r="F510" s="3"/>
      <c r="G510" s="150"/>
      <c r="H510" s="394"/>
      <c r="I510" s="50"/>
      <c r="J510" s="15">
        <f t="shared" si="262"/>
        <v>0</v>
      </c>
      <c r="K510" s="3"/>
      <c r="L510" s="3"/>
      <c r="M510" s="3"/>
      <c r="N510" s="3"/>
      <c r="O510" s="3"/>
      <c r="P510" s="8"/>
      <c r="Q510" s="44"/>
      <c r="R510" s="35">
        <f t="shared" si="260"/>
        <v>0</v>
      </c>
      <c r="S510" s="13"/>
      <c r="T510" s="35"/>
      <c r="U510" s="37"/>
      <c r="V510" s="37">
        <f t="shared" si="263"/>
        <v>0</v>
      </c>
      <c r="W510" s="59">
        <f t="shared" si="257"/>
        <v>0</v>
      </c>
      <c r="X510" s="59">
        <f t="shared" si="258"/>
        <v>0</v>
      </c>
      <c r="Y510" s="59">
        <f t="shared" si="259"/>
        <v>0</v>
      </c>
      <c r="Z510" s="39"/>
      <c r="AA510" s="4"/>
      <c r="AB510" s="35"/>
      <c r="AC510" s="13"/>
      <c r="AD510" s="174"/>
      <c r="AE510" s="13"/>
      <c r="AF510" s="35"/>
      <c r="AG510" s="3">
        <f t="shared" si="264"/>
        <v>0</v>
      </c>
      <c r="AH510" s="13"/>
      <c r="AI510" s="36" t="e">
        <f>#REF!</f>
        <v>#REF!</v>
      </c>
      <c r="AJ510" s="36">
        <v>0</v>
      </c>
      <c r="AK510" s="36"/>
      <c r="AL510" s="47"/>
      <c r="AM510" s="153"/>
      <c r="AN510" s="63">
        <f t="shared" si="256"/>
        <v>0</v>
      </c>
      <c r="AO510" s="29"/>
      <c r="AP510" s="28"/>
      <c r="AQ510" s="64">
        <f t="shared" ref="AQ510:AQ573" si="266">AM510</f>
        <v>0</v>
      </c>
      <c r="AR510" s="28"/>
      <c r="AS510" s="28"/>
      <c r="AT510" s="157">
        <f t="shared" si="265"/>
        <v>0</v>
      </c>
      <c r="AU510" s="28"/>
      <c r="AV510" s="28"/>
      <c r="AW510" s="109">
        <f t="shared" ref="AW510:AW573" si="267">AC510</f>
        <v>0</v>
      </c>
      <c r="AX510" s="66">
        <f t="shared" ref="AX510:AX573" si="268">Z510</f>
        <v>0</v>
      </c>
      <c r="AY510" s="66"/>
      <c r="AZ510" s="66">
        <f t="shared" ref="AZ510:AZ573" si="269">AJ510</f>
        <v>0</v>
      </c>
      <c r="BA510" s="30"/>
    </row>
    <row r="511" spans="1:53" ht="21.6" customHeight="1" x14ac:dyDescent="0.3">
      <c r="A511" s="2"/>
      <c r="B511" s="3"/>
      <c r="C511" s="3"/>
      <c r="D511" s="3"/>
      <c r="E511" s="3"/>
      <c r="F511" s="3"/>
      <c r="G511" s="150"/>
      <c r="H511" s="394"/>
      <c r="I511" s="50"/>
      <c r="J511" s="15">
        <f t="shared" si="262"/>
        <v>0</v>
      </c>
      <c r="K511" s="3"/>
      <c r="L511" s="3"/>
      <c r="M511" s="3"/>
      <c r="N511" s="3"/>
      <c r="O511" s="3"/>
      <c r="P511" s="8"/>
      <c r="Q511" s="44"/>
      <c r="R511" s="35">
        <f t="shared" si="260"/>
        <v>0</v>
      </c>
      <c r="S511" s="13"/>
      <c r="T511" s="35"/>
      <c r="U511" s="37"/>
      <c r="V511" s="37">
        <f t="shared" si="263"/>
        <v>0</v>
      </c>
      <c r="W511" s="59">
        <f t="shared" si="257"/>
        <v>0</v>
      </c>
      <c r="X511" s="59">
        <f t="shared" si="258"/>
        <v>0</v>
      </c>
      <c r="Y511" s="59">
        <f t="shared" si="259"/>
        <v>0</v>
      </c>
      <c r="Z511" s="39"/>
      <c r="AA511" s="4"/>
      <c r="AB511" s="35"/>
      <c r="AC511" s="13"/>
      <c r="AD511" s="174"/>
      <c r="AE511" s="13"/>
      <c r="AF511" s="35"/>
      <c r="AG511" s="3">
        <f t="shared" si="264"/>
        <v>0</v>
      </c>
      <c r="AH511" s="13"/>
      <c r="AI511" s="36" t="e">
        <f>#REF!</f>
        <v>#REF!</v>
      </c>
      <c r="AJ511" s="36">
        <v>0</v>
      </c>
      <c r="AK511" s="36"/>
      <c r="AL511" s="47"/>
      <c r="AM511" s="153"/>
      <c r="AN511" s="63">
        <f t="shared" ref="AN511:AN574" si="270">AM511-AF511</f>
        <v>0</v>
      </c>
      <c r="AO511" s="29"/>
      <c r="AP511" s="28"/>
      <c r="AQ511" s="64">
        <f t="shared" si="266"/>
        <v>0</v>
      </c>
      <c r="AR511" s="28"/>
      <c r="AS511" s="28"/>
      <c r="AT511" s="157">
        <f t="shared" si="265"/>
        <v>0</v>
      </c>
      <c r="AU511" s="28"/>
      <c r="AV511" s="28"/>
      <c r="AW511" s="109">
        <f t="shared" si="267"/>
        <v>0</v>
      </c>
      <c r="AX511" s="66">
        <f t="shared" si="268"/>
        <v>0</v>
      </c>
      <c r="AY511" s="66"/>
      <c r="AZ511" s="66">
        <f t="shared" si="269"/>
        <v>0</v>
      </c>
      <c r="BA511" s="30"/>
    </row>
    <row r="512" spans="1:53" ht="21.6" customHeight="1" x14ac:dyDescent="0.3">
      <c r="A512" s="2"/>
      <c r="B512" s="3"/>
      <c r="C512" s="3"/>
      <c r="D512" s="3"/>
      <c r="E512" s="3"/>
      <c r="F512" s="3"/>
      <c r="G512" s="150"/>
      <c r="H512" s="394"/>
      <c r="I512" s="50"/>
      <c r="J512" s="15">
        <f t="shared" si="262"/>
        <v>0</v>
      </c>
      <c r="K512" s="3"/>
      <c r="L512" s="3"/>
      <c r="M512" s="3"/>
      <c r="N512" s="3"/>
      <c r="O512" s="3"/>
      <c r="P512" s="8"/>
      <c r="Q512" s="44"/>
      <c r="R512" s="35">
        <f t="shared" si="260"/>
        <v>0</v>
      </c>
      <c r="S512" s="13"/>
      <c r="T512" s="35"/>
      <c r="U512" s="37"/>
      <c r="V512" s="37">
        <f t="shared" si="263"/>
        <v>0</v>
      </c>
      <c r="W512" s="59">
        <f t="shared" ref="W512:W575" si="271">V512-R512</f>
        <v>0</v>
      </c>
      <c r="X512" s="59">
        <f t="shared" ref="X512:X575" si="272">U512-R512</f>
        <v>0</v>
      </c>
      <c r="Y512" s="59">
        <f t="shared" ref="Y512:Y575" si="273">W512-X512</f>
        <v>0</v>
      </c>
      <c r="Z512" s="39"/>
      <c r="AA512" s="4"/>
      <c r="AB512" s="35"/>
      <c r="AC512" s="13"/>
      <c r="AD512" s="174"/>
      <c r="AE512" s="13"/>
      <c r="AF512" s="35"/>
      <c r="AG512" s="3">
        <f t="shared" si="264"/>
        <v>0</v>
      </c>
      <c r="AH512" s="13"/>
      <c r="AI512" s="36" t="e">
        <f>#REF!</f>
        <v>#REF!</v>
      </c>
      <c r="AJ512" s="36">
        <v>0</v>
      </c>
      <c r="AK512" s="36"/>
      <c r="AL512" s="47"/>
      <c r="AM512" s="153"/>
      <c r="AN512" s="63">
        <f t="shared" si="270"/>
        <v>0</v>
      </c>
      <c r="AO512" s="29"/>
      <c r="AP512" s="28"/>
      <c r="AQ512" s="64">
        <f t="shared" si="266"/>
        <v>0</v>
      </c>
      <c r="AR512" s="28"/>
      <c r="AS512" s="28"/>
      <c r="AT512" s="157">
        <f t="shared" si="265"/>
        <v>0</v>
      </c>
      <c r="AU512" s="28"/>
      <c r="AV512" s="28"/>
      <c r="AW512" s="109">
        <f t="shared" si="267"/>
        <v>0</v>
      </c>
      <c r="AX512" s="66">
        <f t="shared" si="268"/>
        <v>0</v>
      </c>
      <c r="AY512" s="66"/>
      <c r="AZ512" s="66">
        <f t="shared" si="269"/>
        <v>0</v>
      </c>
      <c r="BA512" s="30"/>
    </row>
    <row r="513" spans="1:53" ht="21.6" customHeight="1" x14ac:dyDescent="0.3">
      <c r="A513" s="2"/>
      <c r="B513" s="3"/>
      <c r="C513" s="3"/>
      <c r="D513" s="3"/>
      <c r="E513" s="3"/>
      <c r="F513" s="3"/>
      <c r="G513" s="150"/>
      <c r="H513" s="394"/>
      <c r="I513" s="50"/>
      <c r="J513" s="15">
        <f t="shared" si="262"/>
        <v>0</v>
      </c>
      <c r="K513" s="3"/>
      <c r="L513" s="3"/>
      <c r="M513" s="3"/>
      <c r="N513" s="3"/>
      <c r="O513" s="3"/>
      <c r="P513" s="8"/>
      <c r="Q513" s="44"/>
      <c r="R513" s="35">
        <f t="shared" si="260"/>
        <v>0</v>
      </c>
      <c r="S513" s="13"/>
      <c r="T513" s="35"/>
      <c r="U513" s="37"/>
      <c r="V513" s="37">
        <f t="shared" si="263"/>
        <v>0</v>
      </c>
      <c r="W513" s="59">
        <f t="shared" si="271"/>
        <v>0</v>
      </c>
      <c r="X513" s="59">
        <f t="shared" si="272"/>
        <v>0</v>
      </c>
      <c r="Y513" s="59">
        <f t="shared" si="273"/>
        <v>0</v>
      </c>
      <c r="Z513" s="39"/>
      <c r="AA513" s="4"/>
      <c r="AB513" s="35"/>
      <c r="AC513" s="13"/>
      <c r="AD513" s="174"/>
      <c r="AE513" s="13"/>
      <c r="AF513" s="35"/>
      <c r="AG513" s="3">
        <f t="shared" si="264"/>
        <v>0</v>
      </c>
      <c r="AH513" s="13"/>
      <c r="AI513" s="36" t="e">
        <f>#REF!</f>
        <v>#REF!</v>
      </c>
      <c r="AJ513" s="36">
        <v>0</v>
      </c>
      <c r="AK513" s="36"/>
      <c r="AL513" s="47"/>
      <c r="AM513" s="153"/>
      <c r="AN513" s="63">
        <f t="shared" si="270"/>
        <v>0</v>
      </c>
      <c r="AO513" s="29"/>
      <c r="AP513" s="28"/>
      <c r="AQ513" s="64">
        <f t="shared" si="266"/>
        <v>0</v>
      </c>
      <c r="AR513" s="28"/>
      <c r="AS513" s="28"/>
      <c r="AT513" s="157">
        <f t="shared" si="265"/>
        <v>0</v>
      </c>
      <c r="AU513" s="28"/>
      <c r="AV513" s="28"/>
      <c r="AW513" s="109">
        <f t="shared" si="267"/>
        <v>0</v>
      </c>
      <c r="AX513" s="66">
        <f t="shared" si="268"/>
        <v>0</v>
      </c>
      <c r="AY513" s="66"/>
      <c r="AZ513" s="66">
        <f t="shared" si="269"/>
        <v>0</v>
      </c>
      <c r="BA513" s="30"/>
    </row>
    <row r="514" spans="1:53" ht="21.6" customHeight="1" x14ac:dyDescent="0.3">
      <c r="A514" s="2"/>
      <c r="B514" s="3"/>
      <c r="C514" s="3"/>
      <c r="D514" s="3"/>
      <c r="E514" s="3"/>
      <c r="F514" s="3"/>
      <c r="G514" s="150"/>
      <c r="H514" s="394"/>
      <c r="I514" s="50"/>
      <c r="J514" s="15">
        <f t="shared" si="262"/>
        <v>0</v>
      </c>
      <c r="K514" s="3"/>
      <c r="L514" s="3"/>
      <c r="M514" s="3"/>
      <c r="N514" s="3"/>
      <c r="O514" s="3"/>
      <c r="P514" s="8"/>
      <c r="Q514" s="44"/>
      <c r="R514" s="35">
        <f t="shared" si="260"/>
        <v>0</v>
      </c>
      <c r="S514" s="13"/>
      <c r="T514" s="35"/>
      <c r="U514" s="37"/>
      <c r="V514" s="37">
        <f t="shared" si="263"/>
        <v>0</v>
      </c>
      <c r="W514" s="59">
        <f t="shared" si="271"/>
        <v>0</v>
      </c>
      <c r="X514" s="59">
        <f t="shared" si="272"/>
        <v>0</v>
      </c>
      <c r="Y514" s="59">
        <f t="shared" si="273"/>
        <v>0</v>
      </c>
      <c r="Z514" s="39"/>
      <c r="AA514" s="4"/>
      <c r="AB514" s="35"/>
      <c r="AC514" s="13"/>
      <c r="AD514" s="174"/>
      <c r="AE514" s="13"/>
      <c r="AF514" s="35"/>
      <c r="AG514" s="3">
        <f t="shared" si="264"/>
        <v>0</v>
      </c>
      <c r="AH514" s="13"/>
      <c r="AI514" s="36" t="e">
        <f>#REF!</f>
        <v>#REF!</v>
      </c>
      <c r="AJ514" s="36">
        <v>0</v>
      </c>
      <c r="AK514" s="36"/>
      <c r="AL514" s="47"/>
      <c r="AM514" s="153"/>
      <c r="AN514" s="63">
        <f t="shared" si="270"/>
        <v>0</v>
      </c>
      <c r="AO514" s="29"/>
      <c r="AP514" s="28"/>
      <c r="AQ514" s="64">
        <f t="shared" si="266"/>
        <v>0</v>
      </c>
      <c r="AR514" s="28"/>
      <c r="AS514" s="28"/>
      <c r="AT514" s="157">
        <f t="shared" si="265"/>
        <v>0</v>
      </c>
      <c r="AU514" s="28"/>
      <c r="AV514" s="28"/>
      <c r="AW514" s="109">
        <f t="shared" si="267"/>
        <v>0</v>
      </c>
      <c r="AX514" s="66">
        <f t="shared" si="268"/>
        <v>0</v>
      </c>
      <c r="AY514" s="66"/>
      <c r="AZ514" s="66">
        <f t="shared" si="269"/>
        <v>0</v>
      </c>
      <c r="BA514" s="30"/>
    </row>
    <row r="515" spans="1:53" ht="21.6" customHeight="1" x14ac:dyDescent="0.3">
      <c r="A515" s="2"/>
      <c r="B515" s="3"/>
      <c r="C515" s="3"/>
      <c r="D515" s="3"/>
      <c r="E515" s="3"/>
      <c r="F515" s="3"/>
      <c r="G515" s="150"/>
      <c r="H515" s="394"/>
      <c r="I515" s="50"/>
      <c r="J515" s="15">
        <f t="shared" si="262"/>
        <v>0</v>
      </c>
      <c r="K515" s="3"/>
      <c r="L515" s="3"/>
      <c r="M515" s="3"/>
      <c r="N515" s="3"/>
      <c r="O515" s="3"/>
      <c r="P515" s="8"/>
      <c r="Q515" s="44"/>
      <c r="R515" s="35">
        <f t="shared" si="260"/>
        <v>0</v>
      </c>
      <c r="S515" s="13"/>
      <c r="T515" s="35"/>
      <c r="U515" s="37"/>
      <c r="V515" s="37">
        <f t="shared" si="263"/>
        <v>0</v>
      </c>
      <c r="W515" s="59">
        <f t="shared" si="271"/>
        <v>0</v>
      </c>
      <c r="X515" s="59">
        <f t="shared" si="272"/>
        <v>0</v>
      </c>
      <c r="Y515" s="59">
        <f t="shared" si="273"/>
        <v>0</v>
      </c>
      <c r="Z515" s="39"/>
      <c r="AA515" s="4"/>
      <c r="AB515" s="35"/>
      <c r="AC515" s="13"/>
      <c r="AD515" s="174"/>
      <c r="AE515" s="13"/>
      <c r="AF515" s="35"/>
      <c r="AG515" s="3">
        <f t="shared" si="264"/>
        <v>0</v>
      </c>
      <c r="AH515" s="13"/>
      <c r="AI515" s="36" t="e">
        <f>#REF!</f>
        <v>#REF!</v>
      </c>
      <c r="AJ515" s="36">
        <v>0</v>
      </c>
      <c r="AK515" s="36"/>
      <c r="AL515" s="47"/>
      <c r="AM515" s="153"/>
      <c r="AN515" s="63">
        <f t="shared" si="270"/>
        <v>0</v>
      </c>
      <c r="AO515" s="29"/>
      <c r="AP515" s="28"/>
      <c r="AQ515" s="64">
        <f t="shared" si="266"/>
        <v>0</v>
      </c>
      <c r="AR515" s="28"/>
      <c r="AS515" s="28"/>
      <c r="AT515" s="157">
        <f t="shared" si="265"/>
        <v>0</v>
      </c>
      <c r="AU515" s="28"/>
      <c r="AV515" s="28"/>
      <c r="AW515" s="109">
        <f t="shared" si="267"/>
        <v>0</v>
      </c>
      <c r="AX515" s="66">
        <f t="shared" si="268"/>
        <v>0</v>
      </c>
      <c r="AY515" s="66"/>
      <c r="AZ515" s="66">
        <f t="shared" si="269"/>
        <v>0</v>
      </c>
      <c r="BA515" s="30"/>
    </row>
    <row r="516" spans="1:53" ht="21.6" customHeight="1" x14ac:dyDescent="0.3">
      <c r="A516" s="2"/>
      <c r="B516" s="3"/>
      <c r="C516" s="3"/>
      <c r="D516" s="3"/>
      <c r="E516" s="3"/>
      <c r="F516" s="3"/>
      <c r="G516" s="150"/>
      <c r="H516" s="394"/>
      <c r="I516" s="50"/>
      <c r="J516" s="15">
        <f t="shared" si="262"/>
        <v>0</v>
      </c>
      <c r="K516" s="3"/>
      <c r="L516" s="3"/>
      <c r="M516" s="3"/>
      <c r="N516" s="3"/>
      <c r="O516" s="3"/>
      <c r="P516" s="8"/>
      <c r="Q516" s="44"/>
      <c r="R516" s="35">
        <f t="shared" si="260"/>
        <v>0</v>
      </c>
      <c r="S516" s="13"/>
      <c r="T516" s="35"/>
      <c r="U516" s="37"/>
      <c r="V516" s="37">
        <f t="shared" si="263"/>
        <v>0</v>
      </c>
      <c r="W516" s="59">
        <f t="shared" si="271"/>
        <v>0</v>
      </c>
      <c r="X516" s="59">
        <f t="shared" si="272"/>
        <v>0</v>
      </c>
      <c r="Y516" s="59">
        <f t="shared" si="273"/>
        <v>0</v>
      </c>
      <c r="Z516" s="39"/>
      <c r="AA516" s="4"/>
      <c r="AB516" s="35"/>
      <c r="AC516" s="13"/>
      <c r="AD516" s="174"/>
      <c r="AE516" s="13"/>
      <c r="AF516" s="35"/>
      <c r="AG516" s="3">
        <f t="shared" si="264"/>
        <v>0</v>
      </c>
      <c r="AH516" s="13"/>
      <c r="AI516" s="36" t="e">
        <f>#REF!</f>
        <v>#REF!</v>
      </c>
      <c r="AJ516" s="36">
        <v>0</v>
      </c>
      <c r="AK516" s="36"/>
      <c r="AL516" s="47"/>
      <c r="AM516" s="153"/>
      <c r="AN516" s="63">
        <f t="shared" si="270"/>
        <v>0</v>
      </c>
      <c r="AO516" s="29"/>
      <c r="AP516" s="28"/>
      <c r="AQ516" s="64">
        <f t="shared" si="266"/>
        <v>0</v>
      </c>
      <c r="AR516" s="28"/>
      <c r="AS516" s="28"/>
      <c r="AT516" s="157">
        <f t="shared" si="265"/>
        <v>0</v>
      </c>
      <c r="AU516" s="28"/>
      <c r="AV516" s="28"/>
      <c r="AW516" s="109">
        <f t="shared" si="267"/>
        <v>0</v>
      </c>
      <c r="AX516" s="66">
        <f t="shared" si="268"/>
        <v>0</v>
      </c>
      <c r="AY516" s="66"/>
      <c r="AZ516" s="66">
        <f t="shared" si="269"/>
        <v>0</v>
      </c>
      <c r="BA516" s="30"/>
    </row>
    <row r="517" spans="1:53" ht="21.6" customHeight="1" x14ac:dyDescent="0.3">
      <c r="A517" s="2"/>
      <c r="B517" s="3"/>
      <c r="C517" s="3"/>
      <c r="D517" s="3"/>
      <c r="E517" s="3"/>
      <c r="F517" s="3"/>
      <c r="G517" s="150"/>
      <c r="H517" s="394"/>
      <c r="I517" s="50"/>
      <c r="J517" s="15">
        <f t="shared" si="262"/>
        <v>0</v>
      </c>
      <c r="K517" s="3"/>
      <c r="L517" s="3"/>
      <c r="M517" s="3"/>
      <c r="N517" s="3"/>
      <c r="O517" s="3"/>
      <c r="P517" s="8"/>
      <c r="Q517" s="44"/>
      <c r="R517" s="35">
        <f t="shared" si="260"/>
        <v>0</v>
      </c>
      <c r="S517" s="13"/>
      <c r="T517" s="35"/>
      <c r="U517" s="37"/>
      <c r="V517" s="37">
        <f t="shared" si="263"/>
        <v>0</v>
      </c>
      <c r="W517" s="59">
        <f t="shared" si="271"/>
        <v>0</v>
      </c>
      <c r="X517" s="59">
        <f t="shared" si="272"/>
        <v>0</v>
      </c>
      <c r="Y517" s="59">
        <f t="shared" si="273"/>
        <v>0</v>
      </c>
      <c r="Z517" s="39"/>
      <c r="AA517" s="4"/>
      <c r="AB517" s="35"/>
      <c r="AC517" s="13"/>
      <c r="AD517" s="174"/>
      <c r="AE517" s="13"/>
      <c r="AF517" s="35"/>
      <c r="AG517" s="3">
        <f t="shared" si="264"/>
        <v>0</v>
      </c>
      <c r="AH517" s="13"/>
      <c r="AI517" s="36" t="e">
        <f>#REF!</f>
        <v>#REF!</v>
      </c>
      <c r="AJ517" s="36">
        <v>0</v>
      </c>
      <c r="AK517" s="36"/>
      <c r="AL517" s="47"/>
      <c r="AM517" s="153"/>
      <c r="AN517" s="63">
        <f t="shared" si="270"/>
        <v>0</v>
      </c>
      <c r="AO517" s="29"/>
      <c r="AP517" s="28"/>
      <c r="AQ517" s="64">
        <f t="shared" si="266"/>
        <v>0</v>
      </c>
      <c r="AR517" s="28"/>
      <c r="AS517" s="28"/>
      <c r="AT517" s="157">
        <f t="shared" si="265"/>
        <v>0</v>
      </c>
      <c r="AU517" s="28"/>
      <c r="AV517" s="28"/>
      <c r="AW517" s="109">
        <f t="shared" si="267"/>
        <v>0</v>
      </c>
      <c r="AX517" s="66">
        <f t="shared" si="268"/>
        <v>0</v>
      </c>
      <c r="AY517" s="66"/>
      <c r="AZ517" s="66">
        <f t="shared" si="269"/>
        <v>0</v>
      </c>
      <c r="BA517" s="30"/>
    </row>
    <row r="518" spans="1:53" ht="21.6" customHeight="1" x14ac:dyDescent="0.3">
      <c r="A518" s="2"/>
      <c r="B518" s="3"/>
      <c r="C518" s="3"/>
      <c r="D518" s="3"/>
      <c r="E518" s="3"/>
      <c r="F518" s="3"/>
      <c r="G518" s="150"/>
      <c r="H518" s="394"/>
      <c r="I518" s="50"/>
      <c r="J518" s="15">
        <f t="shared" si="262"/>
        <v>0</v>
      </c>
      <c r="K518" s="3"/>
      <c r="L518" s="3"/>
      <c r="M518" s="3"/>
      <c r="N518" s="3"/>
      <c r="O518" s="3"/>
      <c r="P518" s="8"/>
      <c r="Q518" s="44"/>
      <c r="R518" s="35">
        <f t="shared" si="260"/>
        <v>0</v>
      </c>
      <c r="S518" s="13"/>
      <c r="T518" s="35"/>
      <c r="U518" s="37"/>
      <c r="V518" s="37">
        <f t="shared" si="263"/>
        <v>0</v>
      </c>
      <c r="W518" s="59">
        <f t="shared" si="271"/>
        <v>0</v>
      </c>
      <c r="X518" s="59">
        <f t="shared" si="272"/>
        <v>0</v>
      </c>
      <c r="Y518" s="59">
        <f t="shared" si="273"/>
        <v>0</v>
      </c>
      <c r="Z518" s="39"/>
      <c r="AA518" s="4"/>
      <c r="AB518" s="35"/>
      <c r="AC518" s="13"/>
      <c r="AD518" s="174"/>
      <c r="AE518" s="13"/>
      <c r="AF518" s="35"/>
      <c r="AG518" s="3">
        <f t="shared" si="264"/>
        <v>0</v>
      </c>
      <c r="AH518" s="13"/>
      <c r="AI518" s="36" t="e">
        <f>#REF!</f>
        <v>#REF!</v>
      </c>
      <c r="AJ518" s="36">
        <v>0</v>
      </c>
      <c r="AK518" s="36"/>
      <c r="AL518" s="47"/>
      <c r="AM518" s="153"/>
      <c r="AN518" s="63">
        <f t="shared" si="270"/>
        <v>0</v>
      </c>
      <c r="AO518" s="29"/>
      <c r="AP518" s="28"/>
      <c r="AQ518" s="64">
        <f t="shared" si="266"/>
        <v>0</v>
      </c>
      <c r="AR518" s="28"/>
      <c r="AS518" s="28"/>
      <c r="AT518" s="157">
        <f t="shared" si="265"/>
        <v>0</v>
      </c>
      <c r="AU518" s="28"/>
      <c r="AV518" s="28"/>
      <c r="AW518" s="109">
        <f t="shared" si="267"/>
        <v>0</v>
      </c>
      <c r="AX518" s="66">
        <f t="shared" si="268"/>
        <v>0</v>
      </c>
      <c r="AY518" s="66"/>
      <c r="AZ518" s="66">
        <f t="shared" si="269"/>
        <v>0</v>
      </c>
      <c r="BA518" s="30"/>
    </row>
    <row r="519" spans="1:53" ht="21.6" customHeight="1" x14ac:dyDescent="0.3">
      <c r="A519" s="2"/>
      <c r="B519" s="3"/>
      <c r="C519" s="3"/>
      <c r="D519" s="3"/>
      <c r="E519" s="3"/>
      <c r="F519" s="3"/>
      <c r="G519" s="150"/>
      <c r="H519" s="394"/>
      <c r="I519" s="50"/>
      <c r="J519" s="15">
        <f t="shared" si="262"/>
        <v>0</v>
      </c>
      <c r="K519" s="3"/>
      <c r="L519" s="3"/>
      <c r="M519" s="3"/>
      <c r="N519" s="3"/>
      <c r="O519" s="3"/>
      <c r="P519" s="8"/>
      <c r="Q519" s="44"/>
      <c r="R519" s="35">
        <f t="shared" si="260"/>
        <v>0</v>
      </c>
      <c r="S519" s="13"/>
      <c r="T519" s="35"/>
      <c r="U519" s="37"/>
      <c r="V519" s="37">
        <f t="shared" si="263"/>
        <v>0</v>
      </c>
      <c r="W519" s="59">
        <f t="shared" si="271"/>
        <v>0</v>
      </c>
      <c r="X519" s="59">
        <f t="shared" si="272"/>
        <v>0</v>
      </c>
      <c r="Y519" s="59">
        <f t="shared" si="273"/>
        <v>0</v>
      </c>
      <c r="Z519" s="39"/>
      <c r="AA519" s="4"/>
      <c r="AB519" s="35"/>
      <c r="AC519" s="13"/>
      <c r="AD519" s="174"/>
      <c r="AE519" s="13"/>
      <c r="AF519" s="35"/>
      <c r="AG519" s="3">
        <f t="shared" si="264"/>
        <v>0</v>
      </c>
      <c r="AH519" s="13"/>
      <c r="AI519" s="36" t="e">
        <f>#REF!</f>
        <v>#REF!</v>
      </c>
      <c r="AJ519" s="36">
        <v>0</v>
      </c>
      <c r="AK519" s="36"/>
      <c r="AL519" s="47"/>
      <c r="AM519" s="153"/>
      <c r="AN519" s="63">
        <f t="shared" si="270"/>
        <v>0</v>
      </c>
      <c r="AO519" s="29"/>
      <c r="AP519" s="28"/>
      <c r="AQ519" s="64">
        <f t="shared" si="266"/>
        <v>0</v>
      </c>
      <c r="AR519" s="28"/>
      <c r="AS519" s="28"/>
      <c r="AT519" s="157">
        <f t="shared" si="265"/>
        <v>0</v>
      </c>
      <c r="AU519" s="28"/>
      <c r="AV519" s="28"/>
      <c r="AW519" s="109">
        <f t="shared" si="267"/>
        <v>0</v>
      </c>
      <c r="AX519" s="66">
        <f t="shared" si="268"/>
        <v>0</v>
      </c>
      <c r="AY519" s="66"/>
      <c r="AZ519" s="66">
        <f t="shared" si="269"/>
        <v>0</v>
      </c>
      <c r="BA519" s="30"/>
    </row>
    <row r="520" spans="1:53" ht="21.6" customHeight="1" x14ac:dyDescent="0.3">
      <c r="A520" s="2"/>
      <c r="B520" s="3"/>
      <c r="C520" s="3"/>
      <c r="D520" s="3"/>
      <c r="E520" s="3"/>
      <c r="F520" s="3"/>
      <c r="G520" s="150"/>
      <c r="H520" s="394"/>
      <c r="I520" s="50"/>
      <c r="J520" s="15">
        <f t="shared" si="262"/>
        <v>0</v>
      </c>
      <c r="K520" s="3"/>
      <c r="L520" s="3"/>
      <c r="M520" s="3"/>
      <c r="N520" s="3"/>
      <c r="O520" s="3"/>
      <c r="P520" s="8"/>
      <c r="Q520" s="44"/>
      <c r="R520" s="35">
        <f t="shared" si="260"/>
        <v>0</v>
      </c>
      <c r="S520" s="13"/>
      <c r="T520" s="35"/>
      <c r="U520" s="37"/>
      <c r="V520" s="37">
        <f t="shared" si="263"/>
        <v>0</v>
      </c>
      <c r="W520" s="59">
        <f t="shared" si="271"/>
        <v>0</v>
      </c>
      <c r="X520" s="59">
        <f t="shared" si="272"/>
        <v>0</v>
      </c>
      <c r="Y520" s="59">
        <f t="shared" si="273"/>
        <v>0</v>
      </c>
      <c r="Z520" s="39"/>
      <c r="AA520" s="4"/>
      <c r="AB520" s="35"/>
      <c r="AC520" s="13"/>
      <c r="AD520" s="174"/>
      <c r="AE520" s="13"/>
      <c r="AF520" s="35"/>
      <c r="AG520" s="3">
        <f t="shared" si="264"/>
        <v>0</v>
      </c>
      <c r="AH520" s="13"/>
      <c r="AI520" s="36" t="e">
        <f>#REF!</f>
        <v>#REF!</v>
      </c>
      <c r="AJ520" s="36">
        <v>0</v>
      </c>
      <c r="AK520" s="36"/>
      <c r="AL520" s="47"/>
      <c r="AM520" s="153"/>
      <c r="AN520" s="63">
        <f t="shared" si="270"/>
        <v>0</v>
      </c>
      <c r="AO520" s="29"/>
      <c r="AP520" s="28"/>
      <c r="AQ520" s="64">
        <f t="shared" si="266"/>
        <v>0</v>
      </c>
      <c r="AR520" s="28"/>
      <c r="AS520" s="28"/>
      <c r="AT520" s="157">
        <f t="shared" si="265"/>
        <v>0</v>
      </c>
      <c r="AU520" s="28"/>
      <c r="AV520" s="28"/>
      <c r="AW520" s="109">
        <f t="shared" si="267"/>
        <v>0</v>
      </c>
      <c r="AX520" s="66">
        <f t="shared" si="268"/>
        <v>0</v>
      </c>
      <c r="AY520" s="66"/>
      <c r="AZ520" s="66">
        <f t="shared" si="269"/>
        <v>0</v>
      </c>
      <c r="BA520" s="30"/>
    </row>
    <row r="521" spans="1:53" ht="21.6" customHeight="1" x14ac:dyDescent="0.3">
      <c r="A521" s="2"/>
      <c r="B521" s="3"/>
      <c r="C521" s="3"/>
      <c r="D521" s="3"/>
      <c r="E521" s="3"/>
      <c r="F521" s="3"/>
      <c r="G521" s="150"/>
      <c r="H521" s="394"/>
      <c r="I521" s="50"/>
      <c r="J521" s="15">
        <f t="shared" si="262"/>
        <v>0</v>
      </c>
      <c r="K521" s="3"/>
      <c r="L521" s="3"/>
      <c r="M521" s="3"/>
      <c r="N521" s="3"/>
      <c r="O521" s="3"/>
      <c r="P521" s="8"/>
      <c r="Q521" s="44"/>
      <c r="R521" s="35">
        <f t="shared" si="260"/>
        <v>0</v>
      </c>
      <c r="S521" s="13"/>
      <c r="T521" s="35"/>
      <c r="U521" s="37"/>
      <c r="V521" s="37">
        <f t="shared" si="263"/>
        <v>0</v>
      </c>
      <c r="W521" s="59">
        <f t="shared" si="271"/>
        <v>0</v>
      </c>
      <c r="X521" s="59">
        <f t="shared" si="272"/>
        <v>0</v>
      </c>
      <c r="Y521" s="59">
        <f t="shared" si="273"/>
        <v>0</v>
      </c>
      <c r="Z521" s="39"/>
      <c r="AA521" s="4"/>
      <c r="AB521" s="35"/>
      <c r="AC521" s="13"/>
      <c r="AD521" s="174"/>
      <c r="AE521" s="13"/>
      <c r="AF521" s="35"/>
      <c r="AG521" s="3">
        <f t="shared" si="264"/>
        <v>0</v>
      </c>
      <c r="AH521" s="13"/>
      <c r="AI521" s="36" t="e">
        <f>#REF!</f>
        <v>#REF!</v>
      </c>
      <c r="AJ521" s="36">
        <v>0</v>
      </c>
      <c r="AK521" s="36"/>
      <c r="AL521" s="47"/>
      <c r="AM521" s="153"/>
      <c r="AN521" s="63">
        <f t="shared" si="270"/>
        <v>0</v>
      </c>
      <c r="AO521" s="29"/>
      <c r="AP521" s="28"/>
      <c r="AQ521" s="64">
        <f t="shared" si="266"/>
        <v>0</v>
      </c>
      <c r="AR521" s="28"/>
      <c r="AS521" s="28"/>
      <c r="AT521" s="157">
        <f t="shared" si="265"/>
        <v>0</v>
      </c>
      <c r="AU521" s="28"/>
      <c r="AV521" s="28"/>
      <c r="AW521" s="109">
        <f t="shared" si="267"/>
        <v>0</v>
      </c>
      <c r="AX521" s="66">
        <f t="shared" si="268"/>
        <v>0</v>
      </c>
      <c r="AY521" s="66"/>
      <c r="AZ521" s="66">
        <f t="shared" si="269"/>
        <v>0</v>
      </c>
      <c r="BA521" s="30"/>
    </row>
    <row r="522" spans="1:53" ht="21.6" customHeight="1" x14ac:dyDescent="0.3">
      <c r="A522" s="2"/>
      <c r="B522" s="3"/>
      <c r="C522" s="3"/>
      <c r="D522" s="3"/>
      <c r="E522" s="3"/>
      <c r="F522" s="3"/>
      <c r="G522" s="150"/>
      <c r="H522" s="394"/>
      <c r="I522" s="50"/>
      <c r="J522" s="15">
        <f t="shared" si="262"/>
        <v>0</v>
      </c>
      <c r="K522" s="3"/>
      <c r="L522" s="3"/>
      <c r="M522" s="3"/>
      <c r="N522" s="3"/>
      <c r="O522" s="3"/>
      <c r="P522" s="8"/>
      <c r="Q522" s="44"/>
      <c r="R522" s="35">
        <f t="shared" si="260"/>
        <v>0</v>
      </c>
      <c r="S522" s="13"/>
      <c r="T522" s="35"/>
      <c r="U522" s="37"/>
      <c r="V522" s="37">
        <f t="shared" si="263"/>
        <v>0</v>
      </c>
      <c r="W522" s="59">
        <f t="shared" si="271"/>
        <v>0</v>
      </c>
      <c r="X522" s="59">
        <f t="shared" si="272"/>
        <v>0</v>
      </c>
      <c r="Y522" s="59">
        <f t="shared" si="273"/>
        <v>0</v>
      </c>
      <c r="Z522" s="39"/>
      <c r="AA522" s="4"/>
      <c r="AB522" s="35"/>
      <c r="AC522" s="13"/>
      <c r="AD522" s="174"/>
      <c r="AE522" s="13"/>
      <c r="AF522" s="35"/>
      <c r="AG522" s="3">
        <f t="shared" si="264"/>
        <v>0</v>
      </c>
      <c r="AH522" s="13"/>
      <c r="AI522" s="36" t="e">
        <f>#REF!</f>
        <v>#REF!</v>
      </c>
      <c r="AJ522" s="36">
        <v>0</v>
      </c>
      <c r="AK522" s="36"/>
      <c r="AL522" s="47"/>
      <c r="AM522" s="153"/>
      <c r="AN522" s="63">
        <f t="shared" si="270"/>
        <v>0</v>
      </c>
      <c r="AO522" s="29"/>
      <c r="AP522" s="28"/>
      <c r="AQ522" s="64">
        <f t="shared" si="266"/>
        <v>0</v>
      </c>
      <c r="AR522" s="28"/>
      <c r="AS522" s="28"/>
      <c r="AT522" s="157">
        <f t="shared" si="265"/>
        <v>0</v>
      </c>
      <c r="AU522" s="28"/>
      <c r="AV522" s="28"/>
      <c r="AW522" s="109">
        <f t="shared" si="267"/>
        <v>0</v>
      </c>
      <c r="AX522" s="66">
        <f t="shared" si="268"/>
        <v>0</v>
      </c>
      <c r="AY522" s="66"/>
      <c r="AZ522" s="66">
        <f t="shared" si="269"/>
        <v>0</v>
      </c>
      <c r="BA522" s="30"/>
    </row>
    <row r="523" spans="1:53" ht="21.6" customHeight="1" x14ac:dyDescent="0.3">
      <c r="A523" s="2"/>
      <c r="B523" s="3"/>
      <c r="C523" s="3"/>
      <c r="D523" s="3"/>
      <c r="E523" s="3"/>
      <c r="F523" s="3"/>
      <c r="G523" s="150"/>
      <c r="H523" s="394"/>
      <c r="I523" s="50"/>
      <c r="J523" s="15">
        <f t="shared" si="262"/>
        <v>0</v>
      </c>
      <c r="K523" s="3"/>
      <c r="L523" s="3"/>
      <c r="M523" s="3"/>
      <c r="N523" s="3"/>
      <c r="O523" s="3"/>
      <c r="P523" s="8"/>
      <c r="Q523" s="44"/>
      <c r="R523" s="35">
        <f t="shared" ref="R523:R586" si="274">H523</f>
        <v>0</v>
      </c>
      <c r="S523" s="13"/>
      <c r="T523" s="35"/>
      <c r="U523" s="37"/>
      <c r="V523" s="37">
        <f t="shared" si="263"/>
        <v>0</v>
      </c>
      <c r="W523" s="59">
        <f t="shared" si="271"/>
        <v>0</v>
      </c>
      <c r="X523" s="59">
        <f t="shared" si="272"/>
        <v>0</v>
      </c>
      <c r="Y523" s="59">
        <f t="shared" si="273"/>
        <v>0</v>
      </c>
      <c r="Z523" s="39"/>
      <c r="AA523" s="4"/>
      <c r="AB523" s="35"/>
      <c r="AC523" s="13"/>
      <c r="AD523" s="174"/>
      <c r="AE523" s="13"/>
      <c r="AF523" s="35"/>
      <c r="AG523" s="3">
        <f t="shared" si="264"/>
        <v>0</v>
      </c>
      <c r="AH523" s="13"/>
      <c r="AI523" s="36" t="e">
        <f>#REF!</f>
        <v>#REF!</v>
      </c>
      <c r="AJ523" s="36">
        <v>0</v>
      </c>
      <c r="AK523" s="36"/>
      <c r="AL523" s="47"/>
      <c r="AM523" s="153"/>
      <c r="AN523" s="63">
        <f t="shared" si="270"/>
        <v>0</v>
      </c>
      <c r="AO523" s="29"/>
      <c r="AP523" s="28"/>
      <c r="AQ523" s="64">
        <f t="shared" si="266"/>
        <v>0</v>
      </c>
      <c r="AR523" s="28"/>
      <c r="AS523" s="28"/>
      <c r="AT523" s="157">
        <f t="shared" si="265"/>
        <v>0</v>
      </c>
      <c r="AU523" s="28"/>
      <c r="AV523" s="28"/>
      <c r="AW523" s="109">
        <f t="shared" si="267"/>
        <v>0</v>
      </c>
      <c r="AX523" s="66">
        <f t="shared" si="268"/>
        <v>0</v>
      </c>
      <c r="AY523" s="66"/>
      <c r="AZ523" s="66">
        <f t="shared" si="269"/>
        <v>0</v>
      </c>
      <c r="BA523" s="30"/>
    </row>
    <row r="524" spans="1:53" ht="21.6" customHeight="1" x14ac:dyDescent="0.3">
      <c r="A524" s="2"/>
      <c r="B524" s="3"/>
      <c r="C524" s="3"/>
      <c r="D524" s="3"/>
      <c r="E524" s="3"/>
      <c r="F524" s="3"/>
      <c r="G524" s="150"/>
      <c r="H524" s="394"/>
      <c r="I524" s="50"/>
      <c r="J524" s="15">
        <f t="shared" si="262"/>
        <v>0</v>
      </c>
      <c r="K524" s="3"/>
      <c r="L524" s="3"/>
      <c r="M524" s="3"/>
      <c r="N524" s="3"/>
      <c r="O524" s="3"/>
      <c r="P524" s="8"/>
      <c r="Q524" s="44"/>
      <c r="R524" s="35">
        <f t="shared" si="274"/>
        <v>0</v>
      </c>
      <c r="S524" s="13"/>
      <c r="T524" s="35"/>
      <c r="U524" s="37"/>
      <c r="V524" s="37">
        <f t="shared" si="263"/>
        <v>0</v>
      </c>
      <c r="W524" s="59">
        <f t="shared" si="271"/>
        <v>0</v>
      </c>
      <c r="X524" s="59">
        <f t="shared" si="272"/>
        <v>0</v>
      </c>
      <c r="Y524" s="59">
        <f t="shared" si="273"/>
        <v>0</v>
      </c>
      <c r="Z524" s="39"/>
      <c r="AA524" s="4"/>
      <c r="AB524" s="35"/>
      <c r="AC524" s="13"/>
      <c r="AD524" s="174"/>
      <c r="AE524" s="13"/>
      <c r="AF524" s="35"/>
      <c r="AG524" s="3">
        <f t="shared" si="264"/>
        <v>0</v>
      </c>
      <c r="AH524" s="13"/>
      <c r="AI524" s="36" t="e">
        <f>#REF!</f>
        <v>#REF!</v>
      </c>
      <c r="AJ524" s="36">
        <v>0</v>
      </c>
      <c r="AK524" s="36"/>
      <c r="AL524" s="47"/>
      <c r="AM524" s="153"/>
      <c r="AN524" s="63">
        <f t="shared" si="270"/>
        <v>0</v>
      </c>
      <c r="AO524" s="29"/>
      <c r="AP524" s="28"/>
      <c r="AQ524" s="64">
        <f t="shared" si="266"/>
        <v>0</v>
      </c>
      <c r="AR524" s="28"/>
      <c r="AS524" s="28"/>
      <c r="AT524" s="157">
        <f t="shared" si="265"/>
        <v>0</v>
      </c>
      <c r="AU524" s="28"/>
      <c r="AV524" s="28"/>
      <c r="AW524" s="109">
        <f t="shared" si="267"/>
        <v>0</v>
      </c>
      <c r="AX524" s="66">
        <f t="shared" si="268"/>
        <v>0</v>
      </c>
      <c r="AY524" s="66"/>
      <c r="AZ524" s="66">
        <f t="shared" si="269"/>
        <v>0</v>
      </c>
      <c r="BA524" s="30"/>
    </row>
    <row r="525" spans="1:53" ht="21.6" customHeight="1" x14ac:dyDescent="0.3">
      <c r="A525" s="2"/>
      <c r="B525" s="3"/>
      <c r="C525" s="3"/>
      <c r="D525" s="3"/>
      <c r="E525" s="3"/>
      <c r="F525" s="3"/>
      <c r="G525" s="150"/>
      <c r="H525" s="394"/>
      <c r="I525" s="50"/>
      <c r="J525" s="15">
        <f t="shared" si="262"/>
        <v>0</v>
      </c>
      <c r="K525" s="3"/>
      <c r="L525" s="3"/>
      <c r="M525" s="3"/>
      <c r="N525" s="3"/>
      <c r="O525" s="3"/>
      <c r="P525" s="8"/>
      <c r="Q525" s="44"/>
      <c r="R525" s="35">
        <f t="shared" si="274"/>
        <v>0</v>
      </c>
      <c r="S525" s="13"/>
      <c r="T525" s="35"/>
      <c r="U525" s="37"/>
      <c r="V525" s="37">
        <f t="shared" si="263"/>
        <v>0</v>
      </c>
      <c r="W525" s="59">
        <f t="shared" si="271"/>
        <v>0</v>
      </c>
      <c r="X525" s="59">
        <f t="shared" si="272"/>
        <v>0</v>
      </c>
      <c r="Y525" s="59">
        <f t="shared" si="273"/>
        <v>0</v>
      </c>
      <c r="Z525" s="39"/>
      <c r="AA525" s="4"/>
      <c r="AB525" s="35"/>
      <c r="AC525" s="13"/>
      <c r="AD525" s="174"/>
      <c r="AE525" s="13"/>
      <c r="AF525" s="35"/>
      <c r="AG525" s="3">
        <f t="shared" si="264"/>
        <v>0</v>
      </c>
      <c r="AH525" s="13"/>
      <c r="AI525" s="36" t="e">
        <f>#REF!</f>
        <v>#REF!</v>
      </c>
      <c r="AJ525" s="36">
        <v>0</v>
      </c>
      <c r="AK525" s="36"/>
      <c r="AL525" s="47"/>
      <c r="AM525" s="153"/>
      <c r="AN525" s="63">
        <f t="shared" si="270"/>
        <v>0</v>
      </c>
      <c r="AO525" s="29"/>
      <c r="AP525" s="28"/>
      <c r="AQ525" s="64">
        <f t="shared" si="266"/>
        <v>0</v>
      </c>
      <c r="AR525" s="28"/>
      <c r="AS525" s="28"/>
      <c r="AT525" s="157">
        <f t="shared" si="265"/>
        <v>0</v>
      </c>
      <c r="AU525" s="28"/>
      <c r="AV525" s="28"/>
      <c r="AW525" s="109">
        <f t="shared" si="267"/>
        <v>0</v>
      </c>
      <c r="AX525" s="66">
        <f t="shared" si="268"/>
        <v>0</v>
      </c>
      <c r="AY525" s="66"/>
      <c r="AZ525" s="66">
        <f t="shared" si="269"/>
        <v>0</v>
      </c>
      <c r="BA525" s="30"/>
    </row>
    <row r="526" spans="1:53" ht="21.6" customHeight="1" x14ac:dyDescent="0.3">
      <c r="A526" s="2"/>
      <c r="B526" s="3"/>
      <c r="C526" s="3"/>
      <c r="D526" s="3"/>
      <c r="E526" s="3"/>
      <c r="F526" s="3"/>
      <c r="G526" s="150"/>
      <c r="H526" s="394"/>
      <c r="I526" s="50"/>
      <c r="J526" s="15">
        <f t="shared" si="262"/>
        <v>0</v>
      </c>
      <c r="K526" s="3"/>
      <c r="L526" s="3"/>
      <c r="M526" s="3"/>
      <c r="N526" s="3"/>
      <c r="O526" s="3"/>
      <c r="P526" s="8"/>
      <c r="Q526" s="44"/>
      <c r="R526" s="35">
        <f t="shared" si="274"/>
        <v>0</v>
      </c>
      <c r="S526" s="13"/>
      <c r="T526" s="35"/>
      <c r="U526" s="37"/>
      <c r="V526" s="37">
        <f t="shared" si="263"/>
        <v>0</v>
      </c>
      <c r="W526" s="59">
        <f t="shared" si="271"/>
        <v>0</v>
      </c>
      <c r="X526" s="59">
        <f t="shared" si="272"/>
        <v>0</v>
      </c>
      <c r="Y526" s="59">
        <f t="shared" si="273"/>
        <v>0</v>
      </c>
      <c r="Z526" s="39"/>
      <c r="AA526" s="4"/>
      <c r="AB526" s="35"/>
      <c r="AC526" s="13"/>
      <c r="AD526" s="174"/>
      <c r="AE526" s="13"/>
      <c r="AF526" s="35"/>
      <c r="AG526" s="3">
        <f t="shared" si="264"/>
        <v>0</v>
      </c>
      <c r="AH526" s="13"/>
      <c r="AI526" s="36" t="e">
        <f>#REF!</f>
        <v>#REF!</v>
      </c>
      <c r="AJ526" s="36">
        <v>0</v>
      </c>
      <c r="AK526" s="36"/>
      <c r="AL526" s="47"/>
      <c r="AM526" s="153"/>
      <c r="AN526" s="63">
        <f t="shared" si="270"/>
        <v>0</v>
      </c>
      <c r="AO526" s="29"/>
      <c r="AP526" s="28"/>
      <c r="AQ526" s="64">
        <f t="shared" si="266"/>
        <v>0</v>
      </c>
      <c r="AR526" s="28"/>
      <c r="AS526" s="28"/>
      <c r="AT526" s="157">
        <f t="shared" si="265"/>
        <v>0</v>
      </c>
      <c r="AU526" s="28"/>
      <c r="AV526" s="28"/>
      <c r="AW526" s="109">
        <f t="shared" si="267"/>
        <v>0</v>
      </c>
      <c r="AX526" s="66">
        <f t="shared" si="268"/>
        <v>0</v>
      </c>
      <c r="AY526" s="66"/>
      <c r="AZ526" s="66">
        <f t="shared" si="269"/>
        <v>0</v>
      </c>
      <c r="BA526" s="30"/>
    </row>
    <row r="527" spans="1:53" ht="21.6" customHeight="1" x14ac:dyDescent="0.3">
      <c r="A527" s="2"/>
      <c r="B527" s="3"/>
      <c r="C527" s="3"/>
      <c r="D527" s="3"/>
      <c r="E527" s="3"/>
      <c r="F527" s="3"/>
      <c r="G527" s="150"/>
      <c r="H527" s="394"/>
      <c r="I527" s="50"/>
      <c r="J527" s="15">
        <f t="shared" si="262"/>
        <v>0</v>
      </c>
      <c r="K527" s="3"/>
      <c r="L527" s="3"/>
      <c r="M527" s="3"/>
      <c r="N527" s="3"/>
      <c r="O527" s="3"/>
      <c r="P527" s="8"/>
      <c r="Q527" s="44"/>
      <c r="R527" s="35">
        <f t="shared" si="274"/>
        <v>0</v>
      </c>
      <c r="S527" s="13"/>
      <c r="T527" s="35"/>
      <c r="U527" s="37"/>
      <c r="V527" s="37">
        <f t="shared" si="263"/>
        <v>0</v>
      </c>
      <c r="W527" s="59">
        <f t="shared" si="271"/>
        <v>0</v>
      </c>
      <c r="X527" s="59">
        <f t="shared" si="272"/>
        <v>0</v>
      </c>
      <c r="Y527" s="59">
        <f t="shared" si="273"/>
        <v>0</v>
      </c>
      <c r="Z527" s="39"/>
      <c r="AA527" s="4"/>
      <c r="AB527" s="35"/>
      <c r="AC527" s="13"/>
      <c r="AD527" s="174"/>
      <c r="AE527" s="13"/>
      <c r="AF527" s="35"/>
      <c r="AG527" s="3">
        <f t="shared" si="264"/>
        <v>0</v>
      </c>
      <c r="AH527" s="13"/>
      <c r="AI527" s="36" t="e">
        <f>#REF!</f>
        <v>#REF!</v>
      </c>
      <c r="AJ527" s="36">
        <v>0</v>
      </c>
      <c r="AK527" s="36"/>
      <c r="AL527" s="47"/>
      <c r="AM527" s="153"/>
      <c r="AN527" s="63">
        <f t="shared" si="270"/>
        <v>0</v>
      </c>
      <c r="AO527" s="29"/>
      <c r="AP527" s="28"/>
      <c r="AQ527" s="64">
        <f t="shared" si="266"/>
        <v>0</v>
      </c>
      <c r="AR527" s="28"/>
      <c r="AS527" s="28"/>
      <c r="AT527" s="157">
        <f t="shared" si="265"/>
        <v>0</v>
      </c>
      <c r="AU527" s="28"/>
      <c r="AV527" s="28"/>
      <c r="AW527" s="109">
        <f t="shared" si="267"/>
        <v>0</v>
      </c>
      <c r="AX527" s="66">
        <f t="shared" si="268"/>
        <v>0</v>
      </c>
      <c r="AY527" s="66"/>
      <c r="AZ527" s="66">
        <f t="shared" si="269"/>
        <v>0</v>
      </c>
      <c r="BA527" s="30"/>
    </row>
    <row r="528" spans="1:53" ht="21.6" customHeight="1" x14ac:dyDescent="0.3">
      <c r="A528" s="2"/>
      <c r="B528" s="3"/>
      <c r="C528" s="3"/>
      <c r="D528" s="3"/>
      <c r="E528" s="3"/>
      <c r="F528" s="3"/>
      <c r="G528" s="150"/>
      <c r="H528" s="394"/>
      <c r="I528" s="50"/>
      <c r="J528" s="15">
        <f t="shared" si="262"/>
        <v>0</v>
      </c>
      <c r="K528" s="3"/>
      <c r="L528" s="3"/>
      <c r="M528" s="3"/>
      <c r="N528" s="3"/>
      <c r="O528" s="3"/>
      <c r="P528" s="8"/>
      <c r="Q528" s="44"/>
      <c r="R528" s="35">
        <f t="shared" si="274"/>
        <v>0</v>
      </c>
      <c r="S528" s="13"/>
      <c r="T528" s="35"/>
      <c r="U528" s="37"/>
      <c r="V528" s="37">
        <f t="shared" si="263"/>
        <v>0</v>
      </c>
      <c r="W528" s="59">
        <f t="shared" si="271"/>
        <v>0</v>
      </c>
      <c r="X528" s="59">
        <f t="shared" si="272"/>
        <v>0</v>
      </c>
      <c r="Y528" s="59">
        <f t="shared" si="273"/>
        <v>0</v>
      </c>
      <c r="Z528" s="39"/>
      <c r="AA528" s="4"/>
      <c r="AB528" s="35"/>
      <c r="AC528" s="13"/>
      <c r="AD528" s="174"/>
      <c r="AE528" s="13"/>
      <c r="AF528" s="35"/>
      <c r="AG528" s="3">
        <f t="shared" si="264"/>
        <v>0</v>
      </c>
      <c r="AH528" s="13"/>
      <c r="AI528" s="36" t="e">
        <f>#REF!</f>
        <v>#REF!</v>
      </c>
      <c r="AJ528" s="36">
        <v>0</v>
      </c>
      <c r="AK528" s="36"/>
      <c r="AL528" s="47"/>
      <c r="AM528" s="153"/>
      <c r="AN528" s="63">
        <f t="shared" si="270"/>
        <v>0</v>
      </c>
      <c r="AO528" s="29"/>
      <c r="AP528" s="28"/>
      <c r="AQ528" s="64">
        <f t="shared" si="266"/>
        <v>0</v>
      </c>
      <c r="AR528" s="28"/>
      <c r="AS528" s="28"/>
      <c r="AT528" s="157">
        <f t="shared" si="265"/>
        <v>0</v>
      </c>
      <c r="AU528" s="28"/>
      <c r="AV528" s="28"/>
      <c r="AW528" s="109">
        <f t="shared" si="267"/>
        <v>0</v>
      </c>
      <c r="AX528" s="66">
        <f t="shared" si="268"/>
        <v>0</v>
      </c>
      <c r="AY528" s="66"/>
      <c r="AZ528" s="66">
        <f t="shared" si="269"/>
        <v>0</v>
      </c>
      <c r="BA528" s="30"/>
    </row>
    <row r="529" spans="1:53" ht="21.6" customHeight="1" x14ac:dyDescent="0.3">
      <c r="A529" s="2"/>
      <c r="B529" s="3"/>
      <c r="C529" s="3"/>
      <c r="D529" s="3"/>
      <c r="E529" s="3"/>
      <c r="F529" s="3"/>
      <c r="G529" s="150"/>
      <c r="H529" s="394"/>
      <c r="I529" s="50"/>
      <c r="J529" s="15">
        <f t="shared" si="262"/>
        <v>0</v>
      </c>
      <c r="K529" s="3"/>
      <c r="L529" s="3"/>
      <c r="M529" s="3"/>
      <c r="N529" s="3"/>
      <c r="O529" s="3"/>
      <c r="P529" s="8"/>
      <c r="Q529" s="44"/>
      <c r="R529" s="35">
        <f t="shared" si="274"/>
        <v>0</v>
      </c>
      <c r="S529" s="13"/>
      <c r="T529" s="35"/>
      <c r="U529" s="37"/>
      <c r="V529" s="37">
        <f t="shared" si="263"/>
        <v>0</v>
      </c>
      <c r="W529" s="59">
        <f t="shared" si="271"/>
        <v>0</v>
      </c>
      <c r="X529" s="59">
        <f t="shared" si="272"/>
        <v>0</v>
      </c>
      <c r="Y529" s="59">
        <f t="shared" si="273"/>
        <v>0</v>
      </c>
      <c r="Z529" s="39"/>
      <c r="AA529" s="4"/>
      <c r="AB529" s="35"/>
      <c r="AC529" s="13"/>
      <c r="AD529" s="174"/>
      <c r="AE529" s="13"/>
      <c r="AF529" s="35"/>
      <c r="AG529" s="3">
        <f t="shared" si="264"/>
        <v>0</v>
      </c>
      <c r="AH529" s="13"/>
      <c r="AI529" s="36" t="e">
        <f>#REF!</f>
        <v>#REF!</v>
      </c>
      <c r="AJ529" s="36">
        <v>0</v>
      </c>
      <c r="AK529" s="36"/>
      <c r="AL529" s="47"/>
      <c r="AM529" s="153"/>
      <c r="AN529" s="63">
        <f t="shared" si="270"/>
        <v>0</v>
      </c>
      <c r="AO529" s="29"/>
      <c r="AP529" s="28"/>
      <c r="AQ529" s="64">
        <f t="shared" si="266"/>
        <v>0</v>
      </c>
      <c r="AR529" s="28"/>
      <c r="AS529" s="28"/>
      <c r="AT529" s="157">
        <f t="shared" si="265"/>
        <v>0</v>
      </c>
      <c r="AU529" s="28"/>
      <c r="AV529" s="28"/>
      <c r="AW529" s="109">
        <f t="shared" si="267"/>
        <v>0</v>
      </c>
      <c r="AX529" s="66">
        <f t="shared" si="268"/>
        <v>0</v>
      </c>
      <c r="AY529" s="66"/>
      <c r="AZ529" s="66">
        <f t="shared" si="269"/>
        <v>0</v>
      </c>
      <c r="BA529" s="30"/>
    </row>
    <row r="530" spans="1:53" ht="21.6" customHeight="1" x14ac:dyDescent="0.3">
      <c r="A530" s="2"/>
      <c r="B530" s="3"/>
      <c r="C530" s="3"/>
      <c r="D530" s="3"/>
      <c r="E530" s="3"/>
      <c r="F530" s="3"/>
      <c r="G530" s="150"/>
      <c r="H530" s="394"/>
      <c r="I530" s="50"/>
      <c r="J530" s="15">
        <f t="shared" si="262"/>
        <v>0</v>
      </c>
      <c r="K530" s="3"/>
      <c r="L530" s="3"/>
      <c r="M530" s="3"/>
      <c r="N530" s="3"/>
      <c r="O530" s="3"/>
      <c r="P530" s="8"/>
      <c r="Q530" s="44"/>
      <c r="R530" s="35">
        <f t="shared" si="274"/>
        <v>0</v>
      </c>
      <c r="S530" s="13"/>
      <c r="T530" s="35"/>
      <c r="U530" s="37"/>
      <c r="V530" s="37">
        <f t="shared" si="263"/>
        <v>0</v>
      </c>
      <c r="W530" s="59">
        <f t="shared" si="271"/>
        <v>0</v>
      </c>
      <c r="X530" s="59">
        <f t="shared" si="272"/>
        <v>0</v>
      </c>
      <c r="Y530" s="59">
        <f t="shared" si="273"/>
        <v>0</v>
      </c>
      <c r="Z530" s="39"/>
      <c r="AA530" s="4"/>
      <c r="AB530" s="35"/>
      <c r="AC530" s="13"/>
      <c r="AD530" s="174"/>
      <c r="AE530" s="13"/>
      <c r="AF530" s="35"/>
      <c r="AG530" s="3">
        <f t="shared" si="264"/>
        <v>0</v>
      </c>
      <c r="AH530" s="13"/>
      <c r="AI530" s="36" t="e">
        <f>#REF!</f>
        <v>#REF!</v>
      </c>
      <c r="AJ530" s="36">
        <v>0</v>
      </c>
      <c r="AK530" s="36"/>
      <c r="AL530" s="47"/>
      <c r="AM530" s="153"/>
      <c r="AN530" s="63">
        <f t="shared" si="270"/>
        <v>0</v>
      </c>
      <c r="AO530" s="29"/>
      <c r="AP530" s="28"/>
      <c r="AQ530" s="64">
        <f t="shared" si="266"/>
        <v>0</v>
      </c>
      <c r="AR530" s="28"/>
      <c r="AS530" s="28"/>
      <c r="AT530" s="157">
        <f t="shared" si="265"/>
        <v>0</v>
      </c>
      <c r="AU530" s="28"/>
      <c r="AV530" s="28"/>
      <c r="AW530" s="109">
        <f t="shared" si="267"/>
        <v>0</v>
      </c>
      <c r="AX530" s="66">
        <f t="shared" si="268"/>
        <v>0</v>
      </c>
      <c r="AY530" s="66"/>
      <c r="AZ530" s="66">
        <f t="shared" si="269"/>
        <v>0</v>
      </c>
      <c r="BA530" s="30"/>
    </row>
    <row r="531" spans="1:53" ht="21.6" customHeight="1" x14ac:dyDescent="0.3">
      <c r="A531" s="2"/>
      <c r="B531" s="3"/>
      <c r="C531" s="3"/>
      <c r="D531" s="3"/>
      <c r="E531" s="3"/>
      <c r="F531" s="3"/>
      <c r="G531" s="150"/>
      <c r="H531" s="394"/>
      <c r="I531" s="50"/>
      <c r="J531" s="15">
        <f t="shared" si="262"/>
        <v>0</v>
      </c>
      <c r="K531" s="3"/>
      <c r="L531" s="3"/>
      <c r="M531" s="3"/>
      <c r="N531" s="3"/>
      <c r="O531" s="3"/>
      <c r="P531" s="8"/>
      <c r="Q531" s="44"/>
      <c r="R531" s="35">
        <f t="shared" si="274"/>
        <v>0</v>
      </c>
      <c r="S531" s="13"/>
      <c r="T531" s="35"/>
      <c r="U531" s="37"/>
      <c r="V531" s="37">
        <f t="shared" si="263"/>
        <v>0</v>
      </c>
      <c r="W531" s="59">
        <f t="shared" si="271"/>
        <v>0</v>
      </c>
      <c r="X531" s="59">
        <f t="shared" si="272"/>
        <v>0</v>
      </c>
      <c r="Y531" s="59">
        <f t="shared" si="273"/>
        <v>0</v>
      </c>
      <c r="Z531" s="39"/>
      <c r="AA531" s="4"/>
      <c r="AB531" s="35"/>
      <c r="AC531" s="13"/>
      <c r="AD531" s="174"/>
      <c r="AE531" s="13"/>
      <c r="AF531" s="35"/>
      <c r="AG531" s="3">
        <f t="shared" si="264"/>
        <v>0</v>
      </c>
      <c r="AH531" s="13"/>
      <c r="AI531" s="36" t="e">
        <f>#REF!</f>
        <v>#REF!</v>
      </c>
      <c r="AJ531" s="36">
        <v>0</v>
      </c>
      <c r="AK531" s="36"/>
      <c r="AL531" s="47"/>
      <c r="AM531" s="153"/>
      <c r="AN531" s="63">
        <f t="shared" si="270"/>
        <v>0</v>
      </c>
      <c r="AO531" s="29"/>
      <c r="AP531" s="28"/>
      <c r="AQ531" s="64">
        <f t="shared" si="266"/>
        <v>0</v>
      </c>
      <c r="AR531" s="28"/>
      <c r="AS531" s="28"/>
      <c r="AT531" s="157">
        <f t="shared" si="265"/>
        <v>0</v>
      </c>
      <c r="AU531" s="28"/>
      <c r="AV531" s="28"/>
      <c r="AW531" s="109">
        <f t="shared" si="267"/>
        <v>0</v>
      </c>
      <c r="AX531" s="66">
        <f t="shared" si="268"/>
        <v>0</v>
      </c>
      <c r="AY531" s="66"/>
      <c r="AZ531" s="66">
        <f t="shared" si="269"/>
        <v>0</v>
      </c>
      <c r="BA531" s="30"/>
    </row>
    <row r="532" spans="1:53" ht="21.6" customHeight="1" x14ac:dyDescent="0.3">
      <c r="A532" s="2"/>
      <c r="B532" s="3"/>
      <c r="C532" s="3"/>
      <c r="D532" s="3"/>
      <c r="E532" s="3"/>
      <c r="F532" s="3"/>
      <c r="G532" s="150"/>
      <c r="H532" s="394"/>
      <c r="I532" s="50"/>
      <c r="J532" s="15">
        <f t="shared" si="262"/>
        <v>0</v>
      </c>
      <c r="K532" s="3"/>
      <c r="L532" s="3"/>
      <c r="M532" s="3"/>
      <c r="N532" s="3"/>
      <c r="O532" s="3"/>
      <c r="P532" s="8"/>
      <c r="Q532" s="44"/>
      <c r="R532" s="35">
        <f t="shared" si="274"/>
        <v>0</v>
      </c>
      <c r="S532" s="13"/>
      <c r="T532" s="35"/>
      <c r="U532" s="37"/>
      <c r="V532" s="37">
        <f t="shared" si="263"/>
        <v>0</v>
      </c>
      <c r="W532" s="59">
        <f t="shared" si="271"/>
        <v>0</v>
      </c>
      <c r="X532" s="59">
        <f t="shared" si="272"/>
        <v>0</v>
      </c>
      <c r="Y532" s="59">
        <f t="shared" si="273"/>
        <v>0</v>
      </c>
      <c r="Z532" s="39"/>
      <c r="AA532" s="4"/>
      <c r="AB532" s="35"/>
      <c r="AC532" s="13"/>
      <c r="AD532" s="174"/>
      <c r="AE532" s="13"/>
      <c r="AF532" s="35"/>
      <c r="AG532" s="3">
        <f t="shared" si="264"/>
        <v>0</v>
      </c>
      <c r="AH532" s="13"/>
      <c r="AI532" s="36" t="e">
        <f>#REF!</f>
        <v>#REF!</v>
      </c>
      <c r="AJ532" s="36">
        <v>0</v>
      </c>
      <c r="AK532" s="36"/>
      <c r="AL532" s="47"/>
      <c r="AM532" s="153"/>
      <c r="AN532" s="63">
        <f t="shared" si="270"/>
        <v>0</v>
      </c>
      <c r="AO532" s="29"/>
      <c r="AP532" s="28"/>
      <c r="AQ532" s="64">
        <f t="shared" si="266"/>
        <v>0</v>
      </c>
      <c r="AR532" s="28"/>
      <c r="AS532" s="28"/>
      <c r="AT532" s="157">
        <f t="shared" si="265"/>
        <v>0</v>
      </c>
      <c r="AU532" s="28"/>
      <c r="AV532" s="28"/>
      <c r="AW532" s="109">
        <f t="shared" si="267"/>
        <v>0</v>
      </c>
      <c r="AX532" s="66">
        <f t="shared" si="268"/>
        <v>0</v>
      </c>
      <c r="AY532" s="66"/>
      <c r="AZ532" s="66">
        <f t="shared" si="269"/>
        <v>0</v>
      </c>
      <c r="BA532" s="30"/>
    </row>
    <row r="533" spans="1:53" ht="21.6" customHeight="1" x14ac:dyDescent="0.3">
      <c r="A533" s="2"/>
      <c r="B533" s="3"/>
      <c r="C533" s="3"/>
      <c r="D533" s="3"/>
      <c r="E533" s="3"/>
      <c r="F533" s="3"/>
      <c r="G533" s="150"/>
      <c r="H533" s="394"/>
      <c r="I533" s="50"/>
      <c r="J533" s="15">
        <f t="shared" si="262"/>
        <v>0</v>
      </c>
      <c r="K533" s="3"/>
      <c r="L533" s="3"/>
      <c r="M533" s="3"/>
      <c r="N533" s="3"/>
      <c r="O533" s="3"/>
      <c r="P533" s="8"/>
      <c r="Q533" s="44"/>
      <c r="R533" s="35">
        <f t="shared" si="274"/>
        <v>0</v>
      </c>
      <c r="S533" s="13"/>
      <c r="T533" s="35"/>
      <c r="U533" s="37"/>
      <c r="V533" s="37">
        <f t="shared" si="263"/>
        <v>0</v>
      </c>
      <c r="W533" s="59">
        <f t="shared" si="271"/>
        <v>0</v>
      </c>
      <c r="X533" s="59">
        <f t="shared" si="272"/>
        <v>0</v>
      </c>
      <c r="Y533" s="59">
        <f t="shared" si="273"/>
        <v>0</v>
      </c>
      <c r="Z533" s="39"/>
      <c r="AA533" s="4"/>
      <c r="AB533" s="35"/>
      <c r="AC533" s="13"/>
      <c r="AD533" s="174"/>
      <c r="AE533" s="13"/>
      <c r="AF533" s="35"/>
      <c r="AG533" s="3">
        <f t="shared" si="264"/>
        <v>0</v>
      </c>
      <c r="AH533" s="13"/>
      <c r="AI533" s="36" t="e">
        <f>#REF!</f>
        <v>#REF!</v>
      </c>
      <c r="AJ533" s="36">
        <v>0</v>
      </c>
      <c r="AK533" s="36"/>
      <c r="AL533" s="47"/>
      <c r="AM533" s="153"/>
      <c r="AN533" s="63">
        <f t="shared" si="270"/>
        <v>0</v>
      </c>
      <c r="AO533" s="29"/>
      <c r="AP533" s="28"/>
      <c r="AQ533" s="64">
        <f t="shared" si="266"/>
        <v>0</v>
      </c>
      <c r="AR533" s="28"/>
      <c r="AS533" s="28"/>
      <c r="AT533" s="157">
        <f t="shared" si="265"/>
        <v>0</v>
      </c>
      <c r="AU533" s="28"/>
      <c r="AV533" s="28"/>
      <c r="AW533" s="109">
        <f t="shared" si="267"/>
        <v>0</v>
      </c>
      <c r="AX533" s="66">
        <f t="shared" si="268"/>
        <v>0</v>
      </c>
      <c r="AY533" s="66"/>
      <c r="AZ533" s="66">
        <f t="shared" si="269"/>
        <v>0</v>
      </c>
      <c r="BA533" s="30"/>
    </row>
    <row r="534" spans="1:53" ht="21.6" customHeight="1" x14ac:dyDescent="0.3">
      <c r="A534" s="2"/>
      <c r="B534" s="3"/>
      <c r="C534" s="3"/>
      <c r="D534" s="3"/>
      <c r="E534" s="3"/>
      <c r="F534" s="3"/>
      <c r="G534" s="150"/>
      <c r="H534" s="394"/>
      <c r="I534" s="50"/>
      <c r="J534" s="15">
        <f t="shared" si="262"/>
        <v>0</v>
      </c>
      <c r="K534" s="3"/>
      <c r="L534" s="3"/>
      <c r="M534" s="3"/>
      <c r="N534" s="3"/>
      <c r="O534" s="3"/>
      <c r="P534" s="8"/>
      <c r="Q534" s="44"/>
      <c r="R534" s="35">
        <f t="shared" si="274"/>
        <v>0</v>
      </c>
      <c r="S534" s="13"/>
      <c r="T534" s="35"/>
      <c r="U534" s="37"/>
      <c r="V534" s="37">
        <f t="shared" si="263"/>
        <v>0</v>
      </c>
      <c r="W534" s="59">
        <f t="shared" si="271"/>
        <v>0</v>
      </c>
      <c r="X534" s="59">
        <f t="shared" si="272"/>
        <v>0</v>
      </c>
      <c r="Y534" s="59">
        <f t="shared" si="273"/>
        <v>0</v>
      </c>
      <c r="Z534" s="39"/>
      <c r="AA534" s="4"/>
      <c r="AB534" s="35"/>
      <c r="AC534" s="13"/>
      <c r="AD534" s="174"/>
      <c r="AE534" s="13"/>
      <c r="AF534" s="35"/>
      <c r="AG534" s="3">
        <f t="shared" si="264"/>
        <v>0</v>
      </c>
      <c r="AH534" s="13"/>
      <c r="AI534" s="36" t="e">
        <f>#REF!</f>
        <v>#REF!</v>
      </c>
      <c r="AJ534" s="36">
        <v>0</v>
      </c>
      <c r="AK534" s="36"/>
      <c r="AL534" s="47"/>
      <c r="AM534" s="153"/>
      <c r="AN534" s="63">
        <f t="shared" si="270"/>
        <v>0</v>
      </c>
      <c r="AO534" s="29"/>
      <c r="AP534" s="28"/>
      <c r="AQ534" s="64">
        <f t="shared" si="266"/>
        <v>0</v>
      </c>
      <c r="AR534" s="28"/>
      <c r="AS534" s="28"/>
      <c r="AT534" s="157">
        <f t="shared" si="265"/>
        <v>0</v>
      </c>
      <c r="AU534" s="28"/>
      <c r="AV534" s="28"/>
      <c r="AW534" s="109">
        <f t="shared" si="267"/>
        <v>0</v>
      </c>
      <c r="AX534" s="66">
        <f t="shared" si="268"/>
        <v>0</v>
      </c>
      <c r="AY534" s="66"/>
      <c r="AZ534" s="66">
        <f t="shared" si="269"/>
        <v>0</v>
      </c>
      <c r="BA534" s="30"/>
    </row>
    <row r="535" spans="1:53" ht="21.6" customHeight="1" x14ac:dyDescent="0.3">
      <c r="A535" s="2"/>
      <c r="B535" s="3"/>
      <c r="C535" s="3"/>
      <c r="D535" s="3"/>
      <c r="E535" s="3"/>
      <c r="F535" s="3"/>
      <c r="G535" s="150"/>
      <c r="H535" s="394"/>
      <c r="I535" s="50"/>
      <c r="J535" s="15">
        <f t="shared" si="262"/>
        <v>0</v>
      </c>
      <c r="K535" s="3"/>
      <c r="L535" s="3"/>
      <c r="M535" s="3"/>
      <c r="N535" s="3"/>
      <c r="O535" s="3"/>
      <c r="P535" s="8"/>
      <c r="Q535" s="44"/>
      <c r="R535" s="35">
        <f t="shared" si="274"/>
        <v>0</v>
      </c>
      <c r="S535" s="13"/>
      <c r="T535" s="35"/>
      <c r="U535" s="37"/>
      <c r="V535" s="37">
        <f t="shared" si="263"/>
        <v>0</v>
      </c>
      <c r="W535" s="59">
        <f t="shared" si="271"/>
        <v>0</v>
      </c>
      <c r="X535" s="59">
        <f t="shared" si="272"/>
        <v>0</v>
      </c>
      <c r="Y535" s="59">
        <f t="shared" si="273"/>
        <v>0</v>
      </c>
      <c r="Z535" s="39"/>
      <c r="AA535" s="4"/>
      <c r="AB535" s="35"/>
      <c r="AC535" s="13"/>
      <c r="AD535" s="174"/>
      <c r="AE535" s="13"/>
      <c r="AF535" s="35"/>
      <c r="AG535" s="3">
        <f t="shared" si="264"/>
        <v>0</v>
      </c>
      <c r="AH535" s="13"/>
      <c r="AI535" s="36" t="e">
        <f>#REF!</f>
        <v>#REF!</v>
      </c>
      <c r="AJ535" s="36">
        <v>0</v>
      </c>
      <c r="AK535" s="36"/>
      <c r="AL535" s="47"/>
      <c r="AM535" s="153"/>
      <c r="AN535" s="63">
        <f t="shared" si="270"/>
        <v>0</v>
      </c>
      <c r="AO535" s="29"/>
      <c r="AP535" s="28"/>
      <c r="AQ535" s="64">
        <f t="shared" si="266"/>
        <v>0</v>
      </c>
      <c r="AR535" s="28"/>
      <c r="AS535" s="28"/>
      <c r="AT535" s="157">
        <f t="shared" si="265"/>
        <v>0</v>
      </c>
      <c r="AU535" s="28"/>
      <c r="AV535" s="28"/>
      <c r="AW535" s="109">
        <f t="shared" si="267"/>
        <v>0</v>
      </c>
      <c r="AX535" s="66">
        <f t="shared" si="268"/>
        <v>0</v>
      </c>
      <c r="AY535" s="66"/>
      <c r="AZ535" s="66">
        <f t="shared" si="269"/>
        <v>0</v>
      </c>
      <c r="BA535" s="30"/>
    </row>
    <row r="536" spans="1:53" ht="21.6" customHeight="1" x14ac:dyDescent="0.3">
      <c r="A536" s="2"/>
      <c r="B536" s="3"/>
      <c r="C536" s="3"/>
      <c r="D536" s="3"/>
      <c r="E536" s="3"/>
      <c r="F536" s="3"/>
      <c r="G536" s="150"/>
      <c r="H536" s="394"/>
      <c r="I536" s="50"/>
      <c r="J536" s="15">
        <f t="shared" si="262"/>
        <v>0</v>
      </c>
      <c r="K536" s="3"/>
      <c r="L536" s="3"/>
      <c r="M536" s="3"/>
      <c r="N536" s="3"/>
      <c r="O536" s="3"/>
      <c r="P536" s="8"/>
      <c r="Q536" s="44"/>
      <c r="R536" s="35">
        <f t="shared" si="274"/>
        <v>0</v>
      </c>
      <c r="S536" s="13"/>
      <c r="T536" s="35"/>
      <c r="U536" s="37"/>
      <c r="V536" s="37">
        <f t="shared" si="263"/>
        <v>0</v>
      </c>
      <c r="W536" s="59">
        <f t="shared" si="271"/>
        <v>0</v>
      </c>
      <c r="X536" s="59">
        <f t="shared" si="272"/>
        <v>0</v>
      </c>
      <c r="Y536" s="59">
        <f t="shared" si="273"/>
        <v>0</v>
      </c>
      <c r="Z536" s="39"/>
      <c r="AA536" s="4"/>
      <c r="AB536" s="35"/>
      <c r="AC536" s="13"/>
      <c r="AD536" s="174"/>
      <c r="AE536" s="13"/>
      <c r="AF536" s="35"/>
      <c r="AG536" s="3">
        <f t="shared" si="264"/>
        <v>0</v>
      </c>
      <c r="AH536" s="13"/>
      <c r="AI536" s="36" t="e">
        <f>#REF!</f>
        <v>#REF!</v>
      </c>
      <c r="AJ536" s="36">
        <v>0</v>
      </c>
      <c r="AK536" s="36"/>
      <c r="AL536" s="47"/>
      <c r="AM536" s="153"/>
      <c r="AN536" s="63">
        <f t="shared" si="270"/>
        <v>0</v>
      </c>
      <c r="AO536" s="29"/>
      <c r="AP536" s="28"/>
      <c r="AQ536" s="64">
        <f t="shared" si="266"/>
        <v>0</v>
      </c>
      <c r="AR536" s="28"/>
      <c r="AS536" s="28"/>
      <c r="AT536" s="157">
        <f t="shared" si="265"/>
        <v>0</v>
      </c>
      <c r="AU536" s="28"/>
      <c r="AV536" s="28"/>
      <c r="AW536" s="109">
        <f t="shared" si="267"/>
        <v>0</v>
      </c>
      <c r="AX536" s="66">
        <f t="shared" si="268"/>
        <v>0</v>
      </c>
      <c r="AY536" s="66"/>
      <c r="AZ536" s="66">
        <f t="shared" si="269"/>
        <v>0</v>
      </c>
      <c r="BA536" s="30"/>
    </row>
    <row r="537" spans="1:53" ht="21.6" customHeight="1" x14ac:dyDescent="0.3">
      <c r="A537" s="2"/>
      <c r="B537" s="3"/>
      <c r="C537" s="3"/>
      <c r="D537" s="3"/>
      <c r="E537" s="3"/>
      <c r="F537" s="3"/>
      <c r="G537" s="150"/>
      <c r="H537" s="394"/>
      <c r="I537" s="50"/>
      <c r="J537" s="15">
        <f t="shared" si="262"/>
        <v>0</v>
      </c>
      <c r="K537" s="3"/>
      <c r="L537" s="3"/>
      <c r="M537" s="3"/>
      <c r="N537" s="3"/>
      <c r="O537" s="3"/>
      <c r="P537" s="8"/>
      <c r="Q537" s="44"/>
      <c r="R537" s="35">
        <f t="shared" si="274"/>
        <v>0</v>
      </c>
      <c r="S537" s="13"/>
      <c r="T537" s="35"/>
      <c r="U537" s="37"/>
      <c r="V537" s="37">
        <f t="shared" si="263"/>
        <v>0</v>
      </c>
      <c r="W537" s="59">
        <f t="shared" si="271"/>
        <v>0</v>
      </c>
      <c r="X537" s="59">
        <f t="shared" si="272"/>
        <v>0</v>
      </c>
      <c r="Y537" s="59">
        <f t="shared" si="273"/>
        <v>0</v>
      </c>
      <c r="Z537" s="39"/>
      <c r="AA537" s="4"/>
      <c r="AB537" s="35"/>
      <c r="AC537" s="13"/>
      <c r="AD537" s="174"/>
      <c r="AE537" s="13"/>
      <c r="AF537" s="35"/>
      <c r="AG537" s="3">
        <f t="shared" si="264"/>
        <v>0</v>
      </c>
      <c r="AH537" s="13"/>
      <c r="AI537" s="36" t="e">
        <f>#REF!</f>
        <v>#REF!</v>
      </c>
      <c r="AJ537" s="36">
        <v>0</v>
      </c>
      <c r="AK537" s="36"/>
      <c r="AL537" s="47"/>
      <c r="AM537" s="153"/>
      <c r="AN537" s="63">
        <f t="shared" si="270"/>
        <v>0</v>
      </c>
      <c r="AO537" s="29"/>
      <c r="AP537" s="28"/>
      <c r="AQ537" s="64">
        <f t="shared" si="266"/>
        <v>0</v>
      </c>
      <c r="AR537" s="28"/>
      <c r="AS537" s="28"/>
      <c r="AT537" s="157">
        <f t="shared" si="265"/>
        <v>0</v>
      </c>
      <c r="AU537" s="28"/>
      <c r="AV537" s="28"/>
      <c r="AW537" s="109">
        <f t="shared" si="267"/>
        <v>0</v>
      </c>
      <c r="AX537" s="66">
        <f t="shared" si="268"/>
        <v>0</v>
      </c>
      <c r="AY537" s="66"/>
      <c r="AZ537" s="66">
        <f t="shared" si="269"/>
        <v>0</v>
      </c>
      <c r="BA537" s="30"/>
    </row>
    <row r="538" spans="1:53" ht="21.6" customHeight="1" x14ac:dyDescent="0.3">
      <c r="A538" s="2"/>
      <c r="B538" s="3"/>
      <c r="C538" s="3"/>
      <c r="D538" s="3"/>
      <c r="E538" s="3"/>
      <c r="F538" s="3"/>
      <c r="G538" s="150"/>
      <c r="H538" s="394"/>
      <c r="I538" s="50"/>
      <c r="J538" s="15">
        <f t="shared" si="262"/>
        <v>0</v>
      </c>
      <c r="K538" s="3"/>
      <c r="L538" s="3"/>
      <c r="M538" s="3"/>
      <c r="N538" s="3"/>
      <c r="O538" s="3"/>
      <c r="P538" s="8"/>
      <c r="Q538" s="44"/>
      <c r="R538" s="35">
        <f t="shared" si="274"/>
        <v>0</v>
      </c>
      <c r="S538" s="13"/>
      <c r="T538" s="35"/>
      <c r="U538" s="37"/>
      <c r="V538" s="37">
        <f t="shared" si="263"/>
        <v>0</v>
      </c>
      <c r="W538" s="59">
        <f t="shared" si="271"/>
        <v>0</v>
      </c>
      <c r="X538" s="59">
        <f t="shared" si="272"/>
        <v>0</v>
      </c>
      <c r="Y538" s="59">
        <f t="shared" si="273"/>
        <v>0</v>
      </c>
      <c r="Z538" s="39"/>
      <c r="AA538" s="4"/>
      <c r="AB538" s="35"/>
      <c r="AC538" s="13"/>
      <c r="AD538" s="174"/>
      <c r="AE538" s="13"/>
      <c r="AF538" s="35"/>
      <c r="AG538" s="3">
        <f t="shared" si="264"/>
        <v>0</v>
      </c>
      <c r="AH538" s="13"/>
      <c r="AI538" s="36" t="e">
        <f>#REF!</f>
        <v>#REF!</v>
      </c>
      <c r="AJ538" s="36">
        <v>0</v>
      </c>
      <c r="AK538" s="36"/>
      <c r="AL538" s="47"/>
      <c r="AM538" s="153"/>
      <c r="AN538" s="63">
        <f t="shared" si="270"/>
        <v>0</v>
      </c>
      <c r="AO538" s="29"/>
      <c r="AP538" s="28"/>
      <c r="AQ538" s="64">
        <f t="shared" si="266"/>
        <v>0</v>
      </c>
      <c r="AR538" s="28"/>
      <c r="AS538" s="28"/>
      <c r="AT538" s="157">
        <f t="shared" si="265"/>
        <v>0</v>
      </c>
      <c r="AU538" s="28"/>
      <c r="AV538" s="28"/>
      <c r="AW538" s="109">
        <f t="shared" si="267"/>
        <v>0</v>
      </c>
      <c r="AX538" s="66">
        <f t="shared" si="268"/>
        <v>0</v>
      </c>
      <c r="AY538" s="66"/>
      <c r="AZ538" s="66">
        <f t="shared" si="269"/>
        <v>0</v>
      </c>
      <c r="BA538" s="30"/>
    </row>
    <row r="539" spans="1:53" ht="21.6" customHeight="1" x14ac:dyDescent="0.3">
      <c r="A539" s="2"/>
      <c r="B539" s="3"/>
      <c r="C539" s="3"/>
      <c r="D539" s="3"/>
      <c r="E539" s="3"/>
      <c r="F539" s="3"/>
      <c r="G539" s="150"/>
      <c r="H539" s="394"/>
      <c r="I539" s="50"/>
      <c r="J539" s="15">
        <f t="shared" si="262"/>
        <v>0</v>
      </c>
      <c r="K539" s="3"/>
      <c r="L539" s="3"/>
      <c r="M539" s="3"/>
      <c r="N539" s="3"/>
      <c r="O539" s="3"/>
      <c r="P539" s="8"/>
      <c r="Q539" s="44"/>
      <c r="R539" s="35">
        <f t="shared" si="274"/>
        <v>0</v>
      </c>
      <c r="S539" s="13"/>
      <c r="T539" s="35"/>
      <c r="U539" s="37"/>
      <c r="V539" s="37">
        <f t="shared" si="263"/>
        <v>0</v>
      </c>
      <c r="W539" s="59">
        <f t="shared" si="271"/>
        <v>0</v>
      </c>
      <c r="X539" s="59">
        <f t="shared" si="272"/>
        <v>0</v>
      </c>
      <c r="Y539" s="59">
        <f t="shared" si="273"/>
        <v>0</v>
      </c>
      <c r="Z539" s="39"/>
      <c r="AA539" s="4"/>
      <c r="AB539" s="35"/>
      <c r="AC539" s="13"/>
      <c r="AD539" s="174"/>
      <c r="AE539" s="13"/>
      <c r="AF539" s="35"/>
      <c r="AG539" s="3">
        <f t="shared" si="264"/>
        <v>0</v>
      </c>
      <c r="AH539" s="13"/>
      <c r="AI539" s="36" t="e">
        <f>#REF!</f>
        <v>#REF!</v>
      </c>
      <c r="AJ539" s="36">
        <v>0</v>
      </c>
      <c r="AK539" s="36"/>
      <c r="AL539" s="47"/>
      <c r="AM539" s="153"/>
      <c r="AN539" s="63">
        <f t="shared" si="270"/>
        <v>0</v>
      </c>
      <c r="AO539" s="29"/>
      <c r="AP539" s="28"/>
      <c r="AQ539" s="64">
        <f t="shared" si="266"/>
        <v>0</v>
      </c>
      <c r="AR539" s="28"/>
      <c r="AS539" s="28"/>
      <c r="AT539" s="157">
        <f t="shared" si="265"/>
        <v>0</v>
      </c>
      <c r="AU539" s="28"/>
      <c r="AV539" s="28"/>
      <c r="AW539" s="109">
        <f t="shared" si="267"/>
        <v>0</v>
      </c>
      <c r="AX539" s="66">
        <f t="shared" si="268"/>
        <v>0</v>
      </c>
      <c r="AY539" s="66"/>
      <c r="AZ539" s="66">
        <f t="shared" si="269"/>
        <v>0</v>
      </c>
      <c r="BA539" s="30"/>
    </row>
    <row r="540" spans="1:53" ht="21.6" customHeight="1" x14ac:dyDescent="0.3">
      <c r="A540" s="2"/>
      <c r="B540" s="3"/>
      <c r="C540" s="3"/>
      <c r="D540" s="3"/>
      <c r="E540" s="3"/>
      <c r="F540" s="3"/>
      <c r="G540" s="150"/>
      <c r="H540" s="394"/>
      <c r="I540" s="50"/>
      <c r="J540" s="15">
        <f t="shared" si="262"/>
        <v>0</v>
      </c>
      <c r="K540" s="3"/>
      <c r="L540" s="3"/>
      <c r="M540" s="3"/>
      <c r="N540" s="3"/>
      <c r="O540" s="3"/>
      <c r="P540" s="8"/>
      <c r="Q540" s="44"/>
      <c r="R540" s="35">
        <f t="shared" si="274"/>
        <v>0</v>
      </c>
      <c r="S540" s="13"/>
      <c r="T540" s="35"/>
      <c r="U540" s="37"/>
      <c r="V540" s="37">
        <f t="shared" si="263"/>
        <v>0</v>
      </c>
      <c r="W540" s="59">
        <f t="shared" si="271"/>
        <v>0</v>
      </c>
      <c r="X540" s="59">
        <f t="shared" si="272"/>
        <v>0</v>
      </c>
      <c r="Y540" s="59">
        <f t="shared" si="273"/>
        <v>0</v>
      </c>
      <c r="Z540" s="39"/>
      <c r="AA540" s="4"/>
      <c r="AB540" s="35"/>
      <c r="AC540" s="13"/>
      <c r="AD540" s="174"/>
      <c r="AE540" s="13"/>
      <c r="AF540" s="35"/>
      <c r="AG540" s="3">
        <f t="shared" si="264"/>
        <v>0</v>
      </c>
      <c r="AH540" s="13"/>
      <c r="AI540" s="36" t="e">
        <f>#REF!</f>
        <v>#REF!</v>
      </c>
      <c r="AJ540" s="36">
        <v>0</v>
      </c>
      <c r="AK540" s="36"/>
      <c r="AL540" s="47"/>
      <c r="AM540" s="153"/>
      <c r="AN540" s="63">
        <f t="shared" si="270"/>
        <v>0</v>
      </c>
      <c r="AO540" s="29"/>
      <c r="AP540" s="28"/>
      <c r="AQ540" s="64">
        <f t="shared" si="266"/>
        <v>0</v>
      </c>
      <c r="AR540" s="28"/>
      <c r="AS540" s="28"/>
      <c r="AT540" s="157">
        <f t="shared" si="265"/>
        <v>0</v>
      </c>
      <c r="AU540" s="28"/>
      <c r="AV540" s="28"/>
      <c r="AW540" s="109">
        <f t="shared" si="267"/>
        <v>0</v>
      </c>
      <c r="AX540" s="66">
        <f t="shared" si="268"/>
        <v>0</v>
      </c>
      <c r="AY540" s="66"/>
      <c r="AZ540" s="66">
        <f t="shared" si="269"/>
        <v>0</v>
      </c>
      <c r="BA540" s="30"/>
    </row>
    <row r="541" spans="1:53" ht="21.6" customHeight="1" x14ac:dyDescent="0.3">
      <c r="A541" s="2"/>
      <c r="B541" s="3"/>
      <c r="C541" s="3"/>
      <c r="D541" s="3"/>
      <c r="E541" s="3"/>
      <c r="F541" s="3"/>
      <c r="G541" s="150"/>
      <c r="H541" s="394"/>
      <c r="I541" s="50"/>
      <c r="J541" s="15">
        <f t="shared" si="262"/>
        <v>0</v>
      </c>
      <c r="K541" s="3"/>
      <c r="L541" s="3"/>
      <c r="M541" s="3"/>
      <c r="N541" s="3"/>
      <c r="O541" s="3"/>
      <c r="P541" s="8"/>
      <c r="Q541" s="44"/>
      <c r="R541" s="35">
        <f t="shared" si="274"/>
        <v>0</v>
      </c>
      <c r="S541" s="13"/>
      <c r="T541" s="35"/>
      <c r="U541" s="37"/>
      <c r="V541" s="37">
        <f t="shared" si="263"/>
        <v>0</v>
      </c>
      <c r="W541" s="59">
        <f t="shared" si="271"/>
        <v>0</v>
      </c>
      <c r="X541" s="59">
        <f t="shared" si="272"/>
        <v>0</v>
      </c>
      <c r="Y541" s="59">
        <f t="shared" si="273"/>
        <v>0</v>
      </c>
      <c r="Z541" s="39"/>
      <c r="AA541" s="4"/>
      <c r="AB541" s="35"/>
      <c r="AC541" s="13"/>
      <c r="AD541" s="174"/>
      <c r="AE541" s="13"/>
      <c r="AF541" s="35"/>
      <c r="AG541" s="3">
        <f t="shared" si="264"/>
        <v>0</v>
      </c>
      <c r="AH541" s="13"/>
      <c r="AI541" s="36" t="e">
        <f>#REF!</f>
        <v>#REF!</v>
      </c>
      <c r="AJ541" s="36">
        <v>0</v>
      </c>
      <c r="AK541" s="36"/>
      <c r="AL541" s="47"/>
      <c r="AM541" s="153"/>
      <c r="AN541" s="63">
        <f t="shared" si="270"/>
        <v>0</v>
      </c>
      <c r="AO541" s="29"/>
      <c r="AP541" s="28"/>
      <c r="AQ541" s="64">
        <f t="shared" si="266"/>
        <v>0</v>
      </c>
      <c r="AR541" s="28"/>
      <c r="AS541" s="28"/>
      <c r="AT541" s="157">
        <f t="shared" si="265"/>
        <v>0</v>
      </c>
      <c r="AU541" s="28"/>
      <c r="AV541" s="28"/>
      <c r="AW541" s="109">
        <f t="shared" si="267"/>
        <v>0</v>
      </c>
      <c r="AX541" s="66">
        <f t="shared" si="268"/>
        <v>0</v>
      </c>
      <c r="AY541" s="66"/>
      <c r="AZ541" s="66">
        <f t="shared" si="269"/>
        <v>0</v>
      </c>
      <c r="BA541" s="30"/>
    </row>
    <row r="542" spans="1:53" ht="21.6" customHeight="1" x14ac:dyDescent="0.3">
      <c r="A542" s="2"/>
      <c r="B542" s="3"/>
      <c r="C542" s="3"/>
      <c r="D542" s="3"/>
      <c r="E542" s="3"/>
      <c r="F542" s="3"/>
      <c r="G542" s="150"/>
      <c r="H542" s="394"/>
      <c r="I542" s="50"/>
      <c r="J542" s="15">
        <f t="shared" si="262"/>
        <v>0</v>
      </c>
      <c r="K542" s="3"/>
      <c r="L542" s="3"/>
      <c r="M542" s="3"/>
      <c r="N542" s="3"/>
      <c r="O542" s="3"/>
      <c r="P542" s="8"/>
      <c r="Q542" s="44"/>
      <c r="R542" s="35">
        <f t="shared" si="274"/>
        <v>0</v>
      </c>
      <c r="S542" s="13"/>
      <c r="T542" s="35"/>
      <c r="U542" s="37"/>
      <c r="V542" s="37">
        <f t="shared" si="263"/>
        <v>0</v>
      </c>
      <c r="W542" s="59">
        <f t="shared" si="271"/>
        <v>0</v>
      </c>
      <c r="X542" s="59">
        <f t="shared" si="272"/>
        <v>0</v>
      </c>
      <c r="Y542" s="59">
        <f t="shared" si="273"/>
        <v>0</v>
      </c>
      <c r="Z542" s="39"/>
      <c r="AA542" s="4"/>
      <c r="AB542" s="35"/>
      <c r="AC542" s="13"/>
      <c r="AD542" s="174"/>
      <c r="AE542" s="13"/>
      <c r="AF542" s="35"/>
      <c r="AG542" s="3">
        <f t="shared" si="264"/>
        <v>0</v>
      </c>
      <c r="AH542" s="13"/>
      <c r="AI542" s="36" t="e">
        <f>#REF!</f>
        <v>#REF!</v>
      </c>
      <c r="AJ542" s="36">
        <v>0</v>
      </c>
      <c r="AK542" s="36"/>
      <c r="AL542" s="47"/>
      <c r="AM542" s="153"/>
      <c r="AN542" s="63">
        <f t="shared" si="270"/>
        <v>0</v>
      </c>
      <c r="AO542" s="29"/>
      <c r="AP542" s="28"/>
      <c r="AQ542" s="64">
        <f t="shared" si="266"/>
        <v>0</v>
      </c>
      <c r="AR542" s="28"/>
      <c r="AS542" s="28"/>
      <c r="AT542" s="157">
        <f t="shared" si="265"/>
        <v>0</v>
      </c>
      <c r="AU542" s="28"/>
      <c r="AV542" s="28"/>
      <c r="AW542" s="109">
        <f t="shared" si="267"/>
        <v>0</v>
      </c>
      <c r="AX542" s="66">
        <f t="shared" si="268"/>
        <v>0</v>
      </c>
      <c r="AY542" s="66"/>
      <c r="AZ542" s="66">
        <f t="shared" si="269"/>
        <v>0</v>
      </c>
      <c r="BA542" s="30"/>
    </row>
    <row r="543" spans="1:53" ht="21.6" customHeight="1" x14ac:dyDescent="0.3">
      <c r="A543" s="2"/>
      <c r="B543" s="3"/>
      <c r="C543" s="3"/>
      <c r="D543" s="3"/>
      <c r="E543" s="3"/>
      <c r="F543" s="3"/>
      <c r="G543" s="150"/>
      <c r="H543" s="394"/>
      <c r="I543" s="50"/>
      <c r="J543" s="15">
        <f t="shared" si="262"/>
        <v>0</v>
      </c>
      <c r="K543" s="3"/>
      <c r="L543" s="3"/>
      <c r="M543" s="3"/>
      <c r="N543" s="3"/>
      <c r="O543" s="3"/>
      <c r="P543" s="8"/>
      <c r="Q543" s="44"/>
      <c r="R543" s="35">
        <f t="shared" si="274"/>
        <v>0</v>
      </c>
      <c r="S543" s="13"/>
      <c r="T543" s="35"/>
      <c r="U543" s="37"/>
      <c r="V543" s="37">
        <f t="shared" si="263"/>
        <v>0</v>
      </c>
      <c r="W543" s="59">
        <f t="shared" si="271"/>
        <v>0</v>
      </c>
      <c r="X543" s="59">
        <f t="shared" si="272"/>
        <v>0</v>
      </c>
      <c r="Y543" s="59">
        <f t="shared" si="273"/>
        <v>0</v>
      </c>
      <c r="Z543" s="39"/>
      <c r="AA543" s="4"/>
      <c r="AB543" s="35"/>
      <c r="AC543" s="13"/>
      <c r="AD543" s="174"/>
      <c r="AE543" s="13"/>
      <c r="AF543" s="35"/>
      <c r="AG543" s="3">
        <f t="shared" si="264"/>
        <v>0</v>
      </c>
      <c r="AH543" s="13"/>
      <c r="AI543" s="36" t="e">
        <f>#REF!</f>
        <v>#REF!</v>
      </c>
      <c r="AJ543" s="36">
        <v>0</v>
      </c>
      <c r="AK543" s="36"/>
      <c r="AL543" s="47"/>
      <c r="AM543" s="153"/>
      <c r="AN543" s="63">
        <f t="shared" si="270"/>
        <v>0</v>
      </c>
      <c r="AO543" s="29"/>
      <c r="AP543" s="28"/>
      <c r="AQ543" s="64">
        <f t="shared" si="266"/>
        <v>0</v>
      </c>
      <c r="AR543" s="28"/>
      <c r="AS543" s="28"/>
      <c r="AT543" s="157">
        <f t="shared" si="265"/>
        <v>0</v>
      </c>
      <c r="AU543" s="28"/>
      <c r="AV543" s="28"/>
      <c r="AW543" s="109">
        <f t="shared" si="267"/>
        <v>0</v>
      </c>
      <c r="AX543" s="66">
        <f t="shared" si="268"/>
        <v>0</v>
      </c>
      <c r="AY543" s="66"/>
      <c r="AZ543" s="66">
        <f t="shared" si="269"/>
        <v>0</v>
      </c>
      <c r="BA543" s="30"/>
    </row>
    <row r="544" spans="1:53" ht="21.6" customHeight="1" x14ac:dyDescent="0.3">
      <c r="A544" s="2"/>
      <c r="B544" s="3"/>
      <c r="C544" s="3"/>
      <c r="D544" s="3"/>
      <c r="E544" s="3"/>
      <c r="F544" s="3"/>
      <c r="G544" s="150"/>
      <c r="H544" s="394"/>
      <c r="I544" s="50"/>
      <c r="J544" s="15">
        <f t="shared" si="262"/>
        <v>0</v>
      </c>
      <c r="K544" s="3"/>
      <c r="L544" s="3"/>
      <c r="M544" s="3"/>
      <c r="N544" s="3"/>
      <c r="O544" s="3"/>
      <c r="P544" s="8"/>
      <c r="Q544" s="44"/>
      <c r="R544" s="35">
        <f t="shared" si="274"/>
        <v>0</v>
      </c>
      <c r="S544" s="13"/>
      <c r="T544" s="35"/>
      <c r="U544" s="37"/>
      <c r="V544" s="37">
        <f t="shared" si="263"/>
        <v>0</v>
      </c>
      <c r="W544" s="59">
        <f t="shared" si="271"/>
        <v>0</v>
      </c>
      <c r="X544" s="59">
        <f t="shared" si="272"/>
        <v>0</v>
      </c>
      <c r="Y544" s="59">
        <f t="shared" si="273"/>
        <v>0</v>
      </c>
      <c r="Z544" s="39"/>
      <c r="AA544" s="4"/>
      <c r="AB544" s="35"/>
      <c r="AC544" s="13"/>
      <c r="AD544" s="174"/>
      <c r="AE544" s="13"/>
      <c r="AF544" s="35"/>
      <c r="AG544" s="3">
        <f t="shared" si="264"/>
        <v>0</v>
      </c>
      <c r="AH544" s="13"/>
      <c r="AI544" s="36" t="e">
        <f>#REF!</f>
        <v>#REF!</v>
      </c>
      <c r="AJ544" s="36">
        <v>0</v>
      </c>
      <c r="AK544" s="36"/>
      <c r="AL544" s="47"/>
      <c r="AM544" s="153"/>
      <c r="AN544" s="63">
        <f t="shared" si="270"/>
        <v>0</v>
      </c>
      <c r="AO544" s="29"/>
      <c r="AP544" s="28"/>
      <c r="AQ544" s="64">
        <f t="shared" si="266"/>
        <v>0</v>
      </c>
      <c r="AR544" s="28"/>
      <c r="AS544" s="28"/>
      <c r="AT544" s="157">
        <f t="shared" si="265"/>
        <v>0</v>
      </c>
      <c r="AU544" s="28"/>
      <c r="AV544" s="28"/>
      <c r="AW544" s="109">
        <f t="shared" si="267"/>
        <v>0</v>
      </c>
      <c r="AX544" s="66">
        <f t="shared" si="268"/>
        <v>0</v>
      </c>
      <c r="AY544" s="66"/>
      <c r="AZ544" s="66">
        <f t="shared" si="269"/>
        <v>0</v>
      </c>
      <c r="BA544" s="30"/>
    </row>
    <row r="545" spans="1:53" ht="21.6" customHeight="1" x14ac:dyDescent="0.3">
      <c r="A545" s="2"/>
      <c r="B545" s="3"/>
      <c r="C545" s="3"/>
      <c r="D545" s="3"/>
      <c r="E545" s="3"/>
      <c r="F545" s="3"/>
      <c r="G545" s="150"/>
      <c r="H545" s="394"/>
      <c r="I545" s="50"/>
      <c r="J545" s="15">
        <f t="shared" si="262"/>
        <v>0</v>
      </c>
      <c r="K545" s="3"/>
      <c r="L545" s="3"/>
      <c r="M545" s="3"/>
      <c r="N545" s="3"/>
      <c r="O545" s="3"/>
      <c r="P545" s="8"/>
      <c r="Q545" s="44"/>
      <c r="R545" s="35">
        <f t="shared" si="274"/>
        <v>0</v>
      </c>
      <c r="S545" s="13"/>
      <c r="T545" s="35"/>
      <c r="U545" s="37"/>
      <c r="V545" s="37">
        <f t="shared" si="263"/>
        <v>0</v>
      </c>
      <c r="W545" s="59">
        <f t="shared" si="271"/>
        <v>0</v>
      </c>
      <c r="X545" s="59">
        <f t="shared" si="272"/>
        <v>0</v>
      </c>
      <c r="Y545" s="59">
        <f t="shared" si="273"/>
        <v>0</v>
      </c>
      <c r="Z545" s="39"/>
      <c r="AA545" s="4"/>
      <c r="AB545" s="35"/>
      <c r="AC545" s="13"/>
      <c r="AD545" s="174"/>
      <c r="AE545" s="13"/>
      <c r="AF545" s="35"/>
      <c r="AG545" s="3">
        <f t="shared" si="264"/>
        <v>0</v>
      </c>
      <c r="AH545" s="13"/>
      <c r="AI545" s="36" t="e">
        <f>#REF!</f>
        <v>#REF!</v>
      </c>
      <c r="AJ545" s="36">
        <v>0</v>
      </c>
      <c r="AK545" s="36"/>
      <c r="AL545" s="47"/>
      <c r="AM545" s="153"/>
      <c r="AN545" s="63">
        <f t="shared" si="270"/>
        <v>0</v>
      </c>
      <c r="AO545" s="29"/>
      <c r="AP545" s="28"/>
      <c r="AQ545" s="64">
        <f t="shared" si="266"/>
        <v>0</v>
      </c>
      <c r="AR545" s="28"/>
      <c r="AS545" s="28"/>
      <c r="AT545" s="157">
        <f t="shared" si="265"/>
        <v>0</v>
      </c>
      <c r="AU545" s="28"/>
      <c r="AV545" s="28"/>
      <c r="AW545" s="109">
        <f t="shared" si="267"/>
        <v>0</v>
      </c>
      <c r="AX545" s="66">
        <f t="shared" si="268"/>
        <v>0</v>
      </c>
      <c r="AY545" s="66"/>
      <c r="AZ545" s="66">
        <f t="shared" si="269"/>
        <v>0</v>
      </c>
      <c r="BA545" s="30"/>
    </row>
    <row r="546" spans="1:53" ht="21.6" customHeight="1" x14ac:dyDescent="0.3">
      <c r="A546" s="2"/>
      <c r="B546" s="3"/>
      <c r="C546" s="3"/>
      <c r="D546" s="3"/>
      <c r="E546" s="3"/>
      <c r="F546" s="3"/>
      <c r="G546" s="150"/>
      <c r="H546" s="394"/>
      <c r="I546" s="50"/>
      <c r="J546" s="15">
        <f t="shared" si="262"/>
        <v>0</v>
      </c>
      <c r="K546" s="3"/>
      <c r="L546" s="3"/>
      <c r="M546" s="3"/>
      <c r="N546" s="3"/>
      <c r="O546" s="3"/>
      <c r="P546" s="8"/>
      <c r="Q546" s="44"/>
      <c r="R546" s="35">
        <f t="shared" si="274"/>
        <v>0</v>
      </c>
      <c r="S546" s="13"/>
      <c r="T546" s="35"/>
      <c r="U546" s="37"/>
      <c r="V546" s="37">
        <f t="shared" si="263"/>
        <v>0</v>
      </c>
      <c r="W546" s="59">
        <f t="shared" si="271"/>
        <v>0</v>
      </c>
      <c r="X546" s="59">
        <f t="shared" si="272"/>
        <v>0</v>
      </c>
      <c r="Y546" s="59">
        <f t="shared" si="273"/>
        <v>0</v>
      </c>
      <c r="Z546" s="39"/>
      <c r="AA546" s="4"/>
      <c r="AB546" s="35"/>
      <c r="AC546" s="13"/>
      <c r="AD546" s="174"/>
      <c r="AE546" s="13"/>
      <c r="AF546" s="35"/>
      <c r="AG546" s="3">
        <f t="shared" si="264"/>
        <v>0</v>
      </c>
      <c r="AH546" s="13"/>
      <c r="AI546" s="36" t="e">
        <f>#REF!</f>
        <v>#REF!</v>
      </c>
      <c r="AJ546" s="36">
        <v>0</v>
      </c>
      <c r="AK546" s="36"/>
      <c r="AL546" s="47"/>
      <c r="AM546" s="153"/>
      <c r="AN546" s="63">
        <f t="shared" si="270"/>
        <v>0</v>
      </c>
      <c r="AO546" s="29"/>
      <c r="AP546" s="28"/>
      <c r="AQ546" s="64">
        <f t="shared" si="266"/>
        <v>0</v>
      </c>
      <c r="AR546" s="28"/>
      <c r="AS546" s="28"/>
      <c r="AT546" s="157">
        <f t="shared" si="265"/>
        <v>0</v>
      </c>
      <c r="AU546" s="28"/>
      <c r="AV546" s="28"/>
      <c r="AW546" s="109">
        <f t="shared" si="267"/>
        <v>0</v>
      </c>
      <c r="AX546" s="66">
        <f t="shared" si="268"/>
        <v>0</v>
      </c>
      <c r="AY546" s="66"/>
      <c r="AZ546" s="66">
        <f t="shared" si="269"/>
        <v>0</v>
      </c>
      <c r="BA546" s="30"/>
    </row>
    <row r="547" spans="1:53" ht="21.6" customHeight="1" x14ac:dyDescent="0.3">
      <c r="A547" s="2"/>
      <c r="B547" s="3"/>
      <c r="C547" s="3"/>
      <c r="D547" s="3"/>
      <c r="E547" s="3"/>
      <c r="F547" s="3"/>
      <c r="G547" s="150"/>
      <c r="H547" s="394"/>
      <c r="I547" s="50"/>
      <c r="J547" s="15">
        <f t="shared" si="262"/>
        <v>0</v>
      </c>
      <c r="K547" s="3"/>
      <c r="L547" s="3"/>
      <c r="M547" s="3"/>
      <c r="N547" s="3"/>
      <c r="O547" s="3"/>
      <c r="P547" s="8"/>
      <c r="Q547" s="44"/>
      <c r="R547" s="35">
        <f t="shared" si="274"/>
        <v>0</v>
      </c>
      <c r="S547" s="13"/>
      <c r="T547" s="35"/>
      <c r="U547" s="37"/>
      <c r="V547" s="37">
        <f t="shared" si="263"/>
        <v>0</v>
      </c>
      <c r="W547" s="59">
        <f t="shared" si="271"/>
        <v>0</v>
      </c>
      <c r="X547" s="59">
        <f t="shared" si="272"/>
        <v>0</v>
      </c>
      <c r="Y547" s="59">
        <f t="shared" si="273"/>
        <v>0</v>
      </c>
      <c r="Z547" s="39"/>
      <c r="AA547" s="4"/>
      <c r="AB547" s="35"/>
      <c r="AC547" s="13"/>
      <c r="AD547" s="174"/>
      <c r="AE547" s="13"/>
      <c r="AF547" s="35"/>
      <c r="AG547" s="3">
        <f t="shared" si="264"/>
        <v>0</v>
      </c>
      <c r="AH547" s="13"/>
      <c r="AI547" s="36" t="e">
        <f>#REF!</f>
        <v>#REF!</v>
      </c>
      <c r="AJ547" s="36">
        <v>0</v>
      </c>
      <c r="AK547" s="36"/>
      <c r="AL547" s="47"/>
      <c r="AM547" s="153"/>
      <c r="AN547" s="63">
        <f t="shared" si="270"/>
        <v>0</v>
      </c>
      <c r="AO547" s="29"/>
      <c r="AP547" s="28"/>
      <c r="AQ547" s="64">
        <f t="shared" si="266"/>
        <v>0</v>
      </c>
      <c r="AR547" s="28"/>
      <c r="AS547" s="28"/>
      <c r="AT547" s="157">
        <f t="shared" si="265"/>
        <v>0</v>
      </c>
      <c r="AU547" s="28"/>
      <c r="AV547" s="28"/>
      <c r="AW547" s="109">
        <f t="shared" si="267"/>
        <v>0</v>
      </c>
      <c r="AX547" s="66">
        <f t="shared" si="268"/>
        <v>0</v>
      </c>
      <c r="AY547" s="66"/>
      <c r="AZ547" s="66">
        <f t="shared" si="269"/>
        <v>0</v>
      </c>
      <c r="BA547" s="30"/>
    </row>
    <row r="548" spans="1:53" ht="21.6" customHeight="1" x14ac:dyDescent="0.3">
      <c r="A548" s="2"/>
      <c r="B548" s="3"/>
      <c r="C548" s="3"/>
      <c r="D548" s="3"/>
      <c r="E548" s="3"/>
      <c r="F548" s="3"/>
      <c r="G548" s="150"/>
      <c r="H548" s="394"/>
      <c r="I548" s="50"/>
      <c r="J548" s="15">
        <f t="shared" si="262"/>
        <v>0</v>
      </c>
      <c r="K548" s="3"/>
      <c r="L548" s="3"/>
      <c r="M548" s="3"/>
      <c r="N548" s="3"/>
      <c r="O548" s="3"/>
      <c r="P548" s="8"/>
      <c r="Q548" s="44"/>
      <c r="R548" s="35">
        <f t="shared" si="274"/>
        <v>0</v>
      </c>
      <c r="S548" s="13"/>
      <c r="T548" s="35"/>
      <c r="U548" s="37"/>
      <c r="V548" s="37">
        <f t="shared" si="263"/>
        <v>0</v>
      </c>
      <c r="W548" s="59">
        <f t="shared" si="271"/>
        <v>0</v>
      </c>
      <c r="X548" s="59">
        <f t="shared" si="272"/>
        <v>0</v>
      </c>
      <c r="Y548" s="59">
        <f t="shared" si="273"/>
        <v>0</v>
      </c>
      <c r="Z548" s="39"/>
      <c r="AA548" s="4"/>
      <c r="AB548" s="35"/>
      <c r="AC548" s="13"/>
      <c r="AD548" s="174"/>
      <c r="AE548" s="13"/>
      <c r="AF548" s="35"/>
      <c r="AG548" s="3">
        <f t="shared" si="264"/>
        <v>0</v>
      </c>
      <c r="AH548" s="13"/>
      <c r="AI548" s="36" t="e">
        <f>#REF!</f>
        <v>#REF!</v>
      </c>
      <c r="AJ548" s="36">
        <v>0</v>
      </c>
      <c r="AK548" s="36"/>
      <c r="AL548" s="47"/>
      <c r="AM548" s="153"/>
      <c r="AN548" s="63">
        <f t="shared" si="270"/>
        <v>0</v>
      </c>
      <c r="AO548" s="29"/>
      <c r="AP548" s="28"/>
      <c r="AQ548" s="64">
        <f t="shared" si="266"/>
        <v>0</v>
      </c>
      <c r="AR548" s="28"/>
      <c r="AS548" s="28"/>
      <c r="AT548" s="157">
        <f t="shared" si="265"/>
        <v>0</v>
      </c>
      <c r="AU548" s="28"/>
      <c r="AV548" s="28"/>
      <c r="AW548" s="109">
        <f t="shared" si="267"/>
        <v>0</v>
      </c>
      <c r="AX548" s="66">
        <f t="shared" si="268"/>
        <v>0</v>
      </c>
      <c r="AY548" s="66"/>
      <c r="AZ548" s="66">
        <f t="shared" si="269"/>
        <v>0</v>
      </c>
      <c r="BA548" s="30"/>
    </row>
    <row r="549" spans="1:53" ht="21.6" customHeight="1" x14ac:dyDescent="0.3">
      <c r="A549" s="2"/>
      <c r="B549" s="3"/>
      <c r="C549" s="3"/>
      <c r="D549" s="3"/>
      <c r="E549" s="3"/>
      <c r="F549" s="3"/>
      <c r="G549" s="150"/>
      <c r="H549" s="394"/>
      <c r="I549" s="50"/>
      <c r="J549" s="15">
        <f t="shared" si="262"/>
        <v>0</v>
      </c>
      <c r="K549" s="3"/>
      <c r="L549" s="3"/>
      <c r="M549" s="3"/>
      <c r="N549" s="3"/>
      <c r="O549" s="3"/>
      <c r="P549" s="8"/>
      <c r="Q549" s="44"/>
      <c r="R549" s="35">
        <f t="shared" si="274"/>
        <v>0</v>
      </c>
      <c r="S549" s="13"/>
      <c r="T549" s="35"/>
      <c r="U549" s="37"/>
      <c r="V549" s="37">
        <f t="shared" si="263"/>
        <v>0</v>
      </c>
      <c r="W549" s="59">
        <f t="shared" si="271"/>
        <v>0</v>
      </c>
      <c r="X549" s="59">
        <f t="shared" si="272"/>
        <v>0</v>
      </c>
      <c r="Y549" s="59">
        <f t="shared" si="273"/>
        <v>0</v>
      </c>
      <c r="Z549" s="39"/>
      <c r="AA549" s="4"/>
      <c r="AB549" s="35"/>
      <c r="AC549" s="13"/>
      <c r="AD549" s="174"/>
      <c r="AE549" s="13"/>
      <c r="AF549" s="35"/>
      <c r="AG549" s="3">
        <f t="shared" si="264"/>
        <v>0</v>
      </c>
      <c r="AH549" s="13"/>
      <c r="AI549" s="36" t="e">
        <f>#REF!</f>
        <v>#REF!</v>
      </c>
      <c r="AJ549" s="36">
        <v>0</v>
      </c>
      <c r="AK549" s="36"/>
      <c r="AL549" s="47"/>
      <c r="AM549" s="153"/>
      <c r="AN549" s="63">
        <f t="shared" si="270"/>
        <v>0</v>
      </c>
      <c r="AO549" s="29"/>
      <c r="AP549" s="28"/>
      <c r="AQ549" s="64">
        <f t="shared" si="266"/>
        <v>0</v>
      </c>
      <c r="AR549" s="28"/>
      <c r="AS549" s="28"/>
      <c r="AT549" s="157">
        <f t="shared" si="265"/>
        <v>0</v>
      </c>
      <c r="AU549" s="28"/>
      <c r="AV549" s="28"/>
      <c r="AW549" s="109">
        <f t="shared" si="267"/>
        <v>0</v>
      </c>
      <c r="AX549" s="66">
        <f t="shared" si="268"/>
        <v>0</v>
      </c>
      <c r="AY549" s="66"/>
      <c r="AZ549" s="66">
        <f t="shared" si="269"/>
        <v>0</v>
      </c>
      <c r="BA549" s="30"/>
    </row>
    <row r="550" spans="1:53" ht="21.6" customHeight="1" x14ac:dyDescent="0.3">
      <c r="A550" s="2"/>
      <c r="B550" s="3"/>
      <c r="C550" s="3"/>
      <c r="D550" s="3"/>
      <c r="E550" s="3"/>
      <c r="F550" s="3"/>
      <c r="G550" s="150"/>
      <c r="H550" s="394"/>
      <c r="I550" s="50"/>
      <c r="J550" s="15">
        <f t="shared" si="262"/>
        <v>0</v>
      </c>
      <c r="K550" s="3"/>
      <c r="L550" s="3"/>
      <c r="M550" s="3"/>
      <c r="N550" s="3"/>
      <c r="O550" s="3"/>
      <c r="P550" s="8"/>
      <c r="Q550" s="44"/>
      <c r="R550" s="35">
        <f t="shared" si="274"/>
        <v>0</v>
      </c>
      <c r="S550" s="13"/>
      <c r="T550" s="35"/>
      <c r="U550" s="37"/>
      <c r="V550" s="37">
        <f t="shared" si="263"/>
        <v>0</v>
      </c>
      <c r="W550" s="59">
        <f t="shared" si="271"/>
        <v>0</v>
      </c>
      <c r="X550" s="59">
        <f t="shared" si="272"/>
        <v>0</v>
      </c>
      <c r="Y550" s="59">
        <f t="shared" si="273"/>
        <v>0</v>
      </c>
      <c r="Z550" s="39"/>
      <c r="AA550" s="4"/>
      <c r="AB550" s="35"/>
      <c r="AC550" s="13"/>
      <c r="AD550" s="174"/>
      <c r="AE550" s="13"/>
      <c r="AF550" s="35"/>
      <c r="AG550" s="3">
        <f t="shared" si="264"/>
        <v>0</v>
      </c>
      <c r="AH550" s="13"/>
      <c r="AI550" s="36" t="e">
        <f>#REF!</f>
        <v>#REF!</v>
      </c>
      <c r="AJ550" s="36">
        <v>0</v>
      </c>
      <c r="AK550" s="36"/>
      <c r="AL550" s="47"/>
      <c r="AM550" s="153"/>
      <c r="AN550" s="63">
        <f t="shared" si="270"/>
        <v>0</v>
      </c>
      <c r="AO550" s="29"/>
      <c r="AP550" s="28"/>
      <c r="AQ550" s="64">
        <f t="shared" si="266"/>
        <v>0</v>
      </c>
      <c r="AR550" s="28"/>
      <c r="AS550" s="28"/>
      <c r="AT550" s="157">
        <f t="shared" si="265"/>
        <v>0</v>
      </c>
      <c r="AU550" s="28"/>
      <c r="AV550" s="28"/>
      <c r="AW550" s="109">
        <f t="shared" si="267"/>
        <v>0</v>
      </c>
      <c r="AX550" s="66">
        <f t="shared" si="268"/>
        <v>0</v>
      </c>
      <c r="AY550" s="66"/>
      <c r="AZ550" s="66">
        <f t="shared" si="269"/>
        <v>0</v>
      </c>
      <c r="BA550" s="30"/>
    </row>
    <row r="551" spans="1:53" ht="21.6" customHeight="1" x14ac:dyDescent="0.3">
      <c r="A551" s="2"/>
      <c r="B551" s="3"/>
      <c r="C551" s="3"/>
      <c r="D551" s="3"/>
      <c r="E551" s="3"/>
      <c r="F551" s="3"/>
      <c r="G551" s="150"/>
      <c r="H551" s="394"/>
      <c r="I551" s="50"/>
      <c r="J551" s="15">
        <f t="shared" si="262"/>
        <v>0</v>
      </c>
      <c r="K551" s="3"/>
      <c r="L551" s="3"/>
      <c r="M551" s="3"/>
      <c r="N551" s="3"/>
      <c r="O551" s="3"/>
      <c r="P551" s="8"/>
      <c r="Q551" s="44"/>
      <c r="R551" s="35">
        <f t="shared" si="274"/>
        <v>0</v>
      </c>
      <c r="S551" s="13"/>
      <c r="T551" s="35"/>
      <c r="U551" s="37"/>
      <c r="V551" s="37">
        <f t="shared" si="263"/>
        <v>0</v>
      </c>
      <c r="W551" s="59">
        <f t="shared" si="271"/>
        <v>0</v>
      </c>
      <c r="X551" s="59">
        <f t="shared" si="272"/>
        <v>0</v>
      </c>
      <c r="Y551" s="59">
        <f t="shared" si="273"/>
        <v>0</v>
      </c>
      <c r="Z551" s="39"/>
      <c r="AA551" s="4"/>
      <c r="AB551" s="35"/>
      <c r="AC551" s="13"/>
      <c r="AD551" s="174"/>
      <c r="AE551" s="13"/>
      <c r="AF551" s="35"/>
      <c r="AG551" s="3">
        <f t="shared" si="264"/>
        <v>0</v>
      </c>
      <c r="AH551" s="13"/>
      <c r="AI551" s="36" t="e">
        <f>#REF!</f>
        <v>#REF!</v>
      </c>
      <c r="AJ551" s="36">
        <v>0</v>
      </c>
      <c r="AK551" s="36"/>
      <c r="AL551" s="47"/>
      <c r="AM551" s="153"/>
      <c r="AN551" s="63">
        <f t="shared" si="270"/>
        <v>0</v>
      </c>
      <c r="AO551" s="29"/>
      <c r="AP551" s="28"/>
      <c r="AQ551" s="64">
        <f t="shared" si="266"/>
        <v>0</v>
      </c>
      <c r="AR551" s="28"/>
      <c r="AS551" s="28"/>
      <c r="AT551" s="157">
        <f t="shared" si="265"/>
        <v>0</v>
      </c>
      <c r="AU551" s="28"/>
      <c r="AV551" s="28"/>
      <c r="AW551" s="109">
        <f t="shared" si="267"/>
        <v>0</v>
      </c>
      <c r="AX551" s="66">
        <f t="shared" si="268"/>
        <v>0</v>
      </c>
      <c r="AY551" s="66"/>
      <c r="AZ551" s="66">
        <f t="shared" si="269"/>
        <v>0</v>
      </c>
      <c r="BA551" s="30"/>
    </row>
    <row r="552" spans="1:53" ht="21.6" customHeight="1" x14ac:dyDescent="0.3">
      <c r="A552" s="2"/>
      <c r="B552" s="3"/>
      <c r="C552" s="3"/>
      <c r="D552" s="3"/>
      <c r="E552" s="3"/>
      <c r="F552" s="3"/>
      <c r="G552" s="150"/>
      <c r="H552" s="394"/>
      <c r="I552" s="50"/>
      <c r="J552" s="15">
        <f t="shared" si="262"/>
        <v>0</v>
      </c>
      <c r="K552" s="3"/>
      <c r="L552" s="3"/>
      <c r="M552" s="3"/>
      <c r="N552" s="3"/>
      <c r="O552" s="3"/>
      <c r="P552" s="8"/>
      <c r="Q552" s="44"/>
      <c r="R552" s="35">
        <f t="shared" si="274"/>
        <v>0</v>
      </c>
      <c r="S552" s="13"/>
      <c r="T552" s="35"/>
      <c r="U552" s="37"/>
      <c r="V552" s="37">
        <f t="shared" si="263"/>
        <v>0</v>
      </c>
      <c r="W552" s="59">
        <f t="shared" si="271"/>
        <v>0</v>
      </c>
      <c r="X552" s="59">
        <f t="shared" si="272"/>
        <v>0</v>
      </c>
      <c r="Y552" s="59">
        <f t="shared" si="273"/>
        <v>0</v>
      </c>
      <c r="Z552" s="39"/>
      <c r="AA552" s="4"/>
      <c r="AB552" s="35"/>
      <c r="AC552" s="13"/>
      <c r="AD552" s="174"/>
      <c r="AE552" s="13"/>
      <c r="AF552" s="35"/>
      <c r="AG552" s="3">
        <f t="shared" si="264"/>
        <v>0</v>
      </c>
      <c r="AH552" s="13"/>
      <c r="AI552" s="36" t="e">
        <f>#REF!</f>
        <v>#REF!</v>
      </c>
      <c r="AJ552" s="36">
        <v>0</v>
      </c>
      <c r="AK552" s="36"/>
      <c r="AL552" s="47"/>
      <c r="AM552" s="153"/>
      <c r="AN552" s="63">
        <f t="shared" si="270"/>
        <v>0</v>
      </c>
      <c r="AO552" s="29"/>
      <c r="AP552" s="28"/>
      <c r="AQ552" s="64">
        <f t="shared" si="266"/>
        <v>0</v>
      </c>
      <c r="AR552" s="28"/>
      <c r="AS552" s="28"/>
      <c r="AT552" s="157">
        <f t="shared" si="265"/>
        <v>0</v>
      </c>
      <c r="AU552" s="28"/>
      <c r="AV552" s="28"/>
      <c r="AW552" s="109">
        <f t="shared" si="267"/>
        <v>0</v>
      </c>
      <c r="AX552" s="66">
        <f t="shared" si="268"/>
        <v>0</v>
      </c>
      <c r="AY552" s="66"/>
      <c r="AZ552" s="66">
        <f t="shared" si="269"/>
        <v>0</v>
      </c>
      <c r="BA552" s="30"/>
    </row>
    <row r="553" spans="1:53" ht="21.6" customHeight="1" x14ac:dyDescent="0.3">
      <c r="A553" s="2"/>
      <c r="B553" s="3"/>
      <c r="C553" s="3"/>
      <c r="D553" s="3"/>
      <c r="E553" s="3"/>
      <c r="F553" s="3"/>
      <c r="G553" s="150"/>
      <c r="H553" s="394"/>
      <c r="I553" s="50"/>
      <c r="J553" s="15">
        <f t="shared" si="262"/>
        <v>0</v>
      </c>
      <c r="K553" s="3"/>
      <c r="L553" s="3"/>
      <c r="M553" s="3"/>
      <c r="N553" s="3"/>
      <c r="O553" s="3"/>
      <c r="P553" s="8"/>
      <c r="Q553" s="44"/>
      <c r="R553" s="35">
        <f t="shared" si="274"/>
        <v>0</v>
      </c>
      <c r="S553" s="13"/>
      <c r="T553" s="35"/>
      <c r="U553" s="37"/>
      <c r="V553" s="37">
        <f t="shared" si="263"/>
        <v>0</v>
      </c>
      <c r="W553" s="59">
        <f t="shared" si="271"/>
        <v>0</v>
      </c>
      <c r="X553" s="59">
        <f t="shared" si="272"/>
        <v>0</v>
      </c>
      <c r="Y553" s="59">
        <f t="shared" si="273"/>
        <v>0</v>
      </c>
      <c r="Z553" s="39"/>
      <c r="AA553" s="4"/>
      <c r="AB553" s="35"/>
      <c r="AC553" s="13"/>
      <c r="AD553" s="174"/>
      <c r="AE553" s="13"/>
      <c r="AF553" s="35"/>
      <c r="AG553" s="3">
        <f t="shared" si="264"/>
        <v>0</v>
      </c>
      <c r="AH553" s="13"/>
      <c r="AI553" s="36" t="e">
        <f>#REF!</f>
        <v>#REF!</v>
      </c>
      <c r="AJ553" s="36">
        <v>0</v>
      </c>
      <c r="AK553" s="36"/>
      <c r="AL553" s="47"/>
      <c r="AM553" s="153"/>
      <c r="AN553" s="63">
        <f t="shared" si="270"/>
        <v>0</v>
      </c>
      <c r="AO553" s="29"/>
      <c r="AP553" s="28"/>
      <c r="AQ553" s="64">
        <f t="shared" si="266"/>
        <v>0</v>
      </c>
      <c r="AR553" s="28"/>
      <c r="AS553" s="28"/>
      <c r="AT553" s="157">
        <f t="shared" si="265"/>
        <v>0</v>
      </c>
      <c r="AU553" s="28"/>
      <c r="AV553" s="28"/>
      <c r="AW553" s="109">
        <f t="shared" si="267"/>
        <v>0</v>
      </c>
      <c r="AX553" s="66">
        <f t="shared" si="268"/>
        <v>0</v>
      </c>
      <c r="AY553" s="66"/>
      <c r="AZ553" s="66">
        <f t="shared" si="269"/>
        <v>0</v>
      </c>
      <c r="BA553" s="30"/>
    </row>
    <row r="554" spans="1:53" ht="21.6" customHeight="1" x14ac:dyDescent="0.3">
      <c r="A554" s="2"/>
      <c r="B554" s="3"/>
      <c r="C554" s="3"/>
      <c r="D554" s="3"/>
      <c r="E554" s="3"/>
      <c r="F554" s="3"/>
      <c r="G554" s="150"/>
      <c r="H554" s="394"/>
      <c r="I554" s="50"/>
      <c r="J554" s="15">
        <f t="shared" si="262"/>
        <v>0</v>
      </c>
      <c r="K554" s="3"/>
      <c r="L554" s="3"/>
      <c r="M554" s="3"/>
      <c r="N554" s="3"/>
      <c r="O554" s="3"/>
      <c r="P554" s="8"/>
      <c r="Q554" s="44"/>
      <c r="R554" s="35">
        <f t="shared" si="274"/>
        <v>0</v>
      </c>
      <c r="S554" s="13"/>
      <c r="T554" s="35"/>
      <c r="U554" s="37"/>
      <c r="V554" s="37">
        <f t="shared" si="263"/>
        <v>0</v>
      </c>
      <c r="W554" s="59">
        <f t="shared" si="271"/>
        <v>0</v>
      </c>
      <c r="X554" s="59">
        <f t="shared" si="272"/>
        <v>0</v>
      </c>
      <c r="Y554" s="59">
        <f t="shared" si="273"/>
        <v>0</v>
      </c>
      <c r="Z554" s="39"/>
      <c r="AA554" s="4"/>
      <c r="AB554" s="35"/>
      <c r="AC554" s="13"/>
      <c r="AD554" s="174"/>
      <c r="AE554" s="13"/>
      <c r="AF554" s="35"/>
      <c r="AG554" s="3">
        <f t="shared" si="264"/>
        <v>0</v>
      </c>
      <c r="AH554" s="13"/>
      <c r="AI554" s="36" t="e">
        <f>#REF!</f>
        <v>#REF!</v>
      </c>
      <c r="AJ554" s="36">
        <v>0</v>
      </c>
      <c r="AK554" s="36"/>
      <c r="AL554" s="47"/>
      <c r="AM554" s="153"/>
      <c r="AN554" s="63">
        <f t="shared" si="270"/>
        <v>0</v>
      </c>
      <c r="AO554" s="29"/>
      <c r="AP554" s="28"/>
      <c r="AQ554" s="64">
        <f t="shared" si="266"/>
        <v>0</v>
      </c>
      <c r="AR554" s="28"/>
      <c r="AS554" s="28"/>
      <c r="AT554" s="157">
        <f t="shared" si="265"/>
        <v>0</v>
      </c>
      <c r="AU554" s="28"/>
      <c r="AV554" s="28"/>
      <c r="AW554" s="109">
        <f t="shared" si="267"/>
        <v>0</v>
      </c>
      <c r="AX554" s="66">
        <f t="shared" si="268"/>
        <v>0</v>
      </c>
      <c r="AY554" s="66"/>
      <c r="AZ554" s="66">
        <f t="shared" si="269"/>
        <v>0</v>
      </c>
      <c r="BA554" s="30"/>
    </row>
    <row r="555" spans="1:53" ht="21.6" customHeight="1" x14ac:dyDescent="0.3">
      <c r="A555" s="2"/>
      <c r="B555" s="3"/>
      <c r="C555" s="3"/>
      <c r="D555" s="3"/>
      <c r="E555" s="3"/>
      <c r="F555" s="3"/>
      <c r="G555" s="150"/>
      <c r="H555" s="394"/>
      <c r="I555" s="50"/>
      <c r="J555" s="15">
        <f t="shared" ref="J555:J618" si="275">I555-H555</f>
        <v>0</v>
      </c>
      <c r="K555" s="3"/>
      <c r="L555" s="3"/>
      <c r="M555" s="3"/>
      <c r="N555" s="3"/>
      <c r="O555" s="3"/>
      <c r="P555" s="8"/>
      <c r="Q555" s="44"/>
      <c r="R555" s="35">
        <f t="shared" si="274"/>
        <v>0</v>
      </c>
      <c r="S555" s="13"/>
      <c r="T555" s="35"/>
      <c r="U555" s="37"/>
      <c r="V555" s="37">
        <f t="shared" si="263"/>
        <v>0</v>
      </c>
      <c r="W555" s="59">
        <f t="shared" si="271"/>
        <v>0</v>
      </c>
      <c r="X555" s="59">
        <f t="shared" si="272"/>
        <v>0</v>
      </c>
      <c r="Y555" s="59">
        <f t="shared" si="273"/>
        <v>0</v>
      </c>
      <c r="Z555" s="39"/>
      <c r="AA555" s="4"/>
      <c r="AB555" s="35"/>
      <c r="AC555" s="13"/>
      <c r="AD555" s="174"/>
      <c r="AE555" s="13"/>
      <c r="AF555" s="35"/>
      <c r="AG555" s="3">
        <f t="shared" si="264"/>
        <v>0</v>
      </c>
      <c r="AH555" s="13"/>
      <c r="AI555" s="36" t="e">
        <f>#REF!</f>
        <v>#REF!</v>
      </c>
      <c r="AJ555" s="36">
        <v>0</v>
      </c>
      <c r="AK555" s="36"/>
      <c r="AL555" s="47"/>
      <c r="AM555" s="153"/>
      <c r="AN555" s="63">
        <f t="shared" si="270"/>
        <v>0</v>
      </c>
      <c r="AO555" s="29"/>
      <c r="AP555" s="28"/>
      <c r="AQ555" s="64">
        <f t="shared" si="266"/>
        <v>0</v>
      </c>
      <c r="AR555" s="28"/>
      <c r="AS555" s="28"/>
      <c r="AT555" s="157">
        <f t="shared" si="265"/>
        <v>0</v>
      </c>
      <c r="AU555" s="28"/>
      <c r="AV555" s="28"/>
      <c r="AW555" s="109">
        <f t="shared" si="267"/>
        <v>0</v>
      </c>
      <c r="AX555" s="66">
        <f t="shared" si="268"/>
        <v>0</v>
      </c>
      <c r="AY555" s="66"/>
      <c r="AZ555" s="66">
        <f t="shared" si="269"/>
        <v>0</v>
      </c>
      <c r="BA555" s="30"/>
    </row>
    <row r="556" spans="1:53" ht="21.6" customHeight="1" x14ac:dyDescent="0.3">
      <c r="A556" s="2"/>
      <c r="B556" s="3"/>
      <c r="C556" s="3"/>
      <c r="D556" s="3"/>
      <c r="E556" s="3"/>
      <c r="F556" s="3"/>
      <c r="G556" s="150"/>
      <c r="H556" s="394"/>
      <c r="I556" s="50"/>
      <c r="J556" s="15">
        <f t="shared" si="275"/>
        <v>0</v>
      </c>
      <c r="K556" s="3"/>
      <c r="L556" s="3"/>
      <c r="M556" s="3"/>
      <c r="N556" s="3"/>
      <c r="O556" s="3"/>
      <c r="P556" s="8"/>
      <c r="Q556" s="44"/>
      <c r="R556" s="35">
        <f t="shared" si="274"/>
        <v>0</v>
      </c>
      <c r="S556" s="13"/>
      <c r="T556" s="35"/>
      <c r="U556" s="37"/>
      <c r="V556" s="37">
        <f t="shared" si="263"/>
        <v>0</v>
      </c>
      <c r="W556" s="59">
        <f t="shared" si="271"/>
        <v>0</v>
      </c>
      <c r="X556" s="59">
        <f t="shared" si="272"/>
        <v>0</v>
      </c>
      <c r="Y556" s="59">
        <f t="shared" si="273"/>
        <v>0</v>
      </c>
      <c r="Z556" s="39"/>
      <c r="AA556" s="4"/>
      <c r="AB556" s="35"/>
      <c r="AC556" s="13"/>
      <c r="AD556" s="174"/>
      <c r="AE556" s="13"/>
      <c r="AF556" s="35"/>
      <c r="AG556" s="3">
        <f t="shared" si="264"/>
        <v>0</v>
      </c>
      <c r="AH556" s="13"/>
      <c r="AI556" s="36" t="e">
        <f>#REF!</f>
        <v>#REF!</v>
      </c>
      <c r="AJ556" s="36">
        <v>0</v>
      </c>
      <c r="AK556" s="36"/>
      <c r="AL556" s="47"/>
      <c r="AM556" s="153"/>
      <c r="AN556" s="63">
        <f t="shared" si="270"/>
        <v>0</v>
      </c>
      <c r="AO556" s="29"/>
      <c r="AP556" s="28"/>
      <c r="AQ556" s="64">
        <f t="shared" si="266"/>
        <v>0</v>
      </c>
      <c r="AR556" s="28"/>
      <c r="AS556" s="28"/>
      <c r="AT556" s="157">
        <f t="shared" si="265"/>
        <v>0</v>
      </c>
      <c r="AU556" s="28"/>
      <c r="AV556" s="28"/>
      <c r="AW556" s="109">
        <f t="shared" si="267"/>
        <v>0</v>
      </c>
      <c r="AX556" s="66">
        <f t="shared" si="268"/>
        <v>0</v>
      </c>
      <c r="AY556" s="66"/>
      <c r="AZ556" s="66">
        <f t="shared" si="269"/>
        <v>0</v>
      </c>
      <c r="BA556" s="30"/>
    </row>
    <row r="557" spans="1:53" ht="21.6" customHeight="1" x14ac:dyDescent="0.3">
      <c r="A557" s="2"/>
      <c r="B557" s="3"/>
      <c r="C557" s="3"/>
      <c r="D557" s="3"/>
      <c r="E557" s="3"/>
      <c r="F557" s="3"/>
      <c r="G557" s="150"/>
      <c r="H557" s="394"/>
      <c r="I557" s="50"/>
      <c r="J557" s="15">
        <f t="shared" si="275"/>
        <v>0</v>
      </c>
      <c r="K557" s="3"/>
      <c r="L557" s="3"/>
      <c r="M557" s="3"/>
      <c r="N557" s="3"/>
      <c r="O557" s="3"/>
      <c r="P557" s="8"/>
      <c r="Q557" s="44"/>
      <c r="R557" s="35">
        <f t="shared" si="274"/>
        <v>0</v>
      </c>
      <c r="S557" s="13"/>
      <c r="T557" s="35"/>
      <c r="U557" s="37"/>
      <c r="V557" s="37">
        <f t="shared" si="263"/>
        <v>0</v>
      </c>
      <c r="W557" s="59">
        <f t="shared" si="271"/>
        <v>0</v>
      </c>
      <c r="X557" s="59">
        <f t="shared" si="272"/>
        <v>0</v>
      </c>
      <c r="Y557" s="59">
        <f t="shared" si="273"/>
        <v>0</v>
      </c>
      <c r="Z557" s="39"/>
      <c r="AA557" s="4"/>
      <c r="AB557" s="35"/>
      <c r="AC557" s="13"/>
      <c r="AD557" s="174"/>
      <c r="AE557" s="13"/>
      <c r="AF557" s="35"/>
      <c r="AG557" s="3">
        <f t="shared" si="264"/>
        <v>0</v>
      </c>
      <c r="AH557" s="13"/>
      <c r="AI557" s="36" t="e">
        <f>#REF!</f>
        <v>#REF!</v>
      </c>
      <c r="AJ557" s="36">
        <v>0</v>
      </c>
      <c r="AK557" s="36"/>
      <c r="AL557" s="47"/>
      <c r="AM557" s="153"/>
      <c r="AN557" s="63">
        <f t="shared" si="270"/>
        <v>0</v>
      </c>
      <c r="AO557" s="29"/>
      <c r="AP557" s="28"/>
      <c r="AQ557" s="64">
        <f t="shared" si="266"/>
        <v>0</v>
      </c>
      <c r="AR557" s="28"/>
      <c r="AS557" s="28"/>
      <c r="AT557" s="157">
        <f t="shared" si="265"/>
        <v>0</v>
      </c>
      <c r="AU557" s="28"/>
      <c r="AV557" s="28"/>
      <c r="AW557" s="109">
        <f t="shared" si="267"/>
        <v>0</v>
      </c>
      <c r="AX557" s="66">
        <f t="shared" si="268"/>
        <v>0</v>
      </c>
      <c r="AY557" s="66"/>
      <c r="AZ557" s="66">
        <f t="shared" si="269"/>
        <v>0</v>
      </c>
      <c r="BA557" s="30"/>
    </row>
    <row r="558" spans="1:53" ht="21.6" customHeight="1" x14ac:dyDescent="0.3">
      <c r="A558" s="2"/>
      <c r="B558" s="3"/>
      <c r="C558" s="3"/>
      <c r="D558" s="3"/>
      <c r="E558" s="3"/>
      <c r="F558" s="3"/>
      <c r="G558" s="150"/>
      <c r="H558" s="394"/>
      <c r="I558" s="50"/>
      <c r="J558" s="15">
        <f t="shared" si="275"/>
        <v>0</v>
      </c>
      <c r="K558" s="3"/>
      <c r="L558" s="3"/>
      <c r="M558" s="3"/>
      <c r="N558" s="3"/>
      <c r="O558" s="3"/>
      <c r="P558" s="8"/>
      <c r="Q558" s="44"/>
      <c r="R558" s="35">
        <f t="shared" si="274"/>
        <v>0</v>
      </c>
      <c r="S558" s="13"/>
      <c r="T558" s="35"/>
      <c r="U558" s="37"/>
      <c r="V558" s="37">
        <f t="shared" si="263"/>
        <v>0</v>
      </c>
      <c r="W558" s="59">
        <f t="shared" si="271"/>
        <v>0</v>
      </c>
      <c r="X558" s="59">
        <f t="shared" si="272"/>
        <v>0</v>
      </c>
      <c r="Y558" s="59">
        <f t="shared" si="273"/>
        <v>0</v>
      </c>
      <c r="Z558" s="39"/>
      <c r="AA558" s="4"/>
      <c r="AB558" s="35"/>
      <c r="AC558" s="13"/>
      <c r="AD558" s="174"/>
      <c r="AE558" s="13"/>
      <c r="AF558" s="35"/>
      <c r="AG558" s="3">
        <f t="shared" si="264"/>
        <v>0</v>
      </c>
      <c r="AH558" s="13"/>
      <c r="AI558" s="36" t="e">
        <f>#REF!</f>
        <v>#REF!</v>
      </c>
      <c r="AJ558" s="36">
        <v>0</v>
      </c>
      <c r="AK558" s="36"/>
      <c r="AL558" s="47"/>
      <c r="AM558" s="153"/>
      <c r="AN558" s="63">
        <f t="shared" si="270"/>
        <v>0</v>
      </c>
      <c r="AO558" s="29"/>
      <c r="AP558" s="28"/>
      <c r="AQ558" s="64">
        <f t="shared" si="266"/>
        <v>0</v>
      </c>
      <c r="AR558" s="28"/>
      <c r="AS558" s="28"/>
      <c r="AT558" s="157">
        <f t="shared" si="265"/>
        <v>0</v>
      </c>
      <c r="AU558" s="28"/>
      <c r="AV558" s="28"/>
      <c r="AW558" s="109">
        <f t="shared" si="267"/>
        <v>0</v>
      </c>
      <c r="AX558" s="66">
        <f t="shared" si="268"/>
        <v>0</v>
      </c>
      <c r="AY558" s="66"/>
      <c r="AZ558" s="66">
        <f t="shared" si="269"/>
        <v>0</v>
      </c>
      <c r="BA558" s="30"/>
    </row>
    <row r="559" spans="1:53" ht="21.6" customHeight="1" x14ac:dyDescent="0.3">
      <c r="A559" s="2"/>
      <c r="B559" s="3"/>
      <c r="C559" s="3"/>
      <c r="D559" s="3"/>
      <c r="E559" s="3"/>
      <c r="F559" s="3"/>
      <c r="G559" s="150"/>
      <c r="H559" s="394"/>
      <c r="I559" s="50"/>
      <c r="J559" s="15">
        <f t="shared" si="275"/>
        <v>0</v>
      </c>
      <c r="K559" s="3"/>
      <c r="L559" s="3"/>
      <c r="M559" s="3"/>
      <c r="N559" s="3"/>
      <c r="O559" s="3"/>
      <c r="P559" s="8"/>
      <c r="Q559" s="44"/>
      <c r="R559" s="35">
        <f t="shared" si="274"/>
        <v>0</v>
      </c>
      <c r="S559" s="13"/>
      <c r="T559" s="35"/>
      <c r="U559" s="37"/>
      <c r="V559" s="37">
        <f t="shared" si="263"/>
        <v>0</v>
      </c>
      <c r="W559" s="59">
        <f t="shared" si="271"/>
        <v>0</v>
      </c>
      <c r="X559" s="59">
        <f t="shared" si="272"/>
        <v>0</v>
      </c>
      <c r="Y559" s="59">
        <f t="shared" si="273"/>
        <v>0</v>
      </c>
      <c r="Z559" s="39"/>
      <c r="AA559" s="4"/>
      <c r="AB559" s="35"/>
      <c r="AC559" s="13"/>
      <c r="AD559" s="174"/>
      <c r="AE559" s="13"/>
      <c r="AF559" s="35"/>
      <c r="AG559" s="3">
        <f t="shared" si="264"/>
        <v>0</v>
      </c>
      <c r="AH559" s="13"/>
      <c r="AI559" s="36" t="e">
        <f>#REF!</f>
        <v>#REF!</v>
      </c>
      <c r="AJ559" s="36">
        <v>0</v>
      </c>
      <c r="AK559" s="36"/>
      <c r="AL559" s="47"/>
      <c r="AM559" s="153"/>
      <c r="AN559" s="63">
        <f t="shared" si="270"/>
        <v>0</v>
      </c>
      <c r="AO559" s="29"/>
      <c r="AP559" s="28"/>
      <c r="AQ559" s="64">
        <f t="shared" si="266"/>
        <v>0</v>
      </c>
      <c r="AR559" s="28"/>
      <c r="AS559" s="28"/>
      <c r="AT559" s="157">
        <f t="shared" si="265"/>
        <v>0</v>
      </c>
      <c r="AU559" s="28"/>
      <c r="AV559" s="28"/>
      <c r="AW559" s="109">
        <f t="shared" si="267"/>
        <v>0</v>
      </c>
      <c r="AX559" s="66">
        <f t="shared" si="268"/>
        <v>0</v>
      </c>
      <c r="AY559" s="66"/>
      <c r="AZ559" s="66">
        <f t="shared" si="269"/>
        <v>0</v>
      </c>
      <c r="BA559" s="30"/>
    </row>
    <row r="560" spans="1:53" ht="21.6" customHeight="1" x14ac:dyDescent="0.3">
      <c r="A560" s="2"/>
      <c r="B560" s="3"/>
      <c r="C560" s="3"/>
      <c r="D560" s="3"/>
      <c r="E560" s="3"/>
      <c r="F560" s="3"/>
      <c r="G560" s="150"/>
      <c r="H560" s="394"/>
      <c r="I560" s="50"/>
      <c r="J560" s="15">
        <f t="shared" si="275"/>
        <v>0</v>
      </c>
      <c r="K560" s="3"/>
      <c r="L560" s="3"/>
      <c r="M560" s="3"/>
      <c r="N560" s="3"/>
      <c r="O560" s="3"/>
      <c r="P560" s="8"/>
      <c r="Q560" s="44"/>
      <c r="R560" s="35">
        <f t="shared" si="274"/>
        <v>0</v>
      </c>
      <c r="S560" s="13"/>
      <c r="T560" s="35"/>
      <c r="U560" s="37"/>
      <c r="V560" s="37">
        <f t="shared" si="263"/>
        <v>0</v>
      </c>
      <c r="W560" s="59">
        <f t="shared" si="271"/>
        <v>0</v>
      </c>
      <c r="X560" s="59">
        <f t="shared" si="272"/>
        <v>0</v>
      </c>
      <c r="Y560" s="59">
        <f t="shared" si="273"/>
        <v>0</v>
      </c>
      <c r="Z560" s="39"/>
      <c r="AA560" s="4"/>
      <c r="AB560" s="35"/>
      <c r="AC560" s="13"/>
      <c r="AD560" s="174"/>
      <c r="AE560" s="13"/>
      <c r="AF560" s="35"/>
      <c r="AG560" s="3">
        <f t="shared" si="264"/>
        <v>0</v>
      </c>
      <c r="AH560" s="13"/>
      <c r="AI560" s="36" t="e">
        <f>#REF!</f>
        <v>#REF!</v>
      </c>
      <c r="AJ560" s="36">
        <v>0</v>
      </c>
      <c r="AK560" s="36"/>
      <c r="AL560" s="47"/>
      <c r="AM560" s="153"/>
      <c r="AN560" s="63">
        <f t="shared" si="270"/>
        <v>0</v>
      </c>
      <c r="AO560" s="29"/>
      <c r="AP560" s="28"/>
      <c r="AQ560" s="64">
        <f t="shared" si="266"/>
        <v>0</v>
      </c>
      <c r="AR560" s="28"/>
      <c r="AS560" s="28"/>
      <c r="AT560" s="157">
        <f t="shared" si="265"/>
        <v>0</v>
      </c>
      <c r="AU560" s="28"/>
      <c r="AV560" s="28"/>
      <c r="AW560" s="109">
        <f t="shared" si="267"/>
        <v>0</v>
      </c>
      <c r="AX560" s="66">
        <f t="shared" si="268"/>
        <v>0</v>
      </c>
      <c r="AY560" s="66"/>
      <c r="AZ560" s="66">
        <f t="shared" si="269"/>
        <v>0</v>
      </c>
      <c r="BA560" s="30"/>
    </row>
    <row r="561" spans="1:53" ht="21.6" customHeight="1" x14ac:dyDescent="0.3">
      <c r="A561" s="2"/>
      <c r="B561" s="3"/>
      <c r="C561" s="3"/>
      <c r="D561" s="3"/>
      <c r="E561" s="3"/>
      <c r="F561" s="3"/>
      <c r="G561" s="150"/>
      <c r="H561" s="394"/>
      <c r="I561" s="50"/>
      <c r="J561" s="15">
        <f t="shared" si="275"/>
        <v>0</v>
      </c>
      <c r="K561" s="3"/>
      <c r="L561" s="3"/>
      <c r="M561" s="3"/>
      <c r="N561" s="3"/>
      <c r="O561" s="3"/>
      <c r="P561" s="8"/>
      <c r="Q561" s="44"/>
      <c r="R561" s="35">
        <f t="shared" si="274"/>
        <v>0</v>
      </c>
      <c r="S561" s="13"/>
      <c r="T561" s="35"/>
      <c r="U561" s="37"/>
      <c r="V561" s="37">
        <f t="shared" si="263"/>
        <v>0</v>
      </c>
      <c r="W561" s="59">
        <f t="shared" si="271"/>
        <v>0</v>
      </c>
      <c r="X561" s="59">
        <f t="shared" si="272"/>
        <v>0</v>
      </c>
      <c r="Y561" s="59">
        <f t="shared" si="273"/>
        <v>0</v>
      </c>
      <c r="Z561" s="39"/>
      <c r="AA561" s="4"/>
      <c r="AB561" s="35"/>
      <c r="AC561" s="13"/>
      <c r="AD561" s="174"/>
      <c r="AE561" s="13"/>
      <c r="AF561" s="35"/>
      <c r="AG561" s="3">
        <f t="shared" si="264"/>
        <v>0</v>
      </c>
      <c r="AH561" s="13"/>
      <c r="AI561" s="36" t="e">
        <f>#REF!</f>
        <v>#REF!</v>
      </c>
      <c r="AJ561" s="36">
        <v>0</v>
      </c>
      <c r="AK561" s="36"/>
      <c r="AL561" s="47"/>
      <c r="AM561" s="153"/>
      <c r="AN561" s="63">
        <f t="shared" si="270"/>
        <v>0</v>
      </c>
      <c r="AO561" s="29"/>
      <c r="AP561" s="28"/>
      <c r="AQ561" s="64">
        <f t="shared" si="266"/>
        <v>0</v>
      </c>
      <c r="AR561" s="28"/>
      <c r="AS561" s="28"/>
      <c r="AT561" s="157">
        <f t="shared" si="265"/>
        <v>0</v>
      </c>
      <c r="AU561" s="28"/>
      <c r="AV561" s="28"/>
      <c r="AW561" s="109">
        <f t="shared" si="267"/>
        <v>0</v>
      </c>
      <c r="AX561" s="66">
        <f t="shared" si="268"/>
        <v>0</v>
      </c>
      <c r="AY561" s="66"/>
      <c r="AZ561" s="66">
        <f t="shared" si="269"/>
        <v>0</v>
      </c>
      <c r="BA561" s="30"/>
    </row>
    <row r="562" spans="1:53" ht="21.6" customHeight="1" x14ac:dyDescent="0.3">
      <c r="A562" s="2"/>
      <c r="B562" s="3"/>
      <c r="C562" s="3"/>
      <c r="D562" s="3"/>
      <c r="E562" s="3"/>
      <c r="F562" s="3"/>
      <c r="G562" s="150"/>
      <c r="H562" s="394"/>
      <c r="I562" s="50"/>
      <c r="J562" s="15">
        <f t="shared" si="275"/>
        <v>0</v>
      </c>
      <c r="K562" s="3"/>
      <c r="L562" s="3"/>
      <c r="M562" s="3"/>
      <c r="N562" s="3"/>
      <c r="O562" s="3"/>
      <c r="P562" s="8"/>
      <c r="Q562" s="44"/>
      <c r="R562" s="35">
        <f t="shared" si="274"/>
        <v>0</v>
      </c>
      <c r="S562" s="13"/>
      <c r="T562" s="35"/>
      <c r="U562" s="37"/>
      <c r="V562" s="37">
        <f t="shared" si="263"/>
        <v>0</v>
      </c>
      <c r="W562" s="59">
        <f t="shared" si="271"/>
        <v>0</v>
      </c>
      <c r="X562" s="59">
        <f t="shared" si="272"/>
        <v>0</v>
      </c>
      <c r="Y562" s="59">
        <f t="shared" si="273"/>
        <v>0</v>
      </c>
      <c r="Z562" s="39"/>
      <c r="AA562" s="4"/>
      <c r="AB562" s="35"/>
      <c r="AC562" s="13"/>
      <c r="AD562" s="174"/>
      <c r="AE562" s="13"/>
      <c r="AF562" s="35"/>
      <c r="AG562" s="3">
        <f t="shared" si="264"/>
        <v>0</v>
      </c>
      <c r="AH562" s="13"/>
      <c r="AI562" s="36" t="e">
        <f>#REF!</f>
        <v>#REF!</v>
      </c>
      <c r="AJ562" s="36">
        <v>0</v>
      </c>
      <c r="AK562" s="36"/>
      <c r="AL562" s="47"/>
      <c r="AM562" s="153"/>
      <c r="AN562" s="63">
        <f t="shared" si="270"/>
        <v>0</v>
      </c>
      <c r="AO562" s="29"/>
      <c r="AP562" s="28"/>
      <c r="AQ562" s="64">
        <f t="shared" si="266"/>
        <v>0</v>
      </c>
      <c r="AR562" s="28"/>
      <c r="AS562" s="28"/>
      <c r="AT562" s="157">
        <f t="shared" si="265"/>
        <v>0</v>
      </c>
      <c r="AU562" s="28"/>
      <c r="AV562" s="28"/>
      <c r="AW562" s="109">
        <f t="shared" si="267"/>
        <v>0</v>
      </c>
      <c r="AX562" s="66">
        <f t="shared" si="268"/>
        <v>0</v>
      </c>
      <c r="AY562" s="66"/>
      <c r="AZ562" s="66">
        <f t="shared" si="269"/>
        <v>0</v>
      </c>
      <c r="BA562" s="30"/>
    </row>
    <row r="563" spans="1:53" ht="21.6" customHeight="1" x14ac:dyDescent="0.3">
      <c r="A563" s="2"/>
      <c r="B563" s="3"/>
      <c r="C563" s="3"/>
      <c r="D563" s="3"/>
      <c r="E563" s="3"/>
      <c r="F563" s="3"/>
      <c r="G563" s="150"/>
      <c r="H563" s="394"/>
      <c r="I563" s="50"/>
      <c r="J563" s="15">
        <f t="shared" si="275"/>
        <v>0</v>
      </c>
      <c r="K563" s="3"/>
      <c r="L563" s="3"/>
      <c r="M563" s="3"/>
      <c r="N563" s="3"/>
      <c r="O563" s="3"/>
      <c r="P563" s="8"/>
      <c r="Q563" s="44"/>
      <c r="R563" s="35">
        <f t="shared" si="274"/>
        <v>0</v>
      </c>
      <c r="S563" s="13"/>
      <c r="T563" s="35"/>
      <c r="U563" s="37"/>
      <c r="V563" s="37">
        <f t="shared" ref="V563:V626" si="276">I563</f>
        <v>0</v>
      </c>
      <c r="W563" s="59">
        <f t="shared" si="271"/>
        <v>0</v>
      </c>
      <c r="X563" s="59">
        <f t="shared" si="272"/>
        <v>0</v>
      </c>
      <c r="Y563" s="59">
        <f t="shared" si="273"/>
        <v>0</v>
      </c>
      <c r="Z563" s="39"/>
      <c r="AA563" s="4"/>
      <c r="AB563" s="35"/>
      <c r="AC563" s="13"/>
      <c r="AD563" s="174"/>
      <c r="AE563" s="13"/>
      <c r="AF563" s="35"/>
      <c r="AG563" s="3">
        <f t="shared" ref="AG563:AG626" si="277">K563</f>
        <v>0</v>
      </c>
      <c r="AH563" s="13"/>
      <c r="AI563" s="36" t="e">
        <f>#REF!</f>
        <v>#REF!</v>
      </c>
      <c r="AJ563" s="36">
        <v>0</v>
      </c>
      <c r="AK563" s="36"/>
      <c r="AL563" s="47"/>
      <c r="AM563" s="153"/>
      <c r="AN563" s="63">
        <f t="shared" si="270"/>
        <v>0</v>
      </c>
      <c r="AO563" s="29"/>
      <c r="AP563" s="28"/>
      <c r="AQ563" s="64">
        <f t="shared" si="266"/>
        <v>0</v>
      </c>
      <c r="AR563" s="28"/>
      <c r="AS563" s="28"/>
      <c r="AT563" s="157">
        <f t="shared" ref="AT563:AT626" si="278">AR563-AS563</f>
        <v>0</v>
      </c>
      <c r="AU563" s="28"/>
      <c r="AV563" s="28"/>
      <c r="AW563" s="109">
        <f t="shared" si="267"/>
        <v>0</v>
      </c>
      <c r="AX563" s="66">
        <f t="shared" si="268"/>
        <v>0</v>
      </c>
      <c r="AY563" s="66"/>
      <c r="AZ563" s="66">
        <f t="shared" si="269"/>
        <v>0</v>
      </c>
      <c r="BA563" s="30"/>
    </row>
    <row r="564" spans="1:53" ht="21.6" customHeight="1" x14ac:dyDescent="0.3">
      <c r="A564" s="2"/>
      <c r="B564" s="3"/>
      <c r="C564" s="3"/>
      <c r="D564" s="3"/>
      <c r="E564" s="3"/>
      <c r="F564" s="3"/>
      <c r="G564" s="150"/>
      <c r="H564" s="394"/>
      <c r="I564" s="50"/>
      <c r="J564" s="15">
        <f t="shared" si="275"/>
        <v>0</v>
      </c>
      <c r="K564" s="3"/>
      <c r="L564" s="3"/>
      <c r="M564" s="3"/>
      <c r="N564" s="3"/>
      <c r="O564" s="3"/>
      <c r="P564" s="8"/>
      <c r="Q564" s="44"/>
      <c r="R564" s="35">
        <f t="shared" si="274"/>
        <v>0</v>
      </c>
      <c r="S564" s="13"/>
      <c r="T564" s="35"/>
      <c r="U564" s="37"/>
      <c r="V564" s="37">
        <f t="shared" si="276"/>
        <v>0</v>
      </c>
      <c r="W564" s="59">
        <f t="shared" si="271"/>
        <v>0</v>
      </c>
      <c r="X564" s="59">
        <f t="shared" si="272"/>
        <v>0</v>
      </c>
      <c r="Y564" s="59">
        <f t="shared" si="273"/>
        <v>0</v>
      </c>
      <c r="Z564" s="39"/>
      <c r="AA564" s="4"/>
      <c r="AB564" s="35"/>
      <c r="AC564" s="13"/>
      <c r="AD564" s="174"/>
      <c r="AE564" s="13"/>
      <c r="AF564" s="35"/>
      <c r="AG564" s="3">
        <f t="shared" si="277"/>
        <v>0</v>
      </c>
      <c r="AH564" s="13"/>
      <c r="AI564" s="36" t="e">
        <f>#REF!</f>
        <v>#REF!</v>
      </c>
      <c r="AJ564" s="36">
        <v>0</v>
      </c>
      <c r="AK564" s="36"/>
      <c r="AL564" s="47"/>
      <c r="AM564" s="153"/>
      <c r="AN564" s="63">
        <f t="shared" si="270"/>
        <v>0</v>
      </c>
      <c r="AO564" s="29"/>
      <c r="AP564" s="28"/>
      <c r="AQ564" s="64">
        <f t="shared" si="266"/>
        <v>0</v>
      </c>
      <c r="AR564" s="28"/>
      <c r="AS564" s="28"/>
      <c r="AT564" s="157">
        <f t="shared" si="278"/>
        <v>0</v>
      </c>
      <c r="AU564" s="28"/>
      <c r="AV564" s="28"/>
      <c r="AW564" s="109">
        <f t="shared" si="267"/>
        <v>0</v>
      </c>
      <c r="AX564" s="66">
        <f t="shared" si="268"/>
        <v>0</v>
      </c>
      <c r="AY564" s="66"/>
      <c r="AZ564" s="66">
        <f t="shared" si="269"/>
        <v>0</v>
      </c>
      <c r="BA564" s="30"/>
    </row>
    <row r="565" spans="1:53" ht="21.6" customHeight="1" x14ac:dyDescent="0.3">
      <c r="A565" s="2"/>
      <c r="B565" s="3"/>
      <c r="C565" s="3"/>
      <c r="D565" s="3"/>
      <c r="E565" s="3"/>
      <c r="F565" s="3"/>
      <c r="G565" s="150"/>
      <c r="H565" s="394"/>
      <c r="I565" s="50"/>
      <c r="J565" s="15">
        <f t="shared" si="275"/>
        <v>0</v>
      </c>
      <c r="K565" s="3"/>
      <c r="L565" s="3"/>
      <c r="M565" s="3"/>
      <c r="N565" s="3"/>
      <c r="O565" s="3"/>
      <c r="P565" s="8"/>
      <c r="Q565" s="44"/>
      <c r="R565" s="35">
        <f t="shared" si="274"/>
        <v>0</v>
      </c>
      <c r="S565" s="13"/>
      <c r="T565" s="35"/>
      <c r="U565" s="37"/>
      <c r="V565" s="37">
        <f t="shared" si="276"/>
        <v>0</v>
      </c>
      <c r="W565" s="59">
        <f t="shared" si="271"/>
        <v>0</v>
      </c>
      <c r="X565" s="59">
        <f t="shared" si="272"/>
        <v>0</v>
      </c>
      <c r="Y565" s="59">
        <f t="shared" si="273"/>
        <v>0</v>
      </c>
      <c r="Z565" s="39"/>
      <c r="AA565" s="4"/>
      <c r="AB565" s="35"/>
      <c r="AC565" s="13"/>
      <c r="AD565" s="174"/>
      <c r="AE565" s="13"/>
      <c r="AF565" s="35"/>
      <c r="AG565" s="3">
        <f t="shared" si="277"/>
        <v>0</v>
      </c>
      <c r="AH565" s="13"/>
      <c r="AI565" s="36" t="e">
        <f>#REF!</f>
        <v>#REF!</v>
      </c>
      <c r="AJ565" s="36">
        <v>0</v>
      </c>
      <c r="AK565" s="36"/>
      <c r="AL565" s="47"/>
      <c r="AM565" s="153"/>
      <c r="AN565" s="63">
        <f t="shared" si="270"/>
        <v>0</v>
      </c>
      <c r="AO565" s="29"/>
      <c r="AP565" s="28"/>
      <c r="AQ565" s="64">
        <f t="shared" si="266"/>
        <v>0</v>
      </c>
      <c r="AR565" s="28"/>
      <c r="AS565" s="28"/>
      <c r="AT565" s="157">
        <f t="shared" si="278"/>
        <v>0</v>
      </c>
      <c r="AU565" s="28"/>
      <c r="AV565" s="28"/>
      <c r="AW565" s="109">
        <f t="shared" si="267"/>
        <v>0</v>
      </c>
      <c r="AX565" s="66">
        <f t="shared" si="268"/>
        <v>0</v>
      </c>
      <c r="AY565" s="66"/>
      <c r="AZ565" s="66">
        <f t="shared" si="269"/>
        <v>0</v>
      </c>
      <c r="BA565" s="30"/>
    </row>
    <row r="566" spans="1:53" ht="21.6" customHeight="1" x14ac:dyDescent="0.3">
      <c r="A566" s="2"/>
      <c r="B566" s="3"/>
      <c r="C566" s="3"/>
      <c r="D566" s="3"/>
      <c r="E566" s="3"/>
      <c r="F566" s="3"/>
      <c r="G566" s="150"/>
      <c r="H566" s="394"/>
      <c r="I566" s="50"/>
      <c r="J566" s="15">
        <f t="shared" si="275"/>
        <v>0</v>
      </c>
      <c r="K566" s="3"/>
      <c r="L566" s="3"/>
      <c r="M566" s="3"/>
      <c r="N566" s="3"/>
      <c r="O566" s="3"/>
      <c r="P566" s="8"/>
      <c r="Q566" s="44"/>
      <c r="R566" s="35">
        <f t="shared" si="274"/>
        <v>0</v>
      </c>
      <c r="S566" s="13"/>
      <c r="T566" s="35"/>
      <c r="U566" s="37"/>
      <c r="V566" s="37">
        <f t="shared" si="276"/>
        <v>0</v>
      </c>
      <c r="W566" s="59">
        <f t="shared" si="271"/>
        <v>0</v>
      </c>
      <c r="X566" s="59">
        <f t="shared" si="272"/>
        <v>0</v>
      </c>
      <c r="Y566" s="59">
        <f t="shared" si="273"/>
        <v>0</v>
      </c>
      <c r="Z566" s="39"/>
      <c r="AA566" s="4"/>
      <c r="AB566" s="35"/>
      <c r="AC566" s="13"/>
      <c r="AD566" s="174"/>
      <c r="AE566" s="13"/>
      <c r="AF566" s="35"/>
      <c r="AG566" s="3">
        <f t="shared" si="277"/>
        <v>0</v>
      </c>
      <c r="AH566" s="13"/>
      <c r="AI566" s="36" t="e">
        <f>#REF!</f>
        <v>#REF!</v>
      </c>
      <c r="AJ566" s="36">
        <v>0</v>
      </c>
      <c r="AK566" s="36"/>
      <c r="AL566" s="47"/>
      <c r="AM566" s="153"/>
      <c r="AN566" s="63">
        <f t="shared" si="270"/>
        <v>0</v>
      </c>
      <c r="AO566" s="29"/>
      <c r="AP566" s="28"/>
      <c r="AQ566" s="64">
        <f t="shared" si="266"/>
        <v>0</v>
      </c>
      <c r="AR566" s="28"/>
      <c r="AS566" s="28"/>
      <c r="AT566" s="157">
        <f t="shared" si="278"/>
        <v>0</v>
      </c>
      <c r="AU566" s="28"/>
      <c r="AV566" s="28"/>
      <c r="AW566" s="109">
        <f t="shared" si="267"/>
        <v>0</v>
      </c>
      <c r="AX566" s="66">
        <f t="shared" si="268"/>
        <v>0</v>
      </c>
      <c r="AY566" s="66"/>
      <c r="AZ566" s="66">
        <f t="shared" si="269"/>
        <v>0</v>
      </c>
      <c r="BA566" s="30"/>
    </row>
    <row r="567" spans="1:53" ht="21.6" customHeight="1" x14ac:dyDescent="0.3">
      <c r="A567" s="2"/>
      <c r="B567" s="3"/>
      <c r="C567" s="3"/>
      <c r="D567" s="3"/>
      <c r="E567" s="3"/>
      <c r="F567" s="3"/>
      <c r="G567" s="150"/>
      <c r="H567" s="394"/>
      <c r="I567" s="50"/>
      <c r="J567" s="15">
        <f t="shared" si="275"/>
        <v>0</v>
      </c>
      <c r="K567" s="3"/>
      <c r="L567" s="3"/>
      <c r="M567" s="3"/>
      <c r="N567" s="3"/>
      <c r="O567" s="3"/>
      <c r="P567" s="8"/>
      <c r="Q567" s="44"/>
      <c r="R567" s="35">
        <f t="shared" si="274"/>
        <v>0</v>
      </c>
      <c r="S567" s="13"/>
      <c r="T567" s="35"/>
      <c r="U567" s="37"/>
      <c r="V567" s="37">
        <f t="shared" si="276"/>
        <v>0</v>
      </c>
      <c r="W567" s="59">
        <f t="shared" si="271"/>
        <v>0</v>
      </c>
      <c r="X567" s="59">
        <f t="shared" si="272"/>
        <v>0</v>
      </c>
      <c r="Y567" s="59">
        <f t="shared" si="273"/>
        <v>0</v>
      </c>
      <c r="Z567" s="39"/>
      <c r="AA567" s="4"/>
      <c r="AB567" s="35"/>
      <c r="AC567" s="13"/>
      <c r="AD567" s="174"/>
      <c r="AE567" s="13"/>
      <c r="AF567" s="35"/>
      <c r="AG567" s="3">
        <f t="shared" si="277"/>
        <v>0</v>
      </c>
      <c r="AH567" s="13"/>
      <c r="AI567" s="36" t="e">
        <f>#REF!</f>
        <v>#REF!</v>
      </c>
      <c r="AJ567" s="36">
        <v>0</v>
      </c>
      <c r="AK567" s="36"/>
      <c r="AL567" s="47"/>
      <c r="AM567" s="153"/>
      <c r="AN567" s="63">
        <f t="shared" si="270"/>
        <v>0</v>
      </c>
      <c r="AO567" s="29"/>
      <c r="AP567" s="28"/>
      <c r="AQ567" s="64">
        <f t="shared" si="266"/>
        <v>0</v>
      </c>
      <c r="AR567" s="28"/>
      <c r="AS567" s="28"/>
      <c r="AT567" s="157">
        <f t="shared" si="278"/>
        <v>0</v>
      </c>
      <c r="AU567" s="28"/>
      <c r="AV567" s="28"/>
      <c r="AW567" s="109">
        <f t="shared" si="267"/>
        <v>0</v>
      </c>
      <c r="AX567" s="66">
        <f t="shared" si="268"/>
        <v>0</v>
      </c>
      <c r="AY567" s="66"/>
      <c r="AZ567" s="66">
        <f t="shared" si="269"/>
        <v>0</v>
      </c>
      <c r="BA567" s="30"/>
    </row>
    <row r="568" spans="1:53" ht="21.6" customHeight="1" x14ac:dyDescent="0.3">
      <c r="A568" s="2"/>
      <c r="B568" s="3"/>
      <c r="C568" s="3"/>
      <c r="D568" s="3"/>
      <c r="E568" s="3"/>
      <c r="F568" s="3"/>
      <c r="G568" s="150"/>
      <c r="H568" s="394"/>
      <c r="I568" s="50"/>
      <c r="J568" s="15">
        <f t="shared" si="275"/>
        <v>0</v>
      </c>
      <c r="K568" s="3"/>
      <c r="L568" s="3"/>
      <c r="M568" s="3"/>
      <c r="N568" s="3"/>
      <c r="O568" s="3"/>
      <c r="P568" s="8"/>
      <c r="Q568" s="44"/>
      <c r="R568" s="35">
        <f t="shared" si="274"/>
        <v>0</v>
      </c>
      <c r="S568" s="13"/>
      <c r="T568" s="35"/>
      <c r="U568" s="37"/>
      <c r="V568" s="37">
        <f t="shared" si="276"/>
        <v>0</v>
      </c>
      <c r="W568" s="59">
        <f t="shared" si="271"/>
        <v>0</v>
      </c>
      <c r="X568" s="59">
        <f t="shared" si="272"/>
        <v>0</v>
      </c>
      <c r="Y568" s="59">
        <f t="shared" si="273"/>
        <v>0</v>
      </c>
      <c r="Z568" s="39"/>
      <c r="AA568" s="4"/>
      <c r="AB568" s="35"/>
      <c r="AC568" s="13"/>
      <c r="AD568" s="174"/>
      <c r="AE568" s="13"/>
      <c r="AF568" s="35"/>
      <c r="AG568" s="3">
        <f t="shared" si="277"/>
        <v>0</v>
      </c>
      <c r="AH568" s="13"/>
      <c r="AI568" s="36" t="e">
        <f>#REF!</f>
        <v>#REF!</v>
      </c>
      <c r="AJ568" s="36">
        <v>0</v>
      </c>
      <c r="AK568" s="36"/>
      <c r="AL568" s="47"/>
      <c r="AM568" s="153"/>
      <c r="AN568" s="63">
        <f t="shared" si="270"/>
        <v>0</v>
      </c>
      <c r="AO568" s="29"/>
      <c r="AP568" s="28"/>
      <c r="AQ568" s="64">
        <f t="shared" si="266"/>
        <v>0</v>
      </c>
      <c r="AR568" s="28"/>
      <c r="AS568" s="28"/>
      <c r="AT568" s="157">
        <f t="shared" si="278"/>
        <v>0</v>
      </c>
      <c r="AU568" s="28"/>
      <c r="AV568" s="28"/>
      <c r="AW568" s="109">
        <f t="shared" si="267"/>
        <v>0</v>
      </c>
      <c r="AX568" s="66">
        <f t="shared" si="268"/>
        <v>0</v>
      </c>
      <c r="AY568" s="66"/>
      <c r="AZ568" s="66">
        <f t="shared" si="269"/>
        <v>0</v>
      </c>
      <c r="BA568" s="30"/>
    </row>
    <row r="569" spans="1:53" ht="21.6" customHeight="1" x14ac:dyDescent="0.3">
      <c r="A569" s="2"/>
      <c r="B569" s="3"/>
      <c r="C569" s="3"/>
      <c r="D569" s="3"/>
      <c r="E569" s="3"/>
      <c r="F569" s="3"/>
      <c r="G569" s="150"/>
      <c r="H569" s="394"/>
      <c r="I569" s="50"/>
      <c r="J569" s="15">
        <f t="shared" si="275"/>
        <v>0</v>
      </c>
      <c r="K569" s="3"/>
      <c r="L569" s="3"/>
      <c r="M569" s="3"/>
      <c r="N569" s="3"/>
      <c r="O569" s="3"/>
      <c r="P569" s="8"/>
      <c r="Q569" s="44"/>
      <c r="R569" s="35">
        <f t="shared" si="274"/>
        <v>0</v>
      </c>
      <c r="S569" s="13"/>
      <c r="T569" s="35"/>
      <c r="U569" s="37"/>
      <c r="V569" s="37">
        <f t="shared" si="276"/>
        <v>0</v>
      </c>
      <c r="W569" s="59">
        <f t="shared" si="271"/>
        <v>0</v>
      </c>
      <c r="X569" s="59">
        <f t="shared" si="272"/>
        <v>0</v>
      </c>
      <c r="Y569" s="59">
        <f t="shared" si="273"/>
        <v>0</v>
      </c>
      <c r="Z569" s="39"/>
      <c r="AA569" s="4"/>
      <c r="AB569" s="35"/>
      <c r="AC569" s="13"/>
      <c r="AD569" s="174"/>
      <c r="AE569" s="13"/>
      <c r="AF569" s="35"/>
      <c r="AG569" s="3">
        <f t="shared" si="277"/>
        <v>0</v>
      </c>
      <c r="AH569" s="13"/>
      <c r="AI569" s="36" t="e">
        <f>#REF!</f>
        <v>#REF!</v>
      </c>
      <c r="AJ569" s="36">
        <v>0</v>
      </c>
      <c r="AK569" s="36"/>
      <c r="AL569" s="47"/>
      <c r="AM569" s="153"/>
      <c r="AN569" s="63">
        <f t="shared" si="270"/>
        <v>0</v>
      </c>
      <c r="AO569" s="29"/>
      <c r="AP569" s="28"/>
      <c r="AQ569" s="64">
        <f t="shared" si="266"/>
        <v>0</v>
      </c>
      <c r="AR569" s="28"/>
      <c r="AS569" s="28"/>
      <c r="AT569" s="157">
        <f t="shared" si="278"/>
        <v>0</v>
      </c>
      <c r="AU569" s="28"/>
      <c r="AV569" s="28"/>
      <c r="AW569" s="109">
        <f t="shared" si="267"/>
        <v>0</v>
      </c>
      <c r="AX569" s="66">
        <f t="shared" si="268"/>
        <v>0</v>
      </c>
      <c r="AY569" s="66"/>
      <c r="AZ569" s="66">
        <f t="shared" si="269"/>
        <v>0</v>
      </c>
      <c r="BA569" s="30"/>
    </row>
    <row r="570" spans="1:53" ht="21.6" customHeight="1" x14ac:dyDescent="0.3">
      <c r="A570" s="2"/>
      <c r="B570" s="3"/>
      <c r="C570" s="3"/>
      <c r="D570" s="3"/>
      <c r="E570" s="3"/>
      <c r="F570" s="3"/>
      <c r="G570" s="150"/>
      <c r="H570" s="394"/>
      <c r="I570" s="50"/>
      <c r="J570" s="15">
        <f t="shared" si="275"/>
        <v>0</v>
      </c>
      <c r="K570" s="3"/>
      <c r="L570" s="3"/>
      <c r="M570" s="3"/>
      <c r="N570" s="3"/>
      <c r="O570" s="3"/>
      <c r="P570" s="8"/>
      <c r="Q570" s="44"/>
      <c r="R570" s="35">
        <f t="shared" si="274"/>
        <v>0</v>
      </c>
      <c r="S570" s="13"/>
      <c r="T570" s="35"/>
      <c r="U570" s="37"/>
      <c r="V570" s="37">
        <f t="shared" si="276"/>
        <v>0</v>
      </c>
      <c r="W570" s="59">
        <f t="shared" si="271"/>
        <v>0</v>
      </c>
      <c r="X570" s="59">
        <f t="shared" si="272"/>
        <v>0</v>
      </c>
      <c r="Y570" s="59">
        <f t="shared" si="273"/>
        <v>0</v>
      </c>
      <c r="Z570" s="39"/>
      <c r="AA570" s="4"/>
      <c r="AB570" s="35"/>
      <c r="AC570" s="13"/>
      <c r="AD570" s="174"/>
      <c r="AE570" s="13"/>
      <c r="AF570" s="35"/>
      <c r="AG570" s="3">
        <f t="shared" si="277"/>
        <v>0</v>
      </c>
      <c r="AH570" s="13"/>
      <c r="AI570" s="36" t="e">
        <f>#REF!</f>
        <v>#REF!</v>
      </c>
      <c r="AJ570" s="36">
        <v>0</v>
      </c>
      <c r="AK570" s="36"/>
      <c r="AL570" s="47"/>
      <c r="AM570" s="153"/>
      <c r="AN570" s="63">
        <f t="shared" si="270"/>
        <v>0</v>
      </c>
      <c r="AO570" s="29"/>
      <c r="AP570" s="28"/>
      <c r="AQ570" s="64">
        <f t="shared" si="266"/>
        <v>0</v>
      </c>
      <c r="AR570" s="28"/>
      <c r="AS570" s="28"/>
      <c r="AT570" s="157">
        <f t="shared" si="278"/>
        <v>0</v>
      </c>
      <c r="AU570" s="28"/>
      <c r="AV570" s="28"/>
      <c r="AW570" s="109">
        <f t="shared" si="267"/>
        <v>0</v>
      </c>
      <c r="AX570" s="66">
        <f t="shared" si="268"/>
        <v>0</v>
      </c>
      <c r="AY570" s="66"/>
      <c r="AZ570" s="66">
        <f t="shared" si="269"/>
        <v>0</v>
      </c>
      <c r="BA570" s="30"/>
    </row>
    <row r="571" spans="1:53" ht="21.6" customHeight="1" x14ac:dyDescent="0.3">
      <c r="A571" s="2"/>
      <c r="B571" s="3"/>
      <c r="C571" s="3"/>
      <c r="D571" s="3"/>
      <c r="E571" s="3"/>
      <c r="F571" s="3"/>
      <c r="G571" s="150"/>
      <c r="H571" s="394"/>
      <c r="I571" s="50"/>
      <c r="J571" s="15">
        <f t="shared" si="275"/>
        <v>0</v>
      </c>
      <c r="K571" s="3"/>
      <c r="L571" s="3"/>
      <c r="M571" s="3"/>
      <c r="N571" s="3"/>
      <c r="O571" s="3"/>
      <c r="P571" s="8"/>
      <c r="Q571" s="44"/>
      <c r="R571" s="35">
        <f t="shared" si="274"/>
        <v>0</v>
      </c>
      <c r="S571" s="13"/>
      <c r="T571" s="35"/>
      <c r="U571" s="37"/>
      <c r="V571" s="37">
        <f t="shared" si="276"/>
        <v>0</v>
      </c>
      <c r="W571" s="59">
        <f t="shared" si="271"/>
        <v>0</v>
      </c>
      <c r="X571" s="59">
        <f t="shared" si="272"/>
        <v>0</v>
      </c>
      <c r="Y571" s="59">
        <f t="shared" si="273"/>
        <v>0</v>
      </c>
      <c r="Z571" s="39"/>
      <c r="AA571" s="4"/>
      <c r="AB571" s="35"/>
      <c r="AC571" s="13"/>
      <c r="AD571" s="174"/>
      <c r="AE571" s="13"/>
      <c r="AF571" s="35"/>
      <c r="AG571" s="3">
        <f t="shared" si="277"/>
        <v>0</v>
      </c>
      <c r="AH571" s="13"/>
      <c r="AI571" s="36" t="e">
        <f>#REF!</f>
        <v>#REF!</v>
      </c>
      <c r="AJ571" s="36">
        <v>0</v>
      </c>
      <c r="AK571" s="36"/>
      <c r="AL571" s="47"/>
      <c r="AM571" s="153"/>
      <c r="AN571" s="63">
        <f t="shared" si="270"/>
        <v>0</v>
      </c>
      <c r="AO571" s="29"/>
      <c r="AP571" s="28"/>
      <c r="AQ571" s="64">
        <f t="shared" si="266"/>
        <v>0</v>
      </c>
      <c r="AR571" s="28"/>
      <c r="AS571" s="28"/>
      <c r="AT571" s="157">
        <f t="shared" si="278"/>
        <v>0</v>
      </c>
      <c r="AU571" s="28"/>
      <c r="AV571" s="28"/>
      <c r="AW571" s="109">
        <f t="shared" si="267"/>
        <v>0</v>
      </c>
      <c r="AX571" s="66">
        <f t="shared" si="268"/>
        <v>0</v>
      </c>
      <c r="AY571" s="66"/>
      <c r="AZ571" s="66">
        <f t="shared" si="269"/>
        <v>0</v>
      </c>
      <c r="BA571" s="30"/>
    </row>
    <row r="572" spans="1:53" ht="21.6" customHeight="1" x14ac:dyDescent="0.3">
      <c r="A572" s="2"/>
      <c r="B572" s="3"/>
      <c r="C572" s="3"/>
      <c r="D572" s="3"/>
      <c r="E572" s="3"/>
      <c r="F572" s="3"/>
      <c r="G572" s="150"/>
      <c r="H572" s="394"/>
      <c r="I572" s="50"/>
      <c r="J572" s="15">
        <f t="shared" si="275"/>
        <v>0</v>
      </c>
      <c r="K572" s="3"/>
      <c r="L572" s="3"/>
      <c r="M572" s="3"/>
      <c r="N572" s="3"/>
      <c r="O572" s="3"/>
      <c r="P572" s="8"/>
      <c r="Q572" s="44"/>
      <c r="R572" s="35">
        <f t="shared" si="274"/>
        <v>0</v>
      </c>
      <c r="S572" s="13"/>
      <c r="T572" s="35"/>
      <c r="U572" s="37"/>
      <c r="V572" s="37">
        <f t="shared" si="276"/>
        <v>0</v>
      </c>
      <c r="W572" s="59">
        <f t="shared" si="271"/>
        <v>0</v>
      </c>
      <c r="X572" s="59">
        <f t="shared" si="272"/>
        <v>0</v>
      </c>
      <c r="Y572" s="59">
        <f t="shared" si="273"/>
        <v>0</v>
      </c>
      <c r="Z572" s="39"/>
      <c r="AA572" s="4"/>
      <c r="AB572" s="35"/>
      <c r="AC572" s="13"/>
      <c r="AD572" s="174"/>
      <c r="AE572" s="13"/>
      <c r="AF572" s="35"/>
      <c r="AG572" s="3">
        <f t="shared" si="277"/>
        <v>0</v>
      </c>
      <c r="AH572" s="13"/>
      <c r="AI572" s="36" t="e">
        <f>#REF!</f>
        <v>#REF!</v>
      </c>
      <c r="AJ572" s="36">
        <v>0</v>
      </c>
      <c r="AK572" s="36"/>
      <c r="AL572" s="47"/>
      <c r="AM572" s="153"/>
      <c r="AN572" s="63">
        <f t="shared" si="270"/>
        <v>0</v>
      </c>
      <c r="AO572" s="29"/>
      <c r="AP572" s="28"/>
      <c r="AQ572" s="64">
        <f t="shared" si="266"/>
        <v>0</v>
      </c>
      <c r="AR572" s="28"/>
      <c r="AS572" s="28"/>
      <c r="AT572" s="157">
        <f t="shared" si="278"/>
        <v>0</v>
      </c>
      <c r="AU572" s="28"/>
      <c r="AV572" s="28"/>
      <c r="AW572" s="109">
        <f t="shared" si="267"/>
        <v>0</v>
      </c>
      <c r="AX572" s="66">
        <f t="shared" si="268"/>
        <v>0</v>
      </c>
      <c r="AY572" s="66"/>
      <c r="AZ572" s="66">
        <f t="shared" si="269"/>
        <v>0</v>
      </c>
      <c r="BA572" s="30"/>
    </row>
    <row r="573" spans="1:53" ht="21.6" customHeight="1" x14ac:dyDescent="0.3">
      <c r="A573" s="2"/>
      <c r="B573" s="3"/>
      <c r="C573" s="3"/>
      <c r="D573" s="3"/>
      <c r="E573" s="3"/>
      <c r="F573" s="3"/>
      <c r="G573" s="150"/>
      <c r="H573" s="394"/>
      <c r="I573" s="50"/>
      <c r="J573" s="15">
        <f t="shared" si="275"/>
        <v>0</v>
      </c>
      <c r="K573" s="3"/>
      <c r="L573" s="3"/>
      <c r="M573" s="3"/>
      <c r="N573" s="3"/>
      <c r="O573" s="3"/>
      <c r="P573" s="8"/>
      <c r="Q573" s="44"/>
      <c r="R573" s="35">
        <f t="shared" si="274"/>
        <v>0</v>
      </c>
      <c r="S573" s="13"/>
      <c r="T573" s="35"/>
      <c r="U573" s="37"/>
      <c r="V573" s="37">
        <f t="shared" si="276"/>
        <v>0</v>
      </c>
      <c r="W573" s="59">
        <f t="shared" si="271"/>
        <v>0</v>
      </c>
      <c r="X573" s="59">
        <f t="shared" si="272"/>
        <v>0</v>
      </c>
      <c r="Y573" s="59">
        <f t="shared" si="273"/>
        <v>0</v>
      </c>
      <c r="Z573" s="39"/>
      <c r="AA573" s="4"/>
      <c r="AB573" s="35"/>
      <c r="AC573" s="13"/>
      <c r="AD573" s="174"/>
      <c r="AE573" s="13"/>
      <c r="AF573" s="35"/>
      <c r="AG573" s="3">
        <f t="shared" si="277"/>
        <v>0</v>
      </c>
      <c r="AH573" s="13"/>
      <c r="AI573" s="36" t="e">
        <f>#REF!</f>
        <v>#REF!</v>
      </c>
      <c r="AJ573" s="36">
        <v>0</v>
      </c>
      <c r="AK573" s="36"/>
      <c r="AL573" s="47"/>
      <c r="AM573" s="153"/>
      <c r="AN573" s="63">
        <f t="shared" si="270"/>
        <v>0</v>
      </c>
      <c r="AO573" s="29"/>
      <c r="AP573" s="28"/>
      <c r="AQ573" s="64">
        <f t="shared" si="266"/>
        <v>0</v>
      </c>
      <c r="AR573" s="28"/>
      <c r="AS573" s="28"/>
      <c r="AT573" s="157">
        <f t="shared" si="278"/>
        <v>0</v>
      </c>
      <c r="AU573" s="28"/>
      <c r="AV573" s="28"/>
      <c r="AW573" s="109">
        <f t="shared" si="267"/>
        <v>0</v>
      </c>
      <c r="AX573" s="66">
        <f t="shared" si="268"/>
        <v>0</v>
      </c>
      <c r="AY573" s="66"/>
      <c r="AZ573" s="66">
        <f t="shared" si="269"/>
        <v>0</v>
      </c>
      <c r="BA573" s="30"/>
    </row>
    <row r="574" spans="1:53" ht="21.6" customHeight="1" x14ac:dyDescent="0.3">
      <c r="A574" s="2"/>
      <c r="B574" s="3"/>
      <c r="C574" s="3"/>
      <c r="D574" s="3"/>
      <c r="E574" s="3"/>
      <c r="F574" s="3"/>
      <c r="G574" s="150"/>
      <c r="H574" s="394"/>
      <c r="I574" s="50"/>
      <c r="J574" s="15">
        <f t="shared" si="275"/>
        <v>0</v>
      </c>
      <c r="K574" s="3"/>
      <c r="L574" s="3"/>
      <c r="M574" s="3"/>
      <c r="N574" s="3"/>
      <c r="O574" s="3"/>
      <c r="P574" s="8"/>
      <c r="Q574" s="44"/>
      <c r="R574" s="35">
        <f t="shared" si="274"/>
        <v>0</v>
      </c>
      <c r="S574" s="13"/>
      <c r="T574" s="35"/>
      <c r="U574" s="37"/>
      <c r="V574" s="37">
        <f t="shared" si="276"/>
        <v>0</v>
      </c>
      <c r="W574" s="59">
        <f t="shared" si="271"/>
        <v>0</v>
      </c>
      <c r="X574" s="59">
        <f t="shared" si="272"/>
        <v>0</v>
      </c>
      <c r="Y574" s="59">
        <f t="shared" si="273"/>
        <v>0</v>
      </c>
      <c r="Z574" s="39"/>
      <c r="AA574" s="4"/>
      <c r="AB574" s="35"/>
      <c r="AC574" s="13"/>
      <c r="AD574" s="174"/>
      <c r="AE574" s="13"/>
      <c r="AF574" s="35"/>
      <c r="AG574" s="3">
        <f t="shared" si="277"/>
        <v>0</v>
      </c>
      <c r="AH574" s="13"/>
      <c r="AI574" s="36" t="e">
        <f>#REF!</f>
        <v>#REF!</v>
      </c>
      <c r="AJ574" s="36">
        <v>0</v>
      </c>
      <c r="AK574" s="36"/>
      <c r="AL574" s="47"/>
      <c r="AM574" s="153"/>
      <c r="AN574" s="63">
        <f t="shared" si="270"/>
        <v>0</v>
      </c>
      <c r="AO574" s="29"/>
      <c r="AP574" s="28"/>
      <c r="AQ574" s="64">
        <f t="shared" ref="AQ574:AQ626" si="279">AM574</f>
        <v>0</v>
      </c>
      <c r="AR574" s="28"/>
      <c r="AS574" s="28"/>
      <c r="AT574" s="157">
        <f t="shared" si="278"/>
        <v>0</v>
      </c>
      <c r="AU574" s="28"/>
      <c r="AV574" s="28"/>
      <c r="AW574" s="109">
        <f t="shared" ref="AW574:AW626" si="280">AC574</f>
        <v>0</v>
      </c>
      <c r="AX574" s="66">
        <f t="shared" ref="AX574:AX626" si="281">Z574</f>
        <v>0</v>
      </c>
      <c r="AY574" s="66"/>
      <c r="AZ574" s="66">
        <f t="shared" ref="AZ574:AZ626" si="282">AJ574</f>
        <v>0</v>
      </c>
      <c r="BA574" s="30"/>
    </row>
    <row r="575" spans="1:53" ht="21.6" customHeight="1" x14ac:dyDescent="0.3">
      <c r="A575" s="2"/>
      <c r="B575" s="3"/>
      <c r="C575" s="3"/>
      <c r="D575" s="3"/>
      <c r="E575" s="3"/>
      <c r="F575" s="3"/>
      <c r="G575" s="150"/>
      <c r="H575" s="394"/>
      <c r="I575" s="50"/>
      <c r="J575" s="15">
        <f t="shared" si="275"/>
        <v>0</v>
      </c>
      <c r="K575" s="3"/>
      <c r="L575" s="3"/>
      <c r="M575" s="3"/>
      <c r="N575" s="3"/>
      <c r="O575" s="3"/>
      <c r="P575" s="8"/>
      <c r="Q575" s="44"/>
      <c r="R575" s="35">
        <f t="shared" si="274"/>
        <v>0</v>
      </c>
      <c r="S575" s="13"/>
      <c r="T575" s="35"/>
      <c r="U575" s="37"/>
      <c r="V575" s="37">
        <f t="shared" si="276"/>
        <v>0</v>
      </c>
      <c r="W575" s="59">
        <f t="shared" si="271"/>
        <v>0</v>
      </c>
      <c r="X575" s="59">
        <f t="shared" si="272"/>
        <v>0</v>
      </c>
      <c r="Y575" s="59">
        <f t="shared" si="273"/>
        <v>0</v>
      </c>
      <c r="Z575" s="39"/>
      <c r="AA575" s="4"/>
      <c r="AB575" s="35"/>
      <c r="AC575" s="13"/>
      <c r="AD575" s="174"/>
      <c r="AE575" s="13"/>
      <c r="AF575" s="35"/>
      <c r="AG575" s="3">
        <f t="shared" si="277"/>
        <v>0</v>
      </c>
      <c r="AH575" s="13"/>
      <c r="AI575" s="36" t="e">
        <f>#REF!</f>
        <v>#REF!</v>
      </c>
      <c r="AJ575" s="36">
        <v>0</v>
      </c>
      <c r="AK575" s="36"/>
      <c r="AL575" s="47"/>
      <c r="AM575" s="153"/>
      <c r="AN575" s="63">
        <f t="shared" ref="AN575:AN626" si="283">AM575-AF575</f>
        <v>0</v>
      </c>
      <c r="AO575" s="29"/>
      <c r="AP575" s="28"/>
      <c r="AQ575" s="64">
        <f t="shared" si="279"/>
        <v>0</v>
      </c>
      <c r="AR575" s="28"/>
      <c r="AS575" s="28"/>
      <c r="AT575" s="157">
        <f t="shared" si="278"/>
        <v>0</v>
      </c>
      <c r="AU575" s="28"/>
      <c r="AV575" s="28"/>
      <c r="AW575" s="109">
        <f t="shared" si="280"/>
        <v>0</v>
      </c>
      <c r="AX575" s="66">
        <f t="shared" si="281"/>
        <v>0</v>
      </c>
      <c r="AY575" s="66"/>
      <c r="AZ575" s="66">
        <f t="shared" si="282"/>
        <v>0</v>
      </c>
      <c r="BA575" s="30"/>
    </row>
    <row r="576" spans="1:53" ht="21.6" customHeight="1" x14ac:dyDescent="0.3">
      <c r="A576" s="2"/>
      <c r="B576" s="3"/>
      <c r="C576" s="3"/>
      <c r="D576" s="3"/>
      <c r="E576" s="3"/>
      <c r="F576" s="3"/>
      <c r="G576" s="150"/>
      <c r="H576" s="394"/>
      <c r="I576" s="50"/>
      <c r="J576" s="15">
        <f t="shared" si="275"/>
        <v>0</v>
      </c>
      <c r="K576" s="3"/>
      <c r="L576" s="3"/>
      <c r="M576" s="3"/>
      <c r="N576" s="3"/>
      <c r="O576" s="3"/>
      <c r="P576" s="8"/>
      <c r="Q576" s="44"/>
      <c r="R576" s="35">
        <f t="shared" si="274"/>
        <v>0</v>
      </c>
      <c r="S576" s="13"/>
      <c r="T576" s="35"/>
      <c r="U576" s="37"/>
      <c r="V576" s="37">
        <f t="shared" si="276"/>
        <v>0</v>
      </c>
      <c r="W576" s="59">
        <f t="shared" ref="W576:W626" si="284">V576-R576</f>
        <v>0</v>
      </c>
      <c r="X576" s="59">
        <f t="shared" ref="X576:X626" si="285">U576-R576</f>
        <v>0</v>
      </c>
      <c r="Y576" s="59">
        <f t="shared" ref="Y576:Y626" si="286">W576-X576</f>
        <v>0</v>
      </c>
      <c r="Z576" s="39"/>
      <c r="AA576" s="4"/>
      <c r="AB576" s="35"/>
      <c r="AC576" s="13"/>
      <c r="AD576" s="174"/>
      <c r="AE576" s="13"/>
      <c r="AF576" s="35"/>
      <c r="AG576" s="3">
        <f t="shared" si="277"/>
        <v>0</v>
      </c>
      <c r="AH576" s="13"/>
      <c r="AI576" s="36" t="e">
        <f>#REF!</f>
        <v>#REF!</v>
      </c>
      <c r="AJ576" s="36">
        <v>0</v>
      </c>
      <c r="AK576" s="36"/>
      <c r="AL576" s="47"/>
      <c r="AM576" s="153"/>
      <c r="AN576" s="63">
        <f t="shared" si="283"/>
        <v>0</v>
      </c>
      <c r="AO576" s="29"/>
      <c r="AP576" s="28"/>
      <c r="AQ576" s="64">
        <f t="shared" si="279"/>
        <v>0</v>
      </c>
      <c r="AR576" s="28"/>
      <c r="AS576" s="28"/>
      <c r="AT576" s="157">
        <f t="shared" si="278"/>
        <v>0</v>
      </c>
      <c r="AU576" s="28"/>
      <c r="AV576" s="28"/>
      <c r="AW576" s="109">
        <f t="shared" si="280"/>
        <v>0</v>
      </c>
      <c r="AX576" s="66">
        <f t="shared" si="281"/>
        <v>0</v>
      </c>
      <c r="AY576" s="66"/>
      <c r="AZ576" s="66">
        <f t="shared" si="282"/>
        <v>0</v>
      </c>
      <c r="BA576" s="30"/>
    </row>
    <row r="577" spans="1:53" ht="21.6" customHeight="1" x14ac:dyDescent="0.3">
      <c r="A577" s="2"/>
      <c r="B577" s="3"/>
      <c r="C577" s="3"/>
      <c r="D577" s="3"/>
      <c r="E577" s="3"/>
      <c r="F577" s="3"/>
      <c r="G577" s="150"/>
      <c r="H577" s="394"/>
      <c r="I577" s="50"/>
      <c r="J577" s="15">
        <f t="shared" si="275"/>
        <v>0</v>
      </c>
      <c r="K577" s="3"/>
      <c r="L577" s="3"/>
      <c r="M577" s="3"/>
      <c r="N577" s="3"/>
      <c r="O577" s="3"/>
      <c r="P577" s="8"/>
      <c r="Q577" s="44"/>
      <c r="R577" s="35">
        <f t="shared" si="274"/>
        <v>0</v>
      </c>
      <c r="S577" s="13"/>
      <c r="T577" s="35"/>
      <c r="U577" s="37"/>
      <c r="V577" s="37">
        <f t="shared" si="276"/>
        <v>0</v>
      </c>
      <c r="W577" s="59">
        <f t="shared" si="284"/>
        <v>0</v>
      </c>
      <c r="X577" s="59">
        <f t="shared" si="285"/>
        <v>0</v>
      </c>
      <c r="Y577" s="59">
        <f t="shared" si="286"/>
        <v>0</v>
      </c>
      <c r="Z577" s="39"/>
      <c r="AA577" s="4"/>
      <c r="AB577" s="35"/>
      <c r="AC577" s="13"/>
      <c r="AD577" s="174"/>
      <c r="AE577" s="13"/>
      <c r="AF577" s="35"/>
      <c r="AG577" s="3">
        <f t="shared" si="277"/>
        <v>0</v>
      </c>
      <c r="AH577" s="13"/>
      <c r="AI577" s="36" t="e">
        <f>#REF!</f>
        <v>#REF!</v>
      </c>
      <c r="AJ577" s="36">
        <v>0</v>
      </c>
      <c r="AK577" s="36"/>
      <c r="AL577" s="47"/>
      <c r="AM577" s="153"/>
      <c r="AN577" s="63">
        <f t="shared" si="283"/>
        <v>0</v>
      </c>
      <c r="AO577" s="29"/>
      <c r="AP577" s="28"/>
      <c r="AQ577" s="64">
        <f t="shared" si="279"/>
        <v>0</v>
      </c>
      <c r="AR577" s="28"/>
      <c r="AS577" s="28"/>
      <c r="AT577" s="157">
        <f t="shared" si="278"/>
        <v>0</v>
      </c>
      <c r="AU577" s="28"/>
      <c r="AV577" s="28"/>
      <c r="AW577" s="109">
        <f t="shared" si="280"/>
        <v>0</v>
      </c>
      <c r="AX577" s="66">
        <f t="shared" si="281"/>
        <v>0</v>
      </c>
      <c r="AY577" s="66"/>
      <c r="AZ577" s="66">
        <f t="shared" si="282"/>
        <v>0</v>
      </c>
      <c r="BA577" s="30"/>
    </row>
    <row r="578" spans="1:53" ht="21.6" customHeight="1" x14ac:dyDescent="0.3">
      <c r="A578" s="2"/>
      <c r="B578" s="3"/>
      <c r="C578" s="3"/>
      <c r="D578" s="3"/>
      <c r="E578" s="3"/>
      <c r="F578" s="3"/>
      <c r="G578" s="150"/>
      <c r="H578" s="394"/>
      <c r="I578" s="50"/>
      <c r="J578" s="15">
        <f t="shared" si="275"/>
        <v>0</v>
      </c>
      <c r="K578" s="3"/>
      <c r="L578" s="3"/>
      <c r="M578" s="3"/>
      <c r="N578" s="3"/>
      <c r="O578" s="3"/>
      <c r="P578" s="8"/>
      <c r="Q578" s="44"/>
      <c r="R578" s="35">
        <f t="shared" si="274"/>
        <v>0</v>
      </c>
      <c r="S578" s="13"/>
      <c r="T578" s="35"/>
      <c r="U578" s="37"/>
      <c r="V578" s="37">
        <f t="shared" si="276"/>
        <v>0</v>
      </c>
      <c r="W578" s="59">
        <f t="shared" si="284"/>
        <v>0</v>
      </c>
      <c r="X578" s="59">
        <f t="shared" si="285"/>
        <v>0</v>
      </c>
      <c r="Y578" s="59">
        <f t="shared" si="286"/>
        <v>0</v>
      </c>
      <c r="Z578" s="39"/>
      <c r="AA578" s="4"/>
      <c r="AB578" s="35"/>
      <c r="AC578" s="13"/>
      <c r="AD578" s="174"/>
      <c r="AE578" s="13"/>
      <c r="AF578" s="35"/>
      <c r="AG578" s="3">
        <f t="shared" si="277"/>
        <v>0</v>
      </c>
      <c r="AH578" s="13"/>
      <c r="AI578" s="36" t="e">
        <f>#REF!</f>
        <v>#REF!</v>
      </c>
      <c r="AJ578" s="36">
        <v>0</v>
      </c>
      <c r="AK578" s="36"/>
      <c r="AL578" s="47"/>
      <c r="AM578" s="153"/>
      <c r="AN578" s="63">
        <f t="shared" si="283"/>
        <v>0</v>
      </c>
      <c r="AO578" s="29"/>
      <c r="AP578" s="28"/>
      <c r="AQ578" s="64">
        <f t="shared" si="279"/>
        <v>0</v>
      </c>
      <c r="AR578" s="28"/>
      <c r="AS578" s="28"/>
      <c r="AT578" s="157">
        <f t="shared" si="278"/>
        <v>0</v>
      </c>
      <c r="AU578" s="28"/>
      <c r="AV578" s="28"/>
      <c r="AW578" s="109">
        <f t="shared" si="280"/>
        <v>0</v>
      </c>
      <c r="AX578" s="66">
        <f t="shared" si="281"/>
        <v>0</v>
      </c>
      <c r="AY578" s="66"/>
      <c r="AZ578" s="66">
        <f t="shared" si="282"/>
        <v>0</v>
      </c>
      <c r="BA578" s="30"/>
    </row>
    <row r="579" spans="1:53" ht="21.6" customHeight="1" x14ac:dyDescent="0.3">
      <c r="A579" s="2"/>
      <c r="B579" s="3"/>
      <c r="C579" s="3"/>
      <c r="D579" s="3"/>
      <c r="E579" s="3"/>
      <c r="F579" s="3"/>
      <c r="G579" s="150"/>
      <c r="H579" s="394"/>
      <c r="I579" s="50"/>
      <c r="J579" s="15">
        <f t="shared" si="275"/>
        <v>0</v>
      </c>
      <c r="K579" s="3"/>
      <c r="L579" s="3"/>
      <c r="M579" s="3"/>
      <c r="N579" s="3"/>
      <c r="O579" s="3"/>
      <c r="P579" s="8"/>
      <c r="Q579" s="44"/>
      <c r="R579" s="35">
        <f t="shared" si="274"/>
        <v>0</v>
      </c>
      <c r="S579" s="13"/>
      <c r="T579" s="35"/>
      <c r="U579" s="37"/>
      <c r="V579" s="37">
        <f t="shared" si="276"/>
        <v>0</v>
      </c>
      <c r="W579" s="59">
        <f t="shared" si="284"/>
        <v>0</v>
      </c>
      <c r="X579" s="59">
        <f t="shared" si="285"/>
        <v>0</v>
      </c>
      <c r="Y579" s="59">
        <f t="shared" si="286"/>
        <v>0</v>
      </c>
      <c r="Z579" s="39"/>
      <c r="AA579" s="4"/>
      <c r="AB579" s="35"/>
      <c r="AC579" s="13"/>
      <c r="AD579" s="174"/>
      <c r="AE579" s="13"/>
      <c r="AF579" s="35"/>
      <c r="AG579" s="3">
        <f t="shared" si="277"/>
        <v>0</v>
      </c>
      <c r="AH579" s="13"/>
      <c r="AI579" s="36" t="e">
        <f>#REF!</f>
        <v>#REF!</v>
      </c>
      <c r="AJ579" s="36">
        <v>0</v>
      </c>
      <c r="AK579" s="36"/>
      <c r="AL579" s="47"/>
      <c r="AM579" s="153"/>
      <c r="AN579" s="63">
        <f t="shared" si="283"/>
        <v>0</v>
      </c>
      <c r="AO579" s="29"/>
      <c r="AP579" s="28"/>
      <c r="AQ579" s="64">
        <f t="shared" si="279"/>
        <v>0</v>
      </c>
      <c r="AR579" s="28"/>
      <c r="AS579" s="28"/>
      <c r="AT579" s="157">
        <f t="shared" si="278"/>
        <v>0</v>
      </c>
      <c r="AU579" s="28"/>
      <c r="AV579" s="28"/>
      <c r="AW579" s="109">
        <f t="shared" si="280"/>
        <v>0</v>
      </c>
      <c r="AX579" s="66">
        <f t="shared" si="281"/>
        <v>0</v>
      </c>
      <c r="AY579" s="66"/>
      <c r="AZ579" s="66">
        <f t="shared" si="282"/>
        <v>0</v>
      </c>
      <c r="BA579" s="30"/>
    </row>
    <row r="580" spans="1:53" ht="21.6" customHeight="1" x14ac:dyDescent="0.3">
      <c r="A580" s="2"/>
      <c r="B580" s="3"/>
      <c r="C580" s="3"/>
      <c r="D580" s="3"/>
      <c r="E580" s="3"/>
      <c r="F580" s="3"/>
      <c r="G580" s="150"/>
      <c r="H580" s="394"/>
      <c r="I580" s="50"/>
      <c r="J580" s="15">
        <f t="shared" si="275"/>
        <v>0</v>
      </c>
      <c r="K580" s="3"/>
      <c r="L580" s="3"/>
      <c r="M580" s="3"/>
      <c r="N580" s="3"/>
      <c r="O580" s="3"/>
      <c r="P580" s="8"/>
      <c r="Q580" s="44"/>
      <c r="R580" s="35">
        <f t="shared" si="274"/>
        <v>0</v>
      </c>
      <c r="S580" s="13"/>
      <c r="T580" s="35"/>
      <c r="U580" s="37"/>
      <c r="V580" s="37">
        <f t="shared" si="276"/>
        <v>0</v>
      </c>
      <c r="W580" s="59">
        <f t="shared" si="284"/>
        <v>0</v>
      </c>
      <c r="X580" s="59">
        <f t="shared" si="285"/>
        <v>0</v>
      </c>
      <c r="Y580" s="59">
        <f t="shared" si="286"/>
        <v>0</v>
      </c>
      <c r="Z580" s="39"/>
      <c r="AA580" s="4"/>
      <c r="AB580" s="35"/>
      <c r="AC580" s="13"/>
      <c r="AD580" s="174"/>
      <c r="AE580" s="13"/>
      <c r="AF580" s="35"/>
      <c r="AG580" s="3">
        <f t="shared" si="277"/>
        <v>0</v>
      </c>
      <c r="AH580" s="13"/>
      <c r="AI580" s="36" t="e">
        <f>#REF!</f>
        <v>#REF!</v>
      </c>
      <c r="AJ580" s="36">
        <v>0</v>
      </c>
      <c r="AK580" s="36"/>
      <c r="AL580" s="47"/>
      <c r="AM580" s="153"/>
      <c r="AN580" s="63">
        <f t="shared" si="283"/>
        <v>0</v>
      </c>
      <c r="AO580" s="29"/>
      <c r="AP580" s="28"/>
      <c r="AQ580" s="64">
        <f t="shared" si="279"/>
        <v>0</v>
      </c>
      <c r="AR580" s="28"/>
      <c r="AS580" s="28"/>
      <c r="AT580" s="157">
        <f t="shared" si="278"/>
        <v>0</v>
      </c>
      <c r="AU580" s="28"/>
      <c r="AV580" s="28"/>
      <c r="AW580" s="109">
        <f t="shared" si="280"/>
        <v>0</v>
      </c>
      <c r="AX580" s="66">
        <f t="shared" si="281"/>
        <v>0</v>
      </c>
      <c r="AY580" s="66"/>
      <c r="AZ580" s="66">
        <f t="shared" si="282"/>
        <v>0</v>
      </c>
      <c r="BA580" s="30"/>
    </row>
    <row r="581" spans="1:53" ht="21.6" customHeight="1" x14ac:dyDescent="0.3">
      <c r="A581" s="2"/>
      <c r="B581" s="3"/>
      <c r="C581" s="3"/>
      <c r="D581" s="3"/>
      <c r="E581" s="3"/>
      <c r="F581" s="3"/>
      <c r="G581" s="150"/>
      <c r="H581" s="394"/>
      <c r="I581" s="50"/>
      <c r="J581" s="15">
        <f t="shared" si="275"/>
        <v>0</v>
      </c>
      <c r="K581" s="3"/>
      <c r="L581" s="3"/>
      <c r="M581" s="3"/>
      <c r="N581" s="3"/>
      <c r="O581" s="3"/>
      <c r="P581" s="8"/>
      <c r="Q581" s="44"/>
      <c r="R581" s="35">
        <f t="shared" si="274"/>
        <v>0</v>
      </c>
      <c r="S581" s="13"/>
      <c r="T581" s="35"/>
      <c r="U581" s="37"/>
      <c r="V581" s="37">
        <f t="shared" si="276"/>
        <v>0</v>
      </c>
      <c r="W581" s="59">
        <f t="shared" si="284"/>
        <v>0</v>
      </c>
      <c r="X581" s="59">
        <f t="shared" si="285"/>
        <v>0</v>
      </c>
      <c r="Y581" s="59">
        <f t="shared" si="286"/>
        <v>0</v>
      </c>
      <c r="Z581" s="39"/>
      <c r="AA581" s="4"/>
      <c r="AB581" s="35"/>
      <c r="AC581" s="13"/>
      <c r="AD581" s="174"/>
      <c r="AE581" s="13"/>
      <c r="AF581" s="35"/>
      <c r="AG581" s="3">
        <f t="shared" si="277"/>
        <v>0</v>
      </c>
      <c r="AH581" s="13"/>
      <c r="AI581" s="36" t="e">
        <f>#REF!</f>
        <v>#REF!</v>
      </c>
      <c r="AJ581" s="36">
        <v>0</v>
      </c>
      <c r="AK581" s="36"/>
      <c r="AL581" s="47"/>
      <c r="AM581" s="153"/>
      <c r="AN581" s="63">
        <f t="shared" si="283"/>
        <v>0</v>
      </c>
      <c r="AO581" s="29"/>
      <c r="AP581" s="28"/>
      <c r="AQ581" s="64">
        <f t="shared" si="279"/>
        <v>0</v>
      </c>
      <c r="AR581" s="28"/>
      <c r="AS581" s="28"/>
      <c r="AT581" s="157">
        <f t="shared" si="278"/>
        <v>0</v>
      </c>
      <c r="AU581" s="28"/>
      <c r="AV581" s="28"/>
      <c r="AW581" s="109">
        <f t="shared" si="280"/>
        <v>0</v>
      </c>
      <c r="AX581" s="66">
        <f t="shared" si="281"/>
        <v>0</v>
      </c>
      <c r="AY581" s="66"/>
      <c r="AZ581" s="66">
        <f t="shared" si="282"/>
        <v>0</v>
      </c>
      <c r="BA581" s="30"/>
    </row>
    <row r="582" spans="1:53" ht="21.6" customHeight="1" x14ac:dyDescent="0.3">
      <c r="A582" s="2"/>
      <c r="B582" s="3"/>
      <c r="C582" s="3"/>
      <c r="D582" s="3"/>
      <c r="E582" s="3"/>
      <c r="F582" s="3"/>
      <c r="G582" s="150"/>
      <c r="H582" s="394"/>
      <c r="I582" s="50"/>
      <c r="J582" s="15">
        <f t="shared" si="275"/>
        <v>0</v>
      </c>
      <c r="K582" s="3"/>
      <c r="L582" s="3"/>
      <c r="M582" s="3"/>
      <c r="N582" s="3"/>
      <c r="O582" s="3"/>
      <c r="P582" s="8"/>
      <c r="Q582" s="44"/>
      <c r="R582" s="35">
        <f t="shared" si="274"/>
        <v>0</v>
      </c>
      <c r="S582" s="13"/>
      <c r="T582" s="35"/>
      <c r="U582" s="37"/>
      <c r="V582" s="37">
        <f t="shared" si="276"/>
        <v>0</v>
      </c>
      <c r="W582" s="59">
        <f t="shared" si="284"/>
        <v>0</v>
      </c>
      <c r="X582" s="59">
        <f t="shared" si="285"/>
        <v>0</v>
      </c>
      <c r="Y582" s="59">
        <f t="shared" si="286"/>
        <v>0</v>
      </c>
      <c r="Z582" s="39"/>
      <c r="AA582" s="4"/>
      <c r="AB582" s="35"/>
      <c r="AC582" s="13"/>
      <c r="AD582" s="174"/>
      <c r="AE582" s="13"/>
      <c r="AF582" s="35"/>
      <c r="AG582" s="3">
        <f t="shared" si="277"/>
        <v>0</v>
      </c>
      <c r="AH582" s="13"/>
      <c r="AI582" s="36" t="e">
        <f>#REF!</f>
        <v>#REF!</v>
      </c>
      <c r="AJ582" s="36">
        <v>0</v>
      </c>
      <c r="AK582" s="36"/>
      <c r="AL582" s="47"/>
      <c r="AM582" s="153"/>
      <c r="AN582" s="63">
        <f t="shared" si="283"/>
        <v>0</v>
      </c>
      <c r="AO582" s="29"/>
      <c r="AP582" s="28"/>
      <c r="AQ582" s="64">
        <f t="shared" si="279"/>
        <v>0</v>
      </c>
      <c r="AR582" s="28"/>
      <c r="AS582" s="28"/>
      <c r="AT582" s="157">
        <f t="shared" si="278"/>
        <v>0</v>
      </c>
      <c r="AU582" s="28"/>
      <c r="AV582" s="28"/>
      <c r="AW582" s="109">
        <f t="shared" si="280"/>
        <v>0</v>
      </c>
      <c r="AX582" s="66">
        <f t="shared" si="281"/>
        <v>0</v>
      </c>
      <c r="AY582" s="66"/>
      <c r="AZ582" s="66">
        <f t="shared" si="282"/>
        <v>0</v>
      </c>
      <c r="BA582" s="30"/>
    </row>
    <row r="583" spans="1:53" ht="21.6" customHeight="1" x14ac:dyDescent="0.3">
      <c r="A583" s="2"/>
      <c r="B583" s="3"/>
      <c r="C583" s="3"/>
      <c r="D583" s="3"/>
      <c r="E583" s="3"/>
      <c r="F583" s="3"/>
      <c r="G583" s="150"/>
      <c r="H583" s="394"/>
      <c r="I583" s="50"/>
      <c r="J583" s="15">
        <f t="shared" si="275"/>
        <v>0</v>
      </c>
      <c r="K583" s="3"/>
      <c r="L583" s="3"/>
      <c r="M583" s="3"/>
      <c r="N583" s="3"/>
      <c r="O583" s="3"/>
      <c r="P583" s="8"/>
      <c r="Q583" s="44"/>
      <c r="R583" s="35">
        <f t="shared" si="274"/>
        <v>0</v>
      </c>
      <c r="S583" s="13"/>
      <c r="T583" s="35"/>
      <c r="U583" s="37"/>
      <c r="V583" s="37">
        <f t="shared" si="276"/>
        <v>0</v>
      </c>
      <c r="W583" s="59">
        <f t="shared" si="284"/>
        <v>0</v>
      </c>
      <c r="X583" s="59">
        <f t="shared" si="285"/>
        <v>0</v>
      </c>
      <c r="Y583" s="59">
        <f t="shared" si="286"/>
        <v>0</v>
      </c>
      <c r="Z583" s="39"/>
      <c r="AA583" s="4"/>
      <c r="AB583" s="35"/>
      <c r="AC583" s="13"/>
      <c r="AD583" s="174"/>
      <c r="AE583" s="13"/>
      <c r="AF583" s="35"/>
      <c r="AG583" s="3">
        <f t="shared" si="277"/>
        <v>0</v>
      </c>
      <c r="AH583" s="13"/>
      <c r="AI583" s="36" t="e">
        <f>#REF!</f>
        <v>#REF!</v>
      </c>
      <c r="AJ583" s="36">
        <v>0</v>
      </c>
      <c r="AK583" s="36"/>
      <c r="AL583" s="47"/>
      <c r="AM583" s="153"/>
      <c r="AN583" s="63">
        <f t="shared" si="283"/>
        <v>0</v>
      </c>
      <c r="AO583" s="29"/>
      <c r="AP583" s="28"/>
      <c r="AQ583" s="64">
        <f t="shared" si="279"/>
        <v>0</v>
      </c>
      <c r="AR583" s="28"/>
      <c r="AS583" s="28"/>
      <c r="AT583" s="157">
        <f t="shared" si="278"/>
        <v>0</v>
      </c>
      <c r="AU583" s="28"/>
      <c r="AV583" s="28"/>
      <c r="AW583" s="109">
        <f t="shared" si="280"/>
        <v>0</v>
      </c>
      <c r="AX583" s="66">
        <f t="shared" si="281"/>
        <v>0</v>
      </c>
      <c r="AY583" s="66"/>
      <c r="AZ583" s="66">
        <f t="shared" si="282"/>
        <v>0</v>
      </c>
      <c r="BA583" s="30"/>
    </row>
    <row r="584" spans="1:53" ht="21.6" customHeight="1" x14ac:dyDescent="0.3">
      <c r="A584" s="2"/>
      <c r="B584" s="3"/>
      <c r="C584" s="3"/>
      <c r="D584" s="3"/>
      <c r="E584" s="3"/>
      <c r="F584" s="3"/>
      <c r="G584" s="150"/>
      <c r="H584" s="394"/>
      <c r="I584" s="50"/>
      <c r="J584" s="15">
        <f t="shared" si="275"/>
        <v>0</v>
      </c>
      <c r="K584" s="3"/>
      <c r="L584" s="3"/>
      <c r="M584" s="3"/>
      <c r="N584" s="3"/>
      <c r="O584" s="3"/>
      <c r="P584" s="8"/>
      <c r="Q584" s="44"/>
      <c r="R584" s="35">
        <f t="shared" si="274"/>
        <v>0</v>
      </c>
      <c r="S584" s="13"/>
      <c r="T584" s="35"/>
      <c r="U584" s="37"/>
      <c r="V584" s="37">
        <f t="shared" si="276"/>
        <v>0</v>
      </c>
      <c r="W584" s="59">
        <f t="shared" si="284"/>
        <v>0</v>
      </c>
      <c r="X584" s="59">
        <f t="shared" si="285"/>
        <v>0</v>
      </c>
      <c r="Y584" s="59">
        <f t="shared" si="286"/>
        <v>0</v>
      </c>
      <c r="Z584" s="39"/>
      <c r="AA584" s="4"/>
      <c r="AB584" s="35"/>
      <c r="AC584" s="13"/>
      <c r="AD584" s="174"/>
      <c r="AE584" s="13"/>
      <c r="AF584" s="35"/>
      <c r="AG584" s="3">
        <f t="shared" si="277"/>
        <v>0</v>
      </c>
      <c r="AH584" s="13"/>
      <c r="AI584" s="36" t="e">
        <f>#REF!</f>
        <v>#REF!</v>
      </c>
      <c r="AJ584" s="36">
        <v>0</v>
      </c>
      <c r="AK584" s="36"/>
      <c r="AL584" s="47"/>
      <c r="AM584" s="153"/>
      <c r="AN584" s="63">
        <f t="shared" si="283"/>
        <v>0</v>
      </c>
      <c r="AO584" s="29"/>
      <c r="AP584" s="28"/>
      <c r="AQ584" s="64">
        <f t="shared" si="279"/>
        <v>0</v>
      </c>
      <c r="AR584" s="28"/>
      <c r="AS584" s="28"/>
      <c r="AT584" s="157">
        <f t="shared" si="278"/>
        <v>0</v>
      </c>
      <c r="AU584" s="28"/>
      <c r="AV584" s="28"/>
      <c r="AW584" s="109">
        <f t="shared" si="280"/>
        <v>0</v>
      </c>
      <c r="AX584" s="66">
        <f t="shared" si="281"/>
        <v>0</v>
      </c>
      <c r="AY584" s="66"/>
      <c r="AZ584" s="66">
        <f t="shared" si="282"/>
        <v>0</v>
      </c>
      <c r="BA584" s="30"/>
    </row>
    <row r="585" spans="1:53" ht="21.6" customHeight="1" x14ac:dyDescent="0.3">
      <c r="A585" s="2"/>
      <c r="B585" s="3"/>
      <c r="C585" s="3"/>
      <c r="D585" s="3"/>
      <c r="E585" s="3"/>
      <c r="F585" s="3"/>
      <c r="G585" s="150"/>
      <c r="H585" s="394"/>
      <c r="I585" s="50"/>
      <c r="J585" s="15">
        <f t="shared" si="275"/>
        <v>0</v>
      </c>
      <c r="K585" s="3"/>
      <c r="L585" s="3"/>
      <c r="M585" s="3"/>
      <c r="N585" s="3"/>
      <c r="O585" s="3"/>
      <c r="P585" s="8"/>
      <c r="Q585" s="44"/>
      <c r="R585" s="35">
        <f t="shared" si="274"/>
        <v>0</v>
      </c>
      <c r="S585" s="13"/>
      <c r="T585" s="35"/>
      <c r="U585" s="37"/>
      <c r="V585" s="37">
        <f t="shared" si="276"/>
        <v>0</v>
      </c>
      <c r="W585" s="59">
        <f t="shared" si="284"/>
        <v>0</v>
      </c>
      <c r="X585" s="59">
        <f t="shared" si="285"/>
        <v>0</v>
      </c>
      <c r="Y585" s="59">
        <f t="shared" si="286"/>
        <v>0</v>
      </c>
      <c r="Z585" s="39"/>
      <c r="AA585" s="4"/>
      <c r="AB585" s="35"/>
      <c r="AC585" s="13"/>
      <c r="AD585" s="174"/>
      <c r="AE585" s="13"/>
      <c r="AF585" s="35"/>
      <c r="AG585" s="3">
        <f t="shared" si="277"/>
        <v>0</v>
      </c>
      <c r="AH585" s="13"/>
      <c r="AI585" s="36" t="e">
        <f>#REF!</f>
        <v>#REF!</v>
      </c>
      <c r="AJ585" s="36">
        <v>0</v>
      </c>
      <c r="AK585" s="36"/>
      <c r="AL585" s="47"/>
      <c r="AM585" s="153"/>
      <c r="AN585" s="63">
        <f t="shared" si="283"/>
        <v>0</v>
      </c>
      <c r="AO585" s="29"/>
      <c r="AP585" s="28"/>
      <c r="AQ585" s="64">
        <f t="shared" si="279"/>
        <v>0</v>
      </c>
      <c r="AR585" s="28"/>
      <c r="AS585" s="28"/>
      <c r="AT585" s="157">
        <f t="shared" si="278"/>
        <v>0</v>
      </c>
      <c r="AU585" s="28"/>
      <c r="AV585" s="28"/>
      <c r="AW585" s="109">
        <f t="shared" si="280"/>
        <v>0</v>
      </c>
      <c r="AX585" s="66">
        <f t="shared" si="281"/>
        <v>0</v>
      </c>
      <c r="AY585" s="66"/>
      <c r="AZ585" s="66">
        <f t="shared" si="282"/>
        <v>0</v>
      </c>
      <c r="BA585" s="30"/>
    </row>
    <row r="586" spans="1:53" ht="21.6" customHeight="1" x14ac:dyDescent="0.3">
      <c r="A586" s="2"/>
      <c r="B586" s="3"/>
      <c r="C586" s="3"/>
      <c r="D586" s="3"/>
      <c r="E586" s="3"/>
      <c r="F586" s="3"/>
      <c r="G586" s="150"/>
      <c r="H586" s="394"/>
      <c r="I586" s="50"/>
      <c r="J586" s="15">
        <f t="shared" si="275"/>
        <v>0</v>
      </c>
      <c r="K586" s="3"/>
      <c r="L586" s="3"/>
      <c r="M586" s="3"/>
      <c r="N586" s="3"/>
      <c r="O586" s="3"/>
      <c r="P586" s="8"/>
      <c r="Q586" s="44"/>
      <c r="R586" s="35">
        <f t="shared" si="274"/>
        <v>0</v>
      </c>
      <c r="S586" s="13"/>
      <c r="T586" s="35"/>
      <c r="U586" s="37"/>
      <c r="V586" s="37">
        <f t="shared" si="276"/>
        <v>0</v>
      </c>
      <c r="W586" s="59">
        <f t="shared" si="284"/>
        <v>0</v>
      </c>
      <c r="X586" s="59">
        <f t="shared" si="285"/>
        <v>0</v>
      </c>
      <c r="Y586" s="59">
        <f t="shared" si="286"/>
        <v>0</v>
      </c>
      <c r="Z586" s="39"/>
      <c r="AA586" s="4"/>
      <c r="AB586" s="35"/>
      <c r="AC586" s="13"/>
      <c r="AD586" s="174"/>
      <c r="AE586" s="13"/>
      <c r="AF586" s="35"/>
      <c r="AG586" s="3">
        <f t="shared" si="277"/>
        <v>0</v>
      </c>
      <c r="AH586" s="13"/>
      <c r="AI586" s="36" t="e">
        <f>#REF!</f>
        <v>#REF!</v>
      </c>
      <c r="AJ586" s="36">
        <v>0</v>
      </c>
      <c r="AK586" s="36"/>
      <c r="AL586" s="47"/>
      <c r="AM586" s="153"/>
      <c r="AN586" s="63">
        <f t="shared" si="283"/>
        <v>0</v>
      </c>
      <c r="AO586" s="29"/>
      <c r="AP586" s="28"/>
      <c r="AQ586" s="64">
        <f t="shared" si="279"/>
        <v>0</v>
      </c>
      <c r="AR586" s="28"/>
      <c r="AS586" s="28"/>
      <c r="AT586" s="157">
        <f t="shared" si="278"/>
        <v>0</v>
      </c>
      <c r="AU586" s="28"/>
      <c r="AV586" s="28"/>
      <c r="AW586" s="109">
        <f t="shared" si="280"/>
        <v>0</v>
      </c>
      <c r="AX586" s="66">
        <f t="shared" si="281"/>
        <v>0</v>
      </c>
      <c r="AY586" s="66"/>
      <c r="AZ586" s="66">
        <f t="shared" si="282"/>
        <v>0</v>
      </c>
      <c r="BA586" s="30"/>
    </row>
    <row r="587" spans="1:53" ht="21.6" customHeight="1" x14ac:dyDescent="0.3">
      <c r="A587" s="2"/>
      <c r="B587" s="3"/>
      <c r="C587" s="3"/>
      <c r="D587" s="3"/>
      <c r="E587" s="3"/>
      <c r="F587" s="3"/>
      <c r="G587" s="150"/>
      <c r="H587" s="394"/>
      <c r="I587" s="50"/>
      <c r="J587" s="15">
        <f t="shared" si="275"/>
        <v>0</v>
      </c>
      <c r="K587" s="3"/>
      <c r="L587" s="3"/>
      <c r="M587" s="3"/>
      <c r="N587" s="3"/>
      <c r="O587" s="3"/>
      <c r="P587" s="8"/>
      <c r="Q587" s="44"/>
      <c r="R587" s="35">
        <f t="shared" ref="R587:R626" si="287">H587</f>
        <v>0</v>
      </c>
      <c r="S587" s="13"/>
      <c r="T587" s="35"/>
      <c r="U587" s="37"/>
      <c r="V587" s="37">
        <f t="shared" si="276"/>
        <v>0</v>
      </c>
      <c r="W587" s="59">
        <f t="shared" si="284"/>
        <v>0</v>
      </c>
      <c r="X587" s="59">
        <f t="shared" si="285"/>
        <v>0</v>
      </c>
      <c r="Y587" s="59">
        <f t="shared" si="286"/>
        <v>0</v>
      </c>
      <c r="Z587" s="39"/>
      <c r="AA587" s="4"/>
      <c r="AB587" s="35"/>
      <c r="AC587" s="13"/>
      <c r="AD587" s="174"/>
      <c r="AE587" s="13"/>
      <c r="AF587" s="35"/>
      <c r="AG587" s="3">
        <f t="shared" si="277"/>
        <v>0</v>
      </c>
      <c r="AH587" s="13"/>
      <c r="AI587" s="36" t="e">
        <f>#REF!</f>
        <v>#REF!</v>
      </c>
      <c r="AJ587" s="36">
        <v>0</v>
      </c>
      <c r="AK587" s="36"/>
      <c r="AL587" s="47"/>
      <c r="AM587" s="153"/>
      <c r="AN587" s="63">
        <f t="shared" si="283"/>
        <v>0</v>
      </c>
      <c r="AO587" s="29"/>
      <c r="AP587" s="28"/>
      <c r="AQ587" s="64">
        <f t="shared" si="279"/>
        <v>0</v>
      </c>
      <c r="AR587" s="28"/>
      <c r="AS587" s="28"/>
      <c r="AT587" s="157">
        <f t="shared" si="278"/>
        <v>0</v>
      </c>
      <c r="AU587" s="28"/>
      <c r="AV587" s="28"/>
      <c r="AW587" s="109">
        <f t="shared" si="280"/>
        <v>0</v>
      </c>
      <c r="AX587" s="66">
        <f t="shared" si="281"/>
        <v>0</v>
      </c>
      <c r="AY587" s="66"/>
      <c r="AZ587" s="66">
        <f t="shared" si="282"/>
        <v>0</v>
      </c>
      <c r="BA587" s="30"/>
    </row>
    <row r="588" spans="1:53" ht="21.6" customHeight="1" x14ac:dyDescent="0.3">
      <c r="A588" s="2"/>
      <c r="B588" s="3"/>
      <c r="C588" s="3"/>
      <c r="D588" s="3"/>
      <c r="E588" s="3"/>
      <c r="F588" s="3"/>
      <c r="G588" s="150"/>
      <c r="H588" s="394"/>
      <c r="I588" s="50"/>
      <c r="J588" s="15">
        <f t="shared" si="275"/>
        <v>0</v>
      </c>
      <c r="K588" s="3"/>
      <c r="L588" s="3"/>
      <c r="M588" s="3"/>
      <c r="N588" s="3"/>
      <c r="O588" s="3"/>
      <c r="P588" s="8"/>
      <c r="Q588" s="44"/>
      <c r="R588" s="35">
        <f t="shared" si="287"/>
        <v>0</v>
      </c>
      <c r="S588" s="13"/>
      <c r="T588" s="35"/>
      <c r="U588" s="37"/>
      <c r="V588" s="37">
        <f t="shared" si="276"/>
        <v>0</v>
      </c>
      <c r="W588" s="59">
        <f t="shared" si="284"/>
        <v>0</v>
      </c>
      <c r="X588" s="59">
        <f t="shared" si="285"/>
        <v>0</v>
      </c>
      <c r="Y588" s="59">
        <f t="shared" si="286"/>
        <v>0</v>
      </c>
      <c r="Z588" s="39"/>
      <c r="AA588" s="4"/>
      <c r="AB588" s="35"/>
      <c r="AC588" s="13"/>
      <c r="AD588" s="174"/>
      <c r="AE588" s="13"/>
      <c r="AF588" s="35"/>
      <c r="AG588" s="3">
        <f t="shared" si="277"/>
        <v>0</v>
      </c>
      <c r="AH588" s="13"/>
      <c r="AI588" s="36" t="e">
        <f>#REF!</f>
        <v>#REF!</v>
      </c>
      <c r="AJ588" s="36">
        <v>0</v>
      </c>
      <c r="AK588" s="36"/>
      <c r="AL588" s="47"/>
      <c r="AM588" s="153"/>
      <c r="AN588" s="63">
        <f t="shared" si="283"/>
        <v>0</v>
      </c>
      <c r="AO588" s="29"/>
      <c r="AP588" s="28"/>
      <c r="AQ588" s="64">
        <f t="shared" si="279"/>
        <v>0</v>
      </c>
      <c r="AR588" s="28"/>
      <c r="AS588" s="28"/>
      <c r="AT588" s="157">
        <f t="shared" si="278"/>
        <v>0</v>
      </c>
      <c r="AU588" s="28"/>
      <c r="AV588" s="28"/>
      <c r="AW588" s="109">
        <f t="shared" si="280"/>
        <v>0</v>
      </c>
      <c r="AX588" s="66">
        <f t="shared" si="281"/>
        <v>0</v>
      </c>
      <c r="AY588" s="66"/>
      <c r="AZ588" s="66">
        <f t="shared" si="282"/>
        <v>0</v>
      </c>
      <c r="BA588" s="30"/>
    </row>
    <row r="589" spans="1:53" ht="21.6" customHeight="1" x14ac:dyDescent="0.3">
      <c r="A589" s="2"/>
      <c r="B589" s="3"/>
      <c r="C589" s="3"/>
      <c r="D589" s="3"/>
      <c r="E589" s="3"/>
      <c r="F589" s="3"/>
      <c r="G589" s="150"/>
      <c r="H589" s="394"/>
      <c r="I589" s="50"/>
      <c r="J589" s="15">
        <f t="shared" si="275"/>
        <v>0</v>
      </c>
      <c r="K589" s="3"/>
      <c r="L589" s="3"/>
      <c r="M589" s="3"/>
      <c r="N589" s="3"/>
      <c r="O589" s="3"/>
      <c r="P589" s="8"/>
      <c r="Q589" s="44"/>
      <c r="R589" s="35">
        <f t="shared" si="287"/>
        <v>0</v>
      </c>
      <c r="S589" s="13"/>
      <c r="T589" s="35"/>
      <c r="U589" s="37"/>
      <c r="V589" s="37">
        <f t="shared" si="276"/>
        <v>0</v>
      </c>
      <c r="W589" s="59">
        <f t="shared" si="284"/>
        <v>0</v>
      </c>
      <c r="X589" s="59">
        <f t="shared" si="285"/>
        <v>0</v>
      </c>
      <c r="Y589" s="59">
        <f t="shared" si="286"/>
        <v>0</v>
      </c>
      <c r="Z589" s="39"/>
      <c r="AA589" s="4"/>
      <c r="AB589" s="35"/>
      <c r="AC589" s="13"/>
      <c r="AD589" s="174"/>
      <c r="AE589" s="13"/>
      <c r="AF589" s="35"/>
      <c r="AG589" s="3">
        <f t="shared" si="277"/>
        <v>0</v>
      </c>
      <c r="AH589" s="13"/>
      <c r="AI589" s="36" t="e">
        <f>#REF!</f>
        <v>#REF!</v>
      </c>
      <c r="AJ589" s="36">
        <v>0</v>
      </c>
      <c r="AK589" s="36"/>
      <c r="AL589" s="47"/>
      <c r="AM589" s="153"/>
      <c r="AN589" s="63">
        <f t="shared" si="283"/>
        <v>0</v>
      </c>
      <c r="AO589" s="29"/>
      <c r="AP589" s="28"/>
      <c r="AQ589" s="64">
        <f t="shared" si="279"/>
        <v>0</v>
      </c>
      <c r="AR589" s="28"/>
      <c r="AS589" s="28"/>
      <c r="AT589" s="157">
        <f t="shared" si="278"/>
        <v>0</v>
      </c>
      <c r="AU589" s="28"/>
      <c r="AV589" s="28"/>
      <c r="AW589" s="109">
        <f t="shared" si="280"/>
        <v>0</v>
      </c>
      <c r="AX589" s="66">
        <f t="shared" si="281"/>
        <v>0</v>
      </c>
      <c r="AY589" s="66"/>
      <c r="AZ589" s="66">
        <f t="shared" si="282"/>
        <v>0</v>
      </c>
      <c r="BA589" s="30"/>
    </row>
    <row r="590" spans="1:53" ht="21.6" customHeight="1" x14ac:dyDescent="0.3">
      <c r="A590" s="2"/>
      <c r="B590" s="3"/>
      <c r="C590" s="3"/>
      <c r="D590" s="3"/>
      <c r="E590" s="3"/>
      <c r="F590" s="3"/>
      <c r="G590" s="150"/>
      <c r="H590" s="394"/>
      <c r="I590" s="50"/>
      <c r="J590" s="15">
        <f t="shared" si="275"/>
        <v>0</v>
      </c>
      <c r="K590" s="3"/>
      <c r="L590" s="3"/>
      <c r="M590" s="3"/>
      <c r="N590" s="3"/>
      <c r="O590" s="3"/>
      <c r="P590" s="8"/>
      <c r="Q590" s="44"/>
      <c r="R590" s="35">
        <f t="shared" si="287"/>
        <v>0</v>
      </c>
      <c r="S590" s="13"/>
      <c r="T590" s="35"/>
      <c r="U590" s="37"/>
      <c r="V590" s="37">
        <f t="shared" si="276"/>
        <v>0</v>
      </c>
      <c r="W590" s="59">
        <f t="shared" si="284"/>
        <v>0</v>
      </c>
      <c r="X590" s="59">
        <f t="shared" si="285"/>
        <v>0</v>
      </c>
      <c r="Y590" s="59">
        <f t="shared" si="286"/>
        <v>0</v>
      </c>
      <c r="Z590" s="39"/>
      <c r="AA590" s="4"/>
      <c r="AB590" s="35"/>
      <c r="AC590" s="13"/>
      <c r="AD590" s="174"/>
      <c r="AE590" s="13"/>
      <c r="AF590" s="35"/>
      <c r="AG590" s="3">
        <f t="shared" si="277"/>
        <v>0</v>
      </c>
      <c r="AH590" s="13"/>
      <c r="AI590" s="36" t="e">
        <f>#REF!</f>
        <v>#REF!</v>
      </c>
      <c r="AJ590" s="36">
        <v>0</v>
      </c>
      <c r="AK590" s="36"/>
      <c r="AL590" s="47"/>
      <c r="AM590" s="153"/>
      <c r="AN590" s="63">
        <f t="shared" si="283"/>
        <v>0</v>
      </c>
      <c r="AO590" s="29"/>
      <c r="AP590" s="28"/>
      <c r="AQ590" s="64">
        <f t="shared" si="279"/>
        <v>0</v>
      </c>
      <c r="AR590" s="28"/>
      <c r="AS590" s="28"/>
      <c r="AT590" s="157">
        <f t="shared" si="278"/>
        <v>0</v>
      </c>
      <c r="AU590" s="28"/>
      <c r="AV590" s="28"/>
      <c r="AW590" s="109">
        <f t="shared" si="280"/>
        <v>0</v>
      </c>
      <c r="AX590" s="66">
        <f t="shared" si="281"/>
        <v>0</v>
      </c>
      <c r="AY590" s="66"/>
      <c r="AZ590" s="66">
        <f t="shared" si="282"/>
        <v>0</v>
      </c>
      <c r="BA590" s="30"/>
    </row>
    <row r="591" spans="1:53" ht="21.6" customHeight="1" x14ac:dyDescent="0.3">
      <c r="A591" s="2"/>
      <c r="B591" s="3"/>
      <c r="C591" s="3"/>
      <c r="D591" s="3"/>
      <c r="E591" s="3"/>
      <c r="F591" s="3"/>
      <c r="G591" s="150"/>
      <c r="H591" s="394"/>
      <c r="I591" s="50"/>
      <c r="J591" s="15">
        <f t="shared" si="275"/>
        <v>0</v>
      </c>
      <c r="K591" s="3"/>
      <c r="L591" s="3"/>
      <c r="M591" s="3"/>
      <c r="N591" s="3"/>
      <c r="O591" s="3"/>
      <c r="P591" s="8"/>
      <c r="Q591" s="44"/>
      <c r="R591" s="35">
        <f t="shared" si="287"/>
        <v>0</v>
      </c>
      <c r="S591" s="13"/>
      <c r="T591" s="35"/>
      <c r="U591" s="37"/>
      <c r="V591" s="37">
        <f t="shared" si="276"/>
        <v>0</v>
      </c>
      <c r="W591" s="59">
        <f t="shared" si="284"/>
        <v>0</v>
      </c>
      <c r="X591" s="59">
        <f t="shared" si="285"/>
        <v>0</v>
      </c>
      <c r="Y591" s="59">
        <f t="shared" si="286"/>
        <v>0</v>
      </c>
      <c r="Z591" s="39"/>
      <c r="AA591" s="4"/>
      <c r="AB591" s="35"/>
      <c r="AC591" s="13"/>
      <c r="AD591" s="174"/>
      <c r="AE591" s="13"/>
      <c r="AF591" s="35"/>
      <c r="AG591" s="3">
        <f t="shared" si="277"/>
        <v>0</v>
      </c>
      <c r="AH591" s="13"/>
      <c r="AI591" s="36" t="e">
        <f>#REF!</f>
        <v>#REF!</v>
      </c>
      <c r="AJ591" s="36">
        <v>0</v>
      </c>
      <c r="AK591" s="36"/>
      <c r="AL591" s="47"/>
      <c r="AM591" s="153"/>
      <c r="AN591" s="63">
        <f t="shared" si="283"/>
        <v>0</v>
      </c>
      <c r="AO591" s="29"/>
      <c r="AP591" s="28"/>
      <c r="AQ591" s="64">
        <f t="shared" si="279"/>
        <v>0</v>
      </c>
      <c r="AR591" s="28"/>
      <c r="AS591" s="28"/>
      <c r="AT591" s="157">
        <f t="shared" si="278"/>
        <v>0</v>
      </c>
      <c r="AU591" s="28"/>
      <c r="AV591" s="28"/>
      <c r="AW591" s="109">
        <f t="shared" si="280"/>
        <v>0</v>
      </c>
      <c r="AX591" s="66">
        <f t="shared" si="281"/>
        <v>0</v>
      </c>
      <c r="AY591" s="66"/>
      <c r="AZ591" s="66">
        <f t="shared" si="282"/>
        <v>0</v>
      </c>
      <c r="BA591" s="30"/>
    </row>
    <row r="592" spans="1:53" ht="21.6" customHeight="1" x14ac:dyDescent="0.3">
      <c r="A592" s="2"/>
      <c r="B592" s="3"/>
      <c r="C592" s="3"/>
      <c r="D592" s="3"/>
      <c r="E592" s="3"/>
      <c r="F592" s="3"/>
      <c r="G592" s="150"/>
      <c r="H592" s="394"/>
      <c r="I592" s="50"/>
      <c r="J592" s="15">
        <f t="shared" si="275"/>
        <v>0</v>
      </c>
      <c r="K592" s="3"/>
      <c r="L592" s="3"/>
      <c r="M592" s="3"/>
      <c r="N592" s="3"/>
      <c r="O592" s="3"/>
      <c r="P592" s="8"/>
      <c r="Q592" s="44"/>
      <c r="R592" s="35">
        <f t="shared" si="287"/>
        <v>0</v>
      </c>
      <c r="S592" s="13"/>
      <c r="T592" s="35"/>
      <c r="U592" s="37"/>
      <c r="V592" s="37">
        <f t="shared" si="276"/>
        <v>0</v>
      </c>
      <c r="W592" s="59">
        <f t="shared" si="284"/>
        <v>0</v>
      </c>
      <c r="X592" s="59">
        <f t="shared" si="285"/>
        <v>0</v>
      </c>
      <c r="Y592" s="59">
        <f t="shared" si="286"/>
        <v>0</v>
      </c>
      <c r="Z592" s="39"/>
      <c r="AA592" s="4"/>
      <c r="AB592" s="35"/>
      <c r="AC592" s="13"/>
      <c r="AD592" s="174"/>
      <c r="AE592" s="13"/>
      <c r="AF592" s="35"/>
      <c r="AG592" s="3">
        <f t="shared" si="277"/>
        <v>0</v>
      </c>
      <c r="AH592" s="13"/>
      <c r="AI592" s="36" t="e">
        <f>#REF!</f>
        <v>#REF!</v>
      </c>
      <c r="AJ592" s="36">
        <v>0</v>
      </c>
      <c r="AK592" s="36"/>
      <c r="AL592" s="47"/>
      <c r="AM592" s="153"/>
      <c r="AN592" s="63">
        <f t="shared" si="283"/>
        <v>0</v>
      </c>
      <c r="AO592" s="29"/>
      <c r="AP592" s="28"/>
      <c r="AQ592" s="64">
        <f t="shared" si="279"/>
        <v>0</v>
      </c>
      <c r="AR592" s="28"/>
      <c r="AS592" s="28"/>
      <c r="AT592" s="157">
        <f t="shared" si="278"/>
        <v>0</v>
      </c>
      <c r="AU592" s="28"/>
      <c r="AV592" s="28"/>
      <c r="AW592" s="109">
        <f t="shared" si="280"/>
        <v>0</v>
      </c>
      <c r="AX592" s="66">
        <f t="shared" si="281"/>
        <v>0</v>
      </c>
      <c r="AY592" s="66"/>
      <c r="AZ592" s="66">
        <f t="shared" si="282"/>
        <v>0</v>
      </c>
      <c r="BA592" s="30"/>
    </row>
    <row r="593" spans="1:53" ht="21.6" customHeight="1" x14ac:dyDescent="0.3">
      <c r="A593" s="2"/>
      <c r="B593" s="3"/>
      <c r="C593" s="3"/>
      <c r="D593" s="3"/>
      <c r="E593" s="3"/>
      <c r="F593" s="3"/>
      <c r="G593" s="150"/>
      <c r="H593" s="394"/>
      <c r="I593" s="50"/>
      <c r="J593" s="15">
        <f t="shared" si="275"/>
        <v>0</v>
      </c>
      <c r="K593" s="3"/>
      <c r="L593" s="3"/>
      <c r="M593" s="3"/>
      <c r="N593" s="3"/>
      <c r="O593" s="3"/>
      <c r="P593" s="8"/>
      <c r="Q593" s="44"/>
      <c r="R593" s="35">
        <f t="shared" si="287"/>
        <v>0</v>
      </c>
      <c r="S593" s="13"/>
      <c r="T593" s="35"/>
      <c r="U593" s="37"/>
      <c r="V593" s="37">
        <f t="shared" si="276"/>
        <v>0</v>
      </c>
      <c r="W593" s="59">
        <f t="shared" si="284"/>
        <v>0</v>
      </c>
      <c r="X593" s="59">
        <f t="shared" si="285"/>
        <v>0</v>
      </c>
      <c r="Y593" s="59">
        <f t="shared" si="286"/>
        <v>0</v>
      </c>
      <c r="Z593" s="39"/>
      <c r="AA593" s="4"/>
      <c r="AB593" s="35"/>
      <c r="AC593" s="13"/>
      <c r="AD593" s="174"/>
      <c r="AE593" s="13"/>
      <c r="AF593" s="35"/>
      <c r="AG593" s="3">
        <f t="shared" si="277"/>
        <v>0</v>
      </c>
      <c r="AH593" s="13"/>
      <c r="AI593" s="36" t="e">
        <f>#REF!</f>
        <v>#REF!</v>
      </c>
      <c r="AJ593" s="36">
        <v>0</v>
      </c>
      <c r="AK593" s="36"/>
      <c r="AL593" s="47"/>
      <c r="AM593" s="153"/>
      <c r="AN593" s="63">
        <f t="shared" si="283"/>
        <v>0</v>
      </c>
      <c r="AO593" s="29"/>
      <c r="AP593" s="28"/>
      <c r="AQ593" s="64">
        <f t="shared" si="279"/>
        <v>0</v>
      </c>
      <c r="AR593" s="28"/>
      <c r="AS593" s="28"/>
      <c r="AT593" s="157">
        <f t="shared" si="278"/>
        <v>0</v>
      </c>
      <c r="AU593" s="28"/>
      <c r="AV593" s="28"/>
      <c r="AW593" s="109">
        <f t="shared" si="280"/>
        <v>0</v>
      </c>
      <c r="AX593" s="66">
        <f t="shared" si="281"/>
        <v>0</v>
      </c>
      <c r="AY593" s="66"/>
      <c r="AZ593" s="66">
        <f t="shared" si="282"/>
        <v>0</v>
      </c>
      <c r="BA593" s="30"/>
    </row>
    <row r="594" spans="1:53" ht="21.6" customHeight="1" x14ac:dyDescent="0.3">
      <c r="A594" s="2"/>
      <c r="B594" s="3"/>
      <c r="C594" s="3"/>
      <c r="D594" s="3"/>
      <c r="E594" s="3"/>
      <c r="F594" s="3"/>
      <c r="G594" s="150"/>
      <c r="H594" s="394"/>
      <c r="I594" s="50"/>
      <c r="J594" s="15">
        <f t="shared" si="275"/>
        <v>0</v>
      </c>
      <c r="K594" s="3"/>
      <c r="L594" s="3"/>
      <c r="M594" s="3"/>
      <c r="N594" s="3"/>
      <c r="O594" s="3"/>
      <c r="P594" s="8"/>
      <c r="Q594" s="44"/>
      <c r="R594" s="35">
        <f t="shared" si="287"/>
        <v>0</v>
      </c>
      <c r="S594" s="13"/>
      <c r="T594" s="35"/>
      <c r="U594" s="37"/>
      <c r="V594" s="37">
        <f t="shared" si="276"/>
        <v>0</v>
      </c>
      <c r="W594" s="59">
        <f t="shared" si="284"/>
        <v>0</v>
      </c>
      <c r="X594" s="59">
        <f t="shared" si="285"/>
        <v>0</v>
      </c>
      <c r="Y594" s="59">
        <f t="shared" si="286"/>
        <v>0</v>
      </c>
      <c r="Z594" s="39"/>
      <c r="AA594" s="4"/>
      <c r="AB594" s="35"/>
      <c r="AC594" s="13"/>
      <c r="AD594" s="174"/>
      <c r="AE594" s="13"/>
      <c r="AF594" s="35"/>
      <c r="AG594" s="3">
        <f t="shared" si="277"/>
        <v>0</v>
      </c>
      <c r="AH594" s="13"/>
      <c r="AI594" s="36" t="e">
        <f>#REF!</f>
        <v>#REF!</v>
      </c>
      <c r="AJ594" s="36">
        <v>0</v>
      </c>
      <c r="AK594" s="36"/>
      <c r="AL594" s="47"/>
      <c r="AM594" s="153"/>
      <c r="AN594" s="63">
        <f t="shared" si="283"/>
        <v>0</v>
      </c>
      <c r="AO594" s="29"/>
      <c r="AP594" s="28"/>
      <c r="AQ594" s="64">
        <f t="shared" si="279"/>
        <v>0</v>
      </c>
      <c r="AR594" s="28"/>
      <c r="AS594" s="28"/>
      <c r="AT594" s="157">
        <f t="shared" si="278"/>
        <v>0</v>
      </c>
      <c r="AU594" s="28"/>
      <c r="AV594" s="28"/>
      <c r="AW594" s="109">
        <f t="shared" si="280"/>
        <v>0</v>
      </c>
      <c r="AX594" s="66">
        <f t="shared" si="281"/>
        <v>0</v>
      </c>
      <c r="AY594" s="66"/>
      <c r="AZ594" s="66">
        <f t="shared" si="282"/>
        <v>0</v>
      </c>
      <c r="BA594" s="30"/>
    </row>
    <row r="595" spans="1:53" ht="21.6" customHeight="1" x14ac:dyDescent="0.3">
      <c r="A595" s="2"/>
      <c r="B595" s="3"/>
      <c r="C595" s="3"/>
      <c r="D595" s="3"/>
      <c r="E595" s="3"/>
      <c r="F595" s="3"/>
      <c r="G595" s="150"/>
      <c r="H595" s="394"/>
      <c r="I595" s="50"/>
      <c r="J595" s="15">
        <f t="shared" si="275"/>
        <v>0</v>
      </c>
      <c r="K595" s="3"/>
      <c r="L595" s="3"/>
      <c r="M595" s="3"/>
      <c r="N595" s="3"/>
      <c r="O595" s="3"/>
      <c r="P595" s="8"/>
      <c r="Q595" s="44"/>
      <c r="R595" s="35">
        <f t="shared" si="287"/>
        <v>0</v>
      </c>
      <c r="S595" s="13"/>
      <c r="T595" s="35"/>
      <c r="U595" s="37"/>
      <c r="V595" s="37">
        <f t="shared" si="276"/>
        <v>0</v>
      </c>
      <c r="W595" s="59">
        <f t="shared" si="284"/>
        <v>0</v>
      </c>
      <c r="X595" s="59">
        <f t="shared" si="285"/>
        <v>0</v>
      </c>
      <c r="Y595" s="59">
        <f t="shared" si="286"/>
        <v>0</v>
      </c>
      <c r="Z595" s="39"/>
      <c r="AA595" s="4"/>
      <c r="AB595" s="35"/>
      <c r="AC595" s="13"/>
      <c r="AD595" s="174"/>
      <c r="AE595" s="13"/>
      <c r="AF595" s="35"/>
      <c r="AG595" s="3">
        <f t="shared" si="277"/>
        <v>0</v>
      </c>
      <c r="AH595" s="13"/>
      <c r="AI595" s="36" t="e">
        <f>#REF!</f>
        <v>#REF!</v>
      </c>
      <c r="AJ595" s="36">
        <v>0</v>
      </c>
      <c r="AK595" s="36"/>
      <c r="AL595" s="47"/>
      <c r="AM595" s="153"/>
      <c r="AN595" s="63">
        <f t="shared" si="283"/>
        <v>0</v>
      </c>
      <c r="AO595" s="29"/>
      <c r="AP595" s="28"/>
      <c r="AQ595" s="64">
        <f t="shared" si="279"/>
        <v>0</v>
      </c>
      <c r="AR595" s="28"/>
      <c r="AS595" s="28"/>
      <c r="AT595" s="157">
        <f t="shared" si="278"/>
        <v>0</v>
      </c>
      <c r="AU595" s="28"/>
      <c r="AV595" s="28"/>
      <c r="AW595" s="109">
        <f t="shared" si="280"/>
        <v>0</v>
      </c>
      <c r="AX595" s="66">
        <f t="shared" si="281"/>
        <v>0</v>
      </c>
      <c r="AY595" s="66"/>
      <c r="AZ595" s="66">
        <f t="shared" si="282"/>
        <v>0</v>
      </c>
      <c r="BA595" s="30"/>
    </row>
    <row r="596" spans="1:53" ht="21.6" customHeight="1" x14ac:dyDescent="0.3">
      <c r="A596" s="2"/>
      <c r="B596" s="3"/>
      <c r="C596" s="3"/>
      <c r="D596" s="3"/>
      <c r="E596" s="3"/>
      <c r="F596" s="3"/>
      <c r="G596" s="150"/>
      <c r="H596" s="394"/>
      <c r="I596" s="50"/>
      <c r="J596" s="15">
        <f t="shared" si="275"/>
        <v>0</v>
      </c>
      <c r="K596" s="3"/>
      <c r="L596" s="3"/>
      <c r="M596" s="3"/>
      <c r="N596" s="3"/>
      <c r="O596" s="3"/>
      <c r="P596" s="8"/>
      <c r="Q596" s="44"/>
      <c r="R596" s="35">
        <f t="shared" si="287"/>
        <v>0</v>
      </c>
      <c r="S596" s="13"/>
      <c r="T596" s="35"/>
      <c r="U596" s="37"/>
      <c r="V596" s="37">
        <f t="shared" si="276"/>
        <v>0</v>
      </c>
      <c r="W596" s="59">
        <f t="shared" si="284"/>
        <v>0</v>
      </c>
      <c r="X596" s="59">
        <f t="shared" si="285"/>
        <v>0</v>
      </c>
      <c r="Y596" s="59">
        <f t="shared" si="286"/>
        <v>0</v>
      </c>
      <c r="Z596" s="39"/>
      <c r="AA596" s="4"/>
      <c r="AB596" s="35"/>
      <c r="AC596" s="13"/>
      <c r="AD596" s="174"/>
      <c r="AE596" s="13"/>
      <c r="AF596" s="35"/>
      <c r="AG596" s="3">
        <f t="shared" si="277"/>
        <v>0</v>
      </c>
      <c r="AH596" s="13"/>
      <c r="AI596" s="36" t="e">
        <f>#REF!</f>
        <v>#REF!</v>
      </c>
      <c r="AJ596" s="36">
        <v>0</v>
      </c>
      <c r="AK596" s="36"/>
      <c r="AL596" s="47"/>
      <c r="AM596" s="153"/>
      <c r="AN596" s="63">
        <f t="shared" si="283"/>
        <v>0</v>
      </c>
      <c r="AO596" s="29"/>
      <c r="AP596" s="28"/>
      <c r="AQ596" s="64">
        <f t="shared" si="279"/>
        <v>0</v>
      </c>
      <c r="AR596" s="28"/>
      <c r="AS596" s="28"/>
      <c r="AT596" s="157">
        <f t="shared" si="278"/>
        <v>0</v>
      </c>
      <c r="AU596" s="28"/>
      <c r="AV596" s="28"/>
      <c r="AW596" s="109">
        <f t="shared" si="280"/>
        <v>0</v>
      </c>
      <c r="AX596" s="66">
        <f t="shared" si="281"/>
        <v>0</v>
      </c>
      <c r="AY596" s="66"/>
      <c r="AZ596" s="66">
        <f t="shared" si="282"/>
        <v>0</v>
      </c>
      <c r="BA596" s="30"/>
    </row>
    <row r="597" spans="1:53" ht="21.6" customHeight="1" x14ac:dyDescent="0.3">
      <c r="A597" s="2"/>
      <c r="B597" s="3"/>
      <c r="C597" s="3"/>
      <c r="D597" s="3"/>
      <c r="E597" s="3"/>
      <c r="F597" s="3"/>
      <c r="G597" s="150"/>
      <c r="H597" s="394"/>
      <c r="I597" s="50"/>
      <c r="J597" s="15">
        <f t="shared" si="275"/>
        <v>0</v>
      </c>
      <c r="K597" s="3"/>
      <c r="L597" s="3"/>
      <c r="M597" s="3"/>
      <c r="N597" s="3"/>
      <c r="O597" s="3"/>
      <c r="P597" s="8"/>
      <c r="Q597" s="44"/>
      <c r="R597" s="35">
        <f t="shared" si="287"/>
        <v>0</v>
      </c>
      <c r="S597" s="13"/>
      <c r="T597" s="35"/>
      <c r="U597" s="37"/>
      <c r="V597" s="37">
        <f t="shared" si="276"/>
        <v>0</v>
      </c>
      <c r="W597" s="59">
        <f t="shared" si="284"/>
        <v>0</v>
      </c>
      <c r="X597" s="59">
        <f t="shared" si="285"/>
        <v>0</v>
      </c>
      <c r="Y597" s="59">
        <f t="shared" si="286"/>
        <v>0</v>
      </c>
      <c r="Z597" s="39"/>
      <c r="AA597" s="4"/>
      <c r="AB597" s="35"/>
      <c r="AC597" s="13"/>
      <c r="AD597" s="174"/>
      <c r="AE597" s="13"/>
      <c r="AF597" s="35"/>
      <c r="AG597" s="3">
        <f t="shared" si="277"/>
        <v>0</v>
      </c>
      <c r="AH597" s="13"/>
      <c r="AI597" s="36" t="e">
        <f>#REF!</f>
        <v>#REF!</v>
      </c>
      <c r="AJ597" s="36">
        <v>0</v>
      </c>
      <c r="AK597" s="36"/>
      <c r="AL597" s="47"/>
      <c r="AM597" s="153"/>
      <c r="AN597" s="63">
        <f t="shared" si="283"/>
        <v>0</v>
      </c>
      <c r="AO597" s="29"/>
      <c r="AP597" s="28"/>
      <c r="AQ597" s="64">
        <f t="shared" si="279"/>
        <v>0</v>
      </c>
      <c r="AR597" s="28"/>
      <c r="AS597" s="28"/>
      <c r="AT597" s="157">
        <f t="shared" si="278"/>
        <v>0</v>
      </c>
      <c r="AU597" s="28"/>
      <c r="AV597" s="28"/>
      <c r="AW597" s="109">
        <f t="shared" si="280"/>
        <v>0</v>
      </c>
      <c r="AX597" s="66">
        <f t="shared" si="281"/>
        <v>0</v>
      </c>
      <c r="AY597" s="66"/>
      <c r="AZ597" s="66">
        <f t="shared" si="282"/>
        <v>0</v>
      </c>
      <c r="BA597" s="30"/>
    </row>
    <row r="598" spans="1:53" ht="21.6" customHeight="1" x14ac:dyDescent="0.3">
      <c r="A598" s="2"/>
      <c r="B598" s="3"/>
      <c r="C598" s="3"/>
      <c r="D598" s="3"/>
      <c r="E598" s="3"/>
      <c r="F598" s="3"/>
      <c r="G598" s="150"/>
      <c r="H598" s="394"/>
      <c r="I598" s="50"/>
      <c r="J598" s="15">
        <f t="shared" si="275"/>
        <v>0</v>
      </c>
      <c r="K598" s="3"/>
      <c r="L598" s="3"/>
      <c r="M598" s="3"/>
      <c r="N598" s="3"/>
      <c r="O598" s="3"/>
      <c r="P598" s="8"/>
      <c r="Q598" s="44"/>
      <c r="R598" s="35">
        <f t="shared" si="287"/>
        <v>0</v>
      </c>
      <c r="S598" s="13"/>
      <c r="T598" s="35"/>
      <c r="U598" s="37"/>
      <c r="V598" s="37">
        <f t="shared" si="276"/>
        <v>0</v>
      </c>
      <c r="W598" s="59">
        <f t="shared" si="284"/>
        <v>0</v>
      </c>
      <c r="X598" s="59">
        <f t="shared" si="285"/>
        <v>0</v>
      </c>
      <c r="Y598" s="59">
        <f t="shared" si="286"/>
        <v>0</v>
      </c>
      <c r="Z598" s="39"/>
      <c r="AA598" s="4"/>
      <c r="AB598" s="35"/>
      <c r="AC598" s="13"/>
      <c r="AD598" s="174"/>
      <c r="AE598" s="13"/>
      <c r="AF598" s="35"/>
      <c r="AG598" s="3">
        <f t="shared" si="277"/>
        <v>0</v>
      </c>
      <c r="AH598" s="13"/>
      <c r="AI598" s="36" t="e">
        <f>#REF!</f>
        <v>#REF!</v>
      </c>
      <c r="AJ598" s="36">
        <v>0</v>
      </c>
      <c r="AK598" s="36"/>
      <c r="AL598" s="47"/>
      <c r="AM598" s="153"/>
      <c r="AN598" s="63">
        <f t="shared" si="283"/>
        <v>0</v>
      </c>
      <c r="AO598" s="29"/>
      <c r="AP598" s="28"/>
      <c r="AQ598" s="64">
        <f t="shared" si="279"/>
        <v>0</v>
      </c>
      <c r="AR598" s="28"/>
      <c r="AS598" s="28"/>
      <c r="AT598" s="157">
        <f t="shared" si="278"/>
        <v>0</v>
      </c>
      <c r="AU598" s="28"/>
      <c r="AV598" s="28"/>
      <c r="AW598" s="109">
        <f t="shared" si="280"/>
        <v>0</v>
      </c>
      <c r="AX598" s="66">
        <f t="shared" si="281"/>
        <v>0</v>
      </c>
      <c r="AY598" s="66"/>
      <c r="AZ598" s="66">
        <f t="shared" si="282"/>
        <v>0</v>
      </c>
      <c r="BA598" s="30"/>
    </row>
    <row r="599" spans="1:53" ht="21.6" customHeight="1" x14ac:dyDescent="0.3">
      <c r="A599" s="2"/>
      <c r="B599" s="3"/>
      <c r="C599" s="3"/>
      <c r="D599" s="3"/>
      <c r="E599" s="3"/>
      <c r="F599" s="3"/>
      <c r="G599" s="150"/>
      <c r="H599" s="394"/>
      <c r="I599" s="50"/>
      <c r="J599" s="15">
        <f t="shared" si="275"/>
        <v>0</v>
      </c>
      <c r="K599" s="3"/>
      <c r="L599" s="3"/>
      <c r="M599" s="3"/>
      <c r="N599" s="3"/>
      <c r="O599" s="3"/>
      <c r="P599" s="8"/>
      <c r="Q599" s="44"/>
      <c r="R599" s="35">
        <f t="shared" si="287"/>
        <v>0</v>
      </c>
      <c r="S599" s="13"/>
      <c r="T599" s="35"/>
      <c r="U599" s="37"/>
      <c r="V599" s="37">
        <f t="shared" si="276"/>
        <v>0</v>
      </c>
      <c r="W599" s="59">
        <f t="shared" si="284"/>
        <v>0</v>
      </c>
      <c r="X599" s="59">
        <f t="shared" si="285"/>
        <v>0</v>
      </c>
      <c r="Y599" s="59">
        <f t="shared" si="286"/>
        <v>0</v>
      </c>
      <c r="Z599" s="39"/>
      <c r="AA599" s="4"/>
      <c r="AB599" s="35"/>
      <c r="AC599" s="13"/>
      <c r="AD599" s="174"/>
      <c r="AE599" s="13"/>
      <c r="AF599" s="35"/>
      <c r="AG599" s="3">
        <f t="shared" si="277"/>
        <v>0</v>
      </c>
      <c r="AH599" s="13"/>
      <c r="AI599" s="36" t="e">
        <f>#REF!</f>
        <v>#REF!</v>
      </c>
      <c r="AJ599" s="36">
        <v>0</v>
      </c>
      <c r="AK599" s="36"/>
      <c r="AL599" s="47"/>
      <c r="AM599" s="153"/>
      <c r="AN599" s="63">
        <f t="shared" si="283"/>
        <v>0</v>
      </c>
      <c r="AO599" s="29"/>
      <c r="AP599" s="28"/>
      <c r="AQ599" s="64">
        <f t="shared" si="279"/>
        <v>0</v>
      </c>
      <c r="AR599" s="28"/>
      <c r="AS599" s="28"/>
      <c r="AT599" s="157">
        <f t="shared" si="278"/>
        <v>0</v>
      </c>
      <c r="AU599" s="28"/>
      <c r="AV599" s="28"/>
      <c r="AW599" s="109">
        <f t="shared" si="280"/>
        <v>0</v>
      </c>
      <c r="AX599" s="66">
        <f t="shared" si="281"/>
        <v>0</v>
      </c>
      <c r="AY599" s="66"/>
      <c r="AZ599" s="66">
        <f t="shared" si="282"/>
        <v>0</v>
      </c>
      <c r="BA599" s="30"/>
    </row>
    <row r="600" spans="1:53" ht="21.6" customHeight="1" x14ac:dyDescent="0.3">
      <c r="A600" s="2"/>
      <c r="B600" s="3"/>
      <c r="C600" s="3"/>
      <c r="D600" s="3"/>
      <c r="E600" s="3"/>
      <c r="F600" s="3"/>
      <c r="G600" s="150"/>
      <c r="H600" s="394"/>
      <c r="I600" s="50"/>
      <c r="J600" s="15">
        <f t="shared" si="275"/>
        <v>0</v>
      </c>
      <c r="K600" s="3"/>
      <c r="L600" s="3"/>
      <c r="M600" s="3"/>
      <c r="N600" s="3"/>
      <c r="O600" s="3"/>
      <c r="P600" s="8"/>
      <c r="Q600" s="44"/>
      <c r="R600" s="35">
        <f t="shared" si="287"/>
        <v>0</v>
      </c>
      <c r="S600" s="13"/>
      <c r="T600" s="35"/>
      <c r="U600" s="37"/>
      <c r="V600" s="37">
        <f t="shared" si="276"/>
        <v>0</v>
      </c>
      <c r="W600" s="59">
        <f t="shared" si="284"/>
        <v>0</v>
      </c>
      <c r="X600" s="59">
        <f t="shared" si="285"/>
        <v>0</v>
      </c>
      <c r="Y600" s="59">
        <f t="shared" si="286"/>
        <v>0</v>
      </c>
      <c r="Z600" s="39"/>
      <c r="AA600" s="4"/>
      <c r="AB600" s="35"/>
      <c r="AC600" s="13"/>
      <c r="AD600" s="174"/>
      <c r="AE600" s="13"/>
      <c r="AF600" s="35"/>
      <c r="AG600" s="3">
        <f t="shared" si="277"/>
        <v>0</v>
      </c>
      <c r="AH600" s="13"/>
      <c r="AI600" s="36" t="e">
        <f>#REF!</f>
        <v>#REF!</v>
      </c>
      <c r="AJ600" s="36">
        <v>0</v>
      </c>
      <c r="AK600" s="36"/>
      <c r="AL600" s="47"/>
      <c r="AM600" s="153"/>
      <c r="AN600" s="63">
        <f t="shared" si="283"/>
        <v>0</v>
      </c>
      <c r="AO600" s="29"/>
      <c r="AP600" s="28"/>
      <c r="AQ600" s="64">
        <f t="shared" si="279"/>
        <v>0</v>
      </c>
      <c r="AR600" s="28"/>
      <c r="AS600" s="28"/>
      <c r="AT600" s="157">
        <f t="shared" si="278"/>
        <v>0</v>
      </c>
      <c r="AU600" s="28"/>
      <c r="AV600" s="28"/>
      <c r="AW600" s="109">
        <f t="shared" si="280"/>
        <v>0</v>
      </c>
      <c r="AX600" s="66">
        <f t="shared" si="281"/>
        <v>0</v>
      </c>
      <c r="AY600" s="66"/>
      <c r="AZ600" s="66">
        <f t="shared" si="282"/>
        <v>0</v>
      </c>
      <c r="BA600" s="30"/>
    </row>
    <row r="601" spans="1:53" ht="21.6" customHeight="1" x14ac:dyDescent="0.3">
      <c r="A601" s="2"/>
      <c r="B601" s="3"/>
      <c r="C601" s="3"/>
      <c r="D601" s="3"/>
      <c r="E601" s="3"/>
      <c r="F601" s="3"/>
      <c r="G601" s="150"/>
      <c r="H601" s="394"/>
      <c r="I601" s="50"/>
      <c r="J601" s="15">
        <f t="shared" si="275"/>
        <v>0</v>
      </c>
      <c r="K601" s="3"/>
      <c r="L601" s="3"/>
      <c r="M601" s="3"/>
      <c r="N601" s="3"/>
      <c r="O601" s="3"/>
      <c r="P601" s="8"/>
      <c r="Q601" s="44"/>
      <c r="R601" s="35">
        <f t="shared" si="287"/>
        <v>0</v>
      </c>
      <c r="S601" s="13"/>
      <c r="T601" s="35"/>
      <c r="U601" s="37"/>
      <c r="V601" s="37">
        <f t="shared" si="276"/>
        <v>0</v>
      </c>
      <c r="W601" s="59">
        <f t="shared" si="284"/>
        <v>0</v>
      </c>
      <c r="X601" s="59">
        <f t="shared" si="285"/>
        <v>0</v>
      </c>
      <c r="Y601" s="59">
        <f t="shared" si="286"/>
        <v>0</v>
      </c>
      <c r="Z601" s="39"/>
      <c r="AA601" s="4"/>
      <c r="AB601" s="35"/>
      <c r="AC601" s="13"/>
      <c r="AD601" s="174"/>
      <c r="AE601" s="13"/>
      <c r="AF601" s="35"/>
      <c r="AG601" s="3">
        <f t="shared" si="277"/>
        <v>0</v>
      </c>
      <c r="AH601" s="13"/>
      <c r="AI601" s="36" t="e">
        <f>#REF!</f>
        <v>#REF!</v>
      </c>
      <c r="AJ601" s="36">
        <v>0</v>
      </c>
      <c r="AK601" s="36"/>
      <c r="AL601" s="47"/>
      <c r="AM601" s="153"/>
      <c r="AN601" s="63">
        <f t="shared" si="283"/>
        <v>0</v>
      </c>
      <c r="AO601" s="29"/>
      <c r="AP601" s="28"/>
      <c r="AQ601" s="64">
        <f t="shared" si="279"/>
        <v>0</v>
      </c>
      <c r="AR601" s="28"/>
      <c r="AS601" s="28"/>
      <c r="AT601" s="157">
        <f t="shared" si="278"/>
        <v>0</v>
      </c>
      <c r="AU601" s="28"/>
      <c r="AV601" s="28"/>
      <c r="AW601" s="109">
        <f t="shared" si="280"/>
        <v>0</v>
      </c>
      <c r="AX601" s="66">
        <f t="shared" si="281"/>
        <v>0</v>
      </c>
      <c r="AY601" s="66"/>
      <c r="AZ601" s="66">
        <f t="shared" si="282"/>
        <v>0</v>
      </c>
      <c r="BA601" s="30"/>
    </row>
    <row r="602" spans="1:53" ht="21.6" customHeight="1" x14ac:dyDescent="0.3">
      <c r="A602" s="2"/>
      <c r="B602" s="3"/>
      <c r="C602" s="3"/>
      <c r="D602" s="3"/>
      <c r="E602" s="3"/>
      <c r="F602" s="3"/>
      <c r="G602" s="150"/>
      <c r="H602" s="394"/>
      <c r="I602" s="50"/>
      <c r="J602" s="15">
        <f t="shared" si="275"/>
        <v>0</v>
      </c>
      <c r="K602" s="3"/>
      <c r="L602" s="3"/>
      <c r="M602" s="3"/>
      <c r="N602" s="3"/>
      <c r="O602" s="3"/>
      <c r="P602" s="8"/>
      <c r="Q602" s="44"/>
      <c r="R602" s="35">
        <f t="shared" si="287"/>
        <v>0</v>
      </c>
      <c r="S602" s="13"/>
      <c r="T602" s="35"/>
      <c r="U602" s="37"/>
      <c r="V602" s="37">
        <f t="shared" si="276"/>
        <v>0</v>
      </c>
      <c r="W602" s="59">
        <f t="shared" si="284"/>
        <v>0</v>
      </c>
      <c r="X602" s="59">
        <f t="shared" si="285"/>
        <v>0</v>
      </c>
      <c r="Y602" s="59">
        <f t="shared" si="286"/>
        <v>0</v>
      </c>
      <c r="Z602" s="39"/>
      <c r="AA602" s="4"/>
      <c r="AB602" s="35"/>
      <c r="AC602" s="13"/>
      <c r="AD602" s="174"/>
      <c r="AE602" s="13"/>
      <c r="AF602" s="35"/>
      <c r="AG602" s="3">
        <f t="shared" si="277"/>
        <v>0</v>
      </c>
      <c r="AH602" s="13"/>
      <c r="AI602" s="36" t="e">
        <f>#REF!</f>
        <v>#REF!</v>
      </c>
      <c r="AJ602" s="36">
        <v>0</v>
      </c>
      <c r="AK602" s="36"/>
      <c r="AL602" s="47"/>
      <c r="AM602" s="153"/>
      <c r="AN602" s="63">
        <f t="shared" si="283"/>
        <v>0</v>
      </c>
      <c r="AO602" s="29"/>
      <c r="AP602" s="28"/>
      <c r="AQ602" s="64">
        <f t="shared" si="279"/>
        <v>0</v>
      </c>
      <c r="AR602" s="28"/>
      <c r="AS602" s="28"/>
      <c r="AT602" s="157">
        <f t="shared" si="278"/>
        <v>0</v>
      </c>
      <c r="AU602" s="28"/>
      <c r="AV602" s="28"/>
      <c r="AW602" s="109">
        <f t="shared" si="280"/>
        <v>0</v>
      </c>
      <c r="AX602" s="66">
        <f t="shared" si="281"/>
        <v>0</v>
      </c>
      <c r="AY602" s="66"/>
      <c r="AZ602" s="66">
        <f t="shared" si="282"/>
        <v>0</v>
      </c>
      <c r="BA602" s="30"/>
    </row>
    <row r="603" spans="1:53" ht="21.6" customHeight="1" x14ac:dyDescent="0.3">
      <c r="A603" s="2"/>
      <c r="B603" s="3"/>
      <c r="C603" s="3"/>
      <c r="D603" s="3"/>
      <c r="E603" s="3"/>
      <c r="F603" s="3"/>
      <c r="G603" s="150"/>
      <c r="H603" s="394"/>
      <c r="I603" s="50"/>
      <c r="J603" s="15">
        <f t="shared" si="275"/>
        <v>0</v>
      </c>
      <c r="K603" s="3"/>
      <c r="L603" s="3"/>
      <c r="M603" s="3"/>
      <c r="N603" s="3"/>
      <c r="O603" s="3"/>
      <c r="P603" s="8"/>
      <c r="Q603" s="44"/>
      <c r="R603" s="35">
        <f t="shared" si="287"/>
        <v>0</v>
      </c>
      <c r="S603" s="13"/>
      <c r="T603" s="35"/>
      <c r="U603" s="37"/>
      <c r="V603" s="37">
        <f t="shared" si="276"/>
        <v>0</v>
      </c>
      <c r="W603" s="59">
        <f t="shared" si="284"/>
        <v>0</v>
      </c>
      <c r="X603" s="59">
        <f t="shared" si="285"/>
        <v>0</v>
      </c>
      <c r="Y603" s="59">
        <f t="shared" si="286"/>
        <v>0</v>
      </c>
      <c r="Z603" s="39"/>
      <c r="AA603" s="4"/>
      <c r="AB603" s="35"/>
      <c r="AC603" s="13"/>
      <c r="AD603" s="174"/>
      <c r="AE603" s="13"/>
      <c r="AF603" s="35"/>
      <c r="AG603" s="3">
        <f t="shared" si="277"/>
        <v>0</v>
      </c>
      <c r="AH603" s="13"/>
      <c r="AI603" s="36" t="e">
        <f>#REF!</f>
        <v>#REF!</v>
      </c>
      <c r="AJ603" s="36">
        <v>0</v>
      </c>
      <c r="AK603" s="36"/>
      <c r="AL603" s="47"/>
      <c r="AM603" s="153"/>
      <c r="AN603" s="63">
        <f t="shared" si="283"/>
        <v>0</v>
      </c>
      <c r="AO603" s="29"/>
      <c r="AP603" s="28"/>
      <c r="AQ603" s="64">
        <f t="shared" si="279"/>
        <v>0</v>
      </c>
      <c r="AR603" s="28"/>
      <c r="AS603" s="28"/>
      <c r="AT603" s="157">
        <f t="shared" si="278"/>
        <v>0</v>
      </c>
      <c r="AU603" s="28"/>
      <c r="AV603" s="28"/>
      <c r="AW603" s="109">
        <f t="shared" si="280"/>
        <v>0</v>
      </c>
      <c r="AX603" s="66">
        <f t="shared" si="281"/>
        <v>0</v>
      </c>
      <c r="AY603" s="66"/>
      <c r="AZ603" s="66">
        <f t="shared" si="282"/>
        <v>0</v>
      </c>
      <c r="BA603" s="30"/>
    </row>
    <row r="604" spans="1:53" ht="21.6" customHeight="1" x14ac:dyDescent="0.3">
      <c r="A604" s="2"/>
      <c r="B604" s="3"/>
      <c r="C604" s="3"/>
      <c r="D604" s="3"/>
      <c r="E604" s="3"/>
      <c r="F604" s="3"/>
      <c r="G604" s="150"/>
      <c r="H604" s="394"/>
      <c r="I604" s="50"/>
      <c r="J604" s="15">
        <f t="shared" si="275"/>
        <v>0</v>
      </c>
      <c r="K604" s="3"/>
      <c r="L604" s="3"/>
      <c r="M604" s="3"/>
      <c r="N604" s="3"/>
      <c r="O604" s="3"/>
      <c r="P604" s="8"/>
      <c r="Q604" s="44"/>
      <c r="R604" s="35">
        <f t="shared" si="287"/>
        <v>0</v>
      </c>
      <c r="S604" s="13"/>
      <c r="T604" s="35"/>
      <c r="U604" s="37"/>
      <c r="V604" s="37">
        <f t="shared" si="276"/>
        <v>0</v>
      </c>
      <c r="W604" s="59">
        <f t="shared" si="284"/>
        <v>0</v>
      </c>
      <c r="X604" s="59">
        <f t="shared" si="285"/>
        <v>0</v>
      </c>
      <c r="Y604" s="59">
        <f t="shared" si="286"/>
        <v>0</v>
      </c>
      <c r="Z604" s="39"/>
      <c r="AA604" s="4"/>
      <c r="AB604" s="35"/>
      <c r="AC604" s="13"/>
      <c r="AD604" s="174"/>
      <c r="AE604" s="13"/>
      <c r="AF604" s="35"/>
      <c r="AG604" s="3">
        <f t="shared" si="277"/>
        <v>0</v>
      </c>
      <c r="AH604" s="13"/>
      <c r="AI604" s="36" t="e">
        <f>#REF!</f>
        <v>#REF!</v>
      </c>
      <c r="AJ604" s="36">
        <v>0</v>
      </c>
      <c r="AK604" s="36"/>
      <c r="AL604" s="47"/>
      <c r="AM604" s="153"/>
      <c r="AN604" s="63">
        <f t="shared" si="283"/>
        <v>0</v>
      </c>
      <c r="AO604" s="29"/>
      <c r="AP604" s="28"/>
      <c r="AQ604" s="64">
        <f t="shared" si="279"/>
        <v>0</v>
      </c>
      <c r="AR604" s="28"/>
      <c r="AS604" s="28"/>
      <c r="AT604" s="157">
        <f t="shared" si="278"/>
        <v>0</v>
      </c>
      <c r="AU604" s="28"/>
      <c r="AV604" s="28"/>
      <c r="AW604" s="109">
        <f t="shared" si="280"/>
        <v>0</v>
      </c>
      <c r="AX604" s="66">
        <f t="shared" si="281"/>
        <v>0</v>
      </c>
      <c r="AY604" s="66"/>
      <c r="AZ604" s="66">
        <f t="shared" si="282"/>
        <v>0</v>
      </c>
      <c r="BA604" s="30"/>
    </row>
    <row r="605" spans="1:53" ht="21.6" customHeight="1" x14ac:dyDescent="0.3">
      <c r="A605" s="2"/>
      <c r="B605" s="3"/>
      <c r="C605" s="3"/>
      <c r="D605" s="3"/>
      <c r="E605" s="3"/>
      <c r="F605" s="3"/>
      <c r="G605" s="150"/>
      <c r="H605" s="394"/>
      <c r="I605" s="50"/>
      <c r="J605" s="15">
        <f t="shared" si="275"/>
        <v>0</v>
      </c>
      <c r="K605" s="3"/>
      <c r="L605" s="3"/>
      <c r="M605" s="3"/>
      <c r="N605" s="3"/>
      <c r="O605" s="3"/>
      <c r="P605" s="8"/>
      <c r="Q605" s="44"/>
      <c r="R605" s="35">
        <f t="shared" si="287"/>
        <v>0</v>
      </c>
      <c r="S605" s="13"/>
      <c r="T605" s="35"/>
      <c r="U605" s="37"/>
      <c r="V605" s="37">
        <f t="shared" si="276"/>
        <v>0</v>
      </c>
      <c r="W605" s="59">
        <f t="shared" si="284"/>
        <v>0</v>
      </c>
      <c r="X605" s="59">
        <f t="shared" si="285"/>
        <v>0</v>
      </c>
      <c r="Y605" s="59">
        <f t="shared" si="286"/>
        <v>0</v>
      </c>
      <c r="Z605" s="39"/>
      <c r="AA605" s="4"/>
      <c r="AB605" s="35"/>
      <c r="AC605" s="13"/>
      <c r="AD605" s="174"/>
      <c r="AE605" s="13"/>
      <c r="AF605" s="35"/>
      <c r="AG605" s="3">
        <f t="shared" si="277"/>
        <v>0</v>
      </c>
      <c r="AH605" s="13"/>
      <c r="AI605" s="36" t="e">
        <f>#REF!</f>
        <v>#REF!</v>
      </c>
      <c r="AJ605" s="36">
        <v>0</v>
      </c>
      <c r="AK605" s="36"/>
      <c r="AL605" s="47"/>
      <c r="AM605" s="153"/>
      <c r="AN605" s="63">
        <f t="shared" si="283"/>
        <v>0</v>
      </c>
      <c r="AO605" s="29"/>
      <c r="AP605" s="28"/>
      <c r="AQ605" s="64">
        <f t="shared" si="279"/>
        <v>0</v>
      </c>
      <c r="AR605" s="28"/>
      <c r="AS605" s="28"/>
      <c r="AT605" s="157">
        <f t="shared" si="278"/>
        <v>0</v>
      </c>
      <c r="AU605" s="28"/>
      <c r="AV605" s="28"/>
      <c r="AW605" s="109">
        <f t="shared" si="280"/>
        <v>0</v>
      </c>
      <c r="AX605" s="66">
        <f t="shared" si="281"/>
        <v>0</v>
      </c>
      <c r="AY605" s="66"/>
      <c r="AZ605" s="66">
        <f t="shared" si="282"/>
        <v>0</v>
      </c>
      <c r="BA605" s="30"/>
    </row>
    <row r="606" spans="1:53" ht="21.6" customHeight="1" x14ac:dyDescent="0.3">
      <c r="A606" s="2"/>
      <c r="B606" s="3"/>
      <c r="C606" s="3"/>
      <c r="D606" s="3"/>
      <c r="E606" s="3"/>
      <c r="F606" s="3"/>
      <c r="G606" s="150"/>
      <c r="H606" s="394"/>
      <c r="I606" s="50"/>
      <c r="J606" s="15">
        <f t="shared" si="275"/>
        <v>0</v>
      </c>
      <c r="K606" s="3"/>
      <c r="L606" s="3"/>
      <c r="M606" s="3"/>
      <c r="N606" s="3"/>
      <c r="O606" s="3"/>
      <c r="P606" s="8"/>
      <c r="Q606" s="44"/>
      <c r="R606" s="35">
        <f t="shared" si="287"/>
        <v>0</v>
      </c>
      <c r="S606" s="13"/>
      <c r="T606" s="35"/>
      <c r="U606" s="37"/>
      <c r="V606" s="37">
        <f t="shared" si="276"/>
        <v>0</v>
      </c>
      <c r="W606" s="59">
        <f t="shared" si="284"/>
        <v>0</v>
      </c>
      <c r="X606" s="59">
        <f t="shared" si="285"/>
        <v>0</v>
      </c>
      <c r="Y606" s="59">
        <f t="shared" si="286"/>
        <v>0</v>
      </c>
      <c r="Z606" s="39"/>
      <c r="AA606" s="4"/>
      <c r="AB606" s="35"/>
      <c r="AC606" s="13"/>
      <c r="AD606" s="174"/>
      <c r="AE606" s="13"/>
      <c r="AF606" s="35"/>
      <c r="AG606" s="3">
        <f t="shared" si="277"/>
        <v>0</v>
      </c>
      <c r="AH606" s="13"/>
      <c r="AI606" s="36" t="e">
        <f>#REF!</f>
        <v>#REF!</v>
      </c>
      <c r="AJ606" s="36">
        <v>0</v>
      </c>
      <c r="AK606" s="36"/>
      <c r="AL606" s="47"/>
      <c r="AM606" s="153"/>
      <c r="AN606" s="63">
        <f t="shared" si="283"/>
        <v>0</v>
      </c>
      <c r="AO606" s="29"/>
      <c r="AP606" s="28"/>
      <c r="AQ606" s="64">
        <f t="shared" si="279"/>
        <v>0</v>
      </c>
      <c r="AR606" s="28"/>
      <c r="AS606" s="28"/>
      <c r="AT606" s="157">
        <f t="shared" si="278"/>
        <v>0</v>
      </c>
      <c r="AU606" s="28"/>
      <c r="AV606" s="28"/>
      <c r="AW606" s="109">
        <f t="shared" si="280"/>
        <v>0</v>
      </c>
      <c r="AX606" s="66">
        <f t="shared" si="281"/>
        <v>0</v>
      </c>
      <c r="AY606" s="66"/>
      <c r="AZ606" s="66">
        <f t="shared" si="282"/>
        <v>0</v>
      </c>
      <c r="BA606" s="30"/>
    </row>
    <row r="607" spans="1:53" ht="21.6" customHeight="1" x14ac:dyDescent="0.3">
      <c r="A607" s="2"/>
      <c r="B607" s="3"/>
      <c r="C607" s="3"/>
      <c r="D607" s="3"/>
      <c r="E607" s="3"/>
      <c r="F607" s="3"/>
      <c r="G607" s="150"/>
      <c r="H607" s="394"/>
      <c r="I607" s="50"/>
      <c r="J607" s="15">
        <f t="shared" si="275"/>
        <v>0</v>
      </c>
      <c r="K607" s="3"/>
      <c r="L607" s="3"/>
      <c r="M607" s="3"/>
      <c r="N607" s="3"/>
      <c r="O607" s="3"/>
      <c r="P607" s="8"/>
      <c r="Q607" s="44"/>
      <c r="R607" s="35">
        <f t="shared" si="287"/>
        <v>0</v>
      </c>
      <c r="S607" s="13"/>
      <c r="T607" s="35"/>
      <c r="U607" s="37"/>
      <c r="V607" s="37">
        <f t="shared" si="276"/>
        <v>0</v>
      </c>
      <c r="W607" s="59">
        <f t="shared" si="284"/>
        <v>0</v>
      </c>
      <c r="X607" s="59">
        <f t="shared" si="285"/>
        <v>0</v>
      </c>
      <c r="Y607" s="59">
        <f t="shared" si="286"/>
        <v>0</v>
      </c>
      <c r="Z607" s="39"/>
      <c r="AA607" s="4"/>
      <c r="AB607" s="35"/>
      <c r="AC607" s="13"/>
      <c r="AD607" s="174"/>
      <c r="AE607" s="13"/>
      <c r="AF607" s="35"/>
      <c r="AG607" s="3">
        <f t="shared" si="277"/>
        <v>0</v>
      </c>
      <c r="AH607" s="13"/>
      <c r="AI607" s="36" t="e">
        <f>#REF!</f>
        <v>#REF!</v>
      </c>
      <c r="AJ607" s="36">
        <v>0</v>
      </c>
      <c r="AK607" s="36"/>
      <c r="AL607" s="47"/>
      <c r="AM607" s="153"/>
      <c r="AN607" s="63">
        <f t="shared" si="283"/>
        <v>0</v>
      </c>
      <c r="AO607" s="29"/>
      <c r="AP607" s="28"/>
      <c r="AQ607" s="64">
        <f t="shared" si="279"/>
        <v>0</v>
      </c>
      <c r="AR607" s="28"/>
      <c r="AS607" s="28"/>
      <c r="AT607" s="157">
        <f t="shared" si="278"/>
        <v>0</v>
      </c>
      <c r="AU607" s="28"/>
      <c r="AV607" s="28"/>
      <c r="AW607" s="109">
        <f t="shared" si="280"/>
        <v>0</v>
      </c>
      <c r="AX607" s="66">
        <f t="shared" si="281"/>
        <v>0</v>
      </c>
      <c r="AY607" s="66"/>
      <c r="AZ607" s="66">
        <f t="shared" si="282"/>
        <v>0</v>
      </c>
      <c r="BA607" s="30"/>
    </row>
    <row r="608" spans="1:53" ht="21.6" customHeight="1" x14ac:dyDescent="0.3">
      <c r="A608" s="2"/>
      <c r="B608" s="3"/>
      <c r="C608" s="3"/>
      <c r="D608" s="3"/>
      <c r="E608" s="3"/>
      <c r="F608" s="3"/>
      <c r="G608" s="150"/>
      <c r="H608" s="394"/>
      <c r="I608" s="50"/>
      <c r="J608" s="15">
        <f t="shared" si="275"/>
        <v>0</v>
      </c>
      <c r="K608" s="3"/>
      <c r="L608" s="3"/>
      <c r="M608" s="3"/>
      <c r="N608" s="3"/>
      <c r="O608" s="3"/>
      <c r="P608" s="8"/>
      <c r="Q608" s="44"/>
      <c r="R608" s="35">
        <f t="shared" si="287"/>
        <v>0</v>
      </c>
      <c r="S608" s="13"/>
      <c r="T608" s="35"/>
      <c r="U608" s="37"/>
      <c r="V608" s="37">
        <f t="shared" si="276"/>
        <v>0</v>
      </c>
      <c r="W608" s="59">
        <f t="shared" si="284"/>
        <v>0</v>
      </c>
      <c r="X608" s="59">
        <f t="shared" si="285"/>
        <v>0</v>
      </c>
      <c r="Y608" s="59">
        <f t="shared" si="286"/>
        <v>0</v>
      </c>
      <c r="Z608" s="39"/>
      <c r="AA608" s="4"/>
      <c r="AB608" s="35"/>
      <c r="AC608" s="13"/>
      <c r="AD608" s="174"/>
      <c r="AE608" s="13"/>
      <c r="AF608" s="35"/>
      <c r="AG608" s="3">
        <f t="shared" si="277"/>
        <v>0</v>
      </c>
      <c r="AH608" s="13"/>
      <c r="AI608" s="36" t="e">
        <f>#REF!</f>
        <v>#REF!</v>
      </c>
      <c r="AJ608" s="36">
        <v>0</v>
      </c>
      <c r="AK608" s="36"/>
      <c r="AL608" s="47"/>
      <c r="AM608" s="153"/>
      <c r="AN608" s="63">
        <f t="shared" si="283"/>
        <v>0</v>
      </c>
      <c r="AO608" s="29"/>
      <c r="AP608" s="28"/>
      <c r="AQ608" s="64">
        <f t="shared" si="279"/>
        <v>0</v>
      </c>
      <c r="AR608" s="28"/>
      <c r="AS608" s="28"/>
      <c r="AT608" s="157">
        <f t="shared" si="278"/>
        <v>0</v>
      </c>
      <c r="AU608" s="28"/>
      <c r="AV608" s="28"/>
      <c r="AW608" s="109">
        <f t="shared" si="280"/>
        <v>0</v>
      </c>
      <c r="AX608" s="66">
        <f t="shared" si="281"/>
        <v>0</v>
      </c>
      <c r="AY608" s="66"/>
      <c r="AZ608" s="66">
        <f t="shared" si="282"/>
        <v>0</v>
      </c>
      <c r="BA608" s="30"/>
    </row>
    <row r="609" spans="1:53" ht="21.6" customHeight="1" x14ac:dyDescent="0.3">
      <c r="A609" s="2"/>
      <c r="B609" s="3"/>
      <c r="C609" s="3"/>
      <c r="D609" s="3"/>
      <c r="E609" s="3"/>
      <c r="F609" s="3"/>
      <c r="G609" s="150"/>
      <c r="H609" s="394"/>
      <c r="I609" s="50"/>
      <c r="J609" s="15">
        <f t="shared" si="275"/>
        <v>0</v>
      </c>
      <c r="K609" s="3"/>
      <c r="L609" s="3"/>
      <c r="M609" s="3"/>
      <c r="N609" s="3"/>
      <c r="O609" s="3"/>
      <c r="P609" s="8"/>
      <c r="Q609" s="44"/>
      <c r="R609" s="35">
        <f t="shared" si="287"/>
        <v>0</v>
      </c>
      <c r="S609" s="13"/>
      <c r="T609" s="35"/>
      <c r="U609" s="37"/>
      <c r="V609" s="37">
        <f t="shared" si="276"/>
        <v>0</v>
      </c>
      <c r="W609" s="59">
        <f t="shared" si="284"/>
        <v>0</v>
      </c>
      <c r="X609" s="59">
        <f t="shared" si="285"/>
        <v>0</v>
      </c>
      <c r="Y609" s="59">
        <f t="shared" si="286"/>
        <v>0</v>
      </c>
      <c r="Z609" s="39"/>
      <c r="AA609" s="4"/>
      <c r="AB609" s="35"/>
      <c r="AC609" s="13"/>
      <c r="AD609" s="174"/>
      <c r="AE609" s="13"/>
      <c r="AF609" s="35"/>
      <c r="AG609" s="3">
        <f t="shared" si="277"/>
        <v>0</v>
      </c>
      <c r="AH609" s="13"/>
      <c r="AI609" s="36" t="e">
        <f>#REF!</f>
        <v>#REF!</v>
      </c>
      <c r="AJ609" s="36">
        <v>0</v>
      </c>
      <c r="AK609" s="36"/>
      <c r="AL609" s="47"/>
      <c r="AM609" s="153"/>
      <c r="AN609" s="63">
        <f t="shared" si="283"/>
        <v>0</v>
      </c>
      <c r="AO609" s="29"/>
      <c r="AP609" s="28"/>
      <c r="AQ609" s="64">
        <f t="shared" si="279"/>
        <v>0</v>
      </c>
      <c r="AR609" s="28"/>
      <c r="AS609" s="28"/>
      <c r="AT609" s="157">
        <f t="shared" si="278"/>
        <v>0</v>
      </c>
      <c r="AU609" s="28"/>
      <c r="AV609" s="28"/>
      <c r="AW609" s="109">
        <f t="shared" si="280"/>
        <v>0</v>
      </c>
      <c r="AX609" s="66">
        <f t="shared" si="281"/>
        <v>0</v>
      </c>
      <c r="AY609" s="66"/>
      <c r="AZ609" s="66">
        <f t="shared" si="282"/>
        <v>0</v>
      </c>
      <c r="BA609" s="30"/>
    </row>
    <row r="610" spans="1:53" ht="21.6" customHeight="1" x14ac:dyDescent="0.3">
      <c r="A610" s="2"/>
      <c r="B610" s="3"/>
      <c r="C610" s="3"/>
      <c r="D610" s="3"/>
      <c r="E610" s="3"/>
      <c r="F610" s="3"/>
      <c r="G610" s="150"/>
      <c r="H610" s="394"/>
      <c r="I610" s="50"/>
      <c r="J610" s="15">
        <f t="shared" si="275"/>
        <v>0</v>
      </c>
      <c r="K610" s="3"/>
      <c r="L610" s="3"/>
      <c r="M610" s="3"/>
      <c r="N610" s="3"/>
      <c r="O610" s="3"/>
      <c r="P610" s="8"/>
      <c r="Q610" s="44"/>
      <c r="R610" s="35">
        <f t="shared" si="287"/>
        <v>0</v>
      </c>
      <c r="S610" s="13"/>
      <c r="T610" s="35"/>
      <c r="U610" s="37"/>
      <c r="V610" s="37">
        <f t="shared" si="276"/>
        <v>0</v>
      </c>
      <c r="W610" s="59">
        <f t="shared" si="284"/>
        <v>0</v>
      </c>
      <c r="X610" s="59">
        <f t="shared" si="285"/>
        <v>0</v>
      </c>
      <c r="Y610" s="59">
        <f t="shared" si="286"/>
        <v>0</v>
      </c>
      <c r="Z610" s="39"/>
      <c r="AA610" s="4"/>
      <c r="AB610" s="35"/>
      <c r="AC610" s="13"/>
      <c r="AD610" s="174"/>
      <c r="AE610" s="13"/>
      <c r="AF610" s="35"/>
      <c r="AG610" s="3">
        <f t="shared" si="277"/>
        <v>0</v>
      </c>
      <c r="AH610" s="13"/>
      <c r="AI610" s="36" t="e">
        <f>#REF!</f>
        <v>#REF!</v>
      </c>
      <c r="AJ610" s="36">
        <v>0</v>
      </c>
      <c r="AK610" s="36"/>
      <c r="AL610" s="47"/>
      <c r="AM610" s="153"/>
      <c r="AN610" s="63">
        <f t="shared" si="283"/>
        <v>0</v>
      </c>
      <c r="AO610" s="29"/>
      <c r="AP610" s="28"/>
      <c r="AQ610" s="64">
        <f t="shared" si="279"/>
        <v>0</v>
      </c>
      <c r="AR610" s="28"/>
      <c r="AS610" s="28"/>
      <c r="AT610" s="157">
        <f t="shared" si="278"/>
        <v>0</v>
      </c>
      <c r="AU610" s="28"/>
      <c r="AV610" s="28"/>
      <c r="AW610" s="109">
        <f t="shared" si="280"/>
        <v>0</v>
      </c>
      <c r="AX610" s="66">
        <f t="shared" si="281"/>
        <v>0</v>
      </c>
      <c r="AY610" s="66"/>
      <c r="AZ610" s="66">
        <f t="shared" si="282"/>
        <v>0</v>
      </c>
      <c r="BA610" s="30"/>
    </row>
    <row r="611" spans="1:53" ht="21.6" customHeight="1" x14ac:dyDescent="0.3">
      <c r="A611" s="2"/>
      <c r="B611" s="3"/>
      <c r="C611" s="3"/>
      <c r="D611" s="3"/>
      <c r="E611" s="3"/>
      <c r="F611" s="3"/>
      <c r="G611" s="150"/>
      <c r="H611" s="394"/>
      <c r="I611" s="50"/>
      <c r="J611" s="15">
        <f t="shared" si="275"/>
        <v>0</v>
      </c>
      <c r="K611" s="3"/>
      <c r="L611" s="3"/>
      <c r="M611" s="3"/>
      <c r="N611" s="3"/>
      <c r="O611" s="3"/>
      <c r="P611" s="8"/>
      <c r="Q611" s="44"/>
      <c r="R611" s="35">
        <f t="shared" si="287"/>
        <v>0</v>
      </c>
      <c r="S611" s="13"/>
      <c r="T611" s="35"/>
      <c r="U611" s="37"/>
      <c r="V611" s="37">
        <f t="shared" si="276"/>
        <v>0</v>
      </c>
      <c r="W611" s="59">
        <f t="shared" si="284"/>
        <v>0</v>
      </c>
      <c r="X611" s="59">
        <f t="shared" si="285"/>
        <v>0</v>
      </c>
      <c r="Y611" s="59">
        <f t="shared" si="286"/>
        <v>0</v>
      </c>
      <c r="Z611" s="39"/>
      <c r="AA611" s="4"/>
      <c r="AB611" s="35"/>
      <c r="AC611" s="13"/>
      <c r="AD611" s="174"/>
      <c r="AE611" s="13"/>
      <c r="AF611" s="35"/>
      <c r="AG611" s="3">
        <f t="shared" si="277"/>
        <v>0</v>
      </c>
      <c r="AH611" s="13"/>
      <c r="AI611" s="36" t="e">
        <f>#REF!</f>
        <v>#REF!</v>
      </c>
      <c r="AJ611" s="36">
        <v>0</v>
      </c>
      <c r="AK611" s="36"/>
      <c r="AL611" s="47"/>
      <c r="AM611" s="153"/>
      <c r="AN611" s="63">
        <f t="shared" si="283"/>
        <v>0</v>
      </c>
      <c r="AO611" s="29"/>
      <c r="AP611" s="28"/>
      <c r="AQ611" s="64">
        <f t="shared" si="279"/>
        <v>0</v>
      </c>
      <c r="AR611" s="28"/>
      <c r="AS611" s="28"/>
      <c r="AT611" s="157">
        <f t="shared" si="278"/>
        <v>0</v>
      </c>
      <c r="AU611" s="28"/>
      <c r="AV611" s="28"/>
      <c r="AW611" s="109">
        <f t="shared" si="280"/>
        <v>0</v>
      </c>
      <c r="AX611" s="66">
        <f t="shared" si="281"/>
        <v>0</v>
      </c>
      <c r="AY611" s="66"/>
      <c r="AZ611" s="66">
        <f t="shared" si="282"/>
        <v>0</v>
      </c>
      <c r="BA611" s="30"/>
    </row>
    <row r="612" spans="1:53" ht="21.6" customHeight="1" x14ac:dyDescent="0.3">
      <c r="A612" s="2"/>
      <c r="B612" s="3"/>
      <c r="C612" s="3"/>
      <c r="D612" s="3"/>
      <c r="E612" s="3"/>
      <c r="F612" s="3"/>
      <c r="G612" s="150"/>
      <c r="H612" s="394"/>
      <c r="I612" s="50"/>
      <c r="J612" s="15">
        <f t="shared" si="275"/>
        <v>0</v>
      </c>
      <c r="K612" s="3"/>
      <c r="L612" s="3"/>
      <c r="M612" s="3"/>
      <c r="N612" s="3"/>
      <c r="O612" s="3"/>
      <c r="P612" s="8"/>
      <c r="Q612" s="44"/>
      <c r="R612" s="35">
        <f t="shared" si="287"/>
        <v>0</v>
      </c>
      <c r="S612" s="13"/>
      <c r="T612" s="35"/>
      <c r="U612" s="37"/>
      <c r="V612" s="37">
        <f t="shared" si="276"/>
        <v>0</v>
      </c>
      <c r="W612" s="59">
        <f t="shared" si="284"/>
        <v>0</v>
      </c>
      <c r="X612" s="59">
        <f t="shared" si="285"/>
        <v>0</v>
      </c>
      <c r="Y612" s="59">
        <f t="shared" si="286"/>
        <v>0</v>
      </c>
      <c r="Z612" s="39"/>
      <c r="AA612" s="4"/>
      <c r="AB612" s="35"/>
      <c r="AC612" s="13"/>
      <c r="AD612" s="174"/>
      <c r="AE612" s="13"/>
      <c r="AF612" s="35"/>
      <c r="AG612" s="3">
        <f t="shared" si="277"/>
        <v>0</v>
      </c>
      <c r="AH612" s="13"/>
      <c r="AI612" s="36" t="e">
        <f>#REF!</f>
        <v>#REF!</v>
      </c>
      <c r="AJ612" s="36">
        <v>0</v>
      </c>
      <c r="AK612" s="36"/>
      <c r="AL612" s="47"/>
      <c r="AM612" s="153"/>
      <c r="AN612" s="63">
        <f t="shared" si="283"/>
        <v>0</v>
      </c>
      <c r="AO612" s="29"/>
      <c r="AP612" s="28"/>
      <c r="AQ612" s="64">
        <f t="shared" si="279"/>
        <v>0</v>
      </c>
      <c r="AR612" s="28"/>
      <c r="AS612" s="28"/>
      <c r="AT612" s="157">
        <f t="shared" si="278"/>
        <v>0</v>
      </c>
      <c r="AU612" s="28"/>
      <c r="AV612" s="28"/>
      <c r="AW612" s="109">
        <f t="shared" si="280"/>
        <v>0</v>
      </c>
      <c r="AX612" s="66">
        <f t="shared" si="281"/>
        <v>0</v>
      </c>
      <c r="AY612" s="66"/>
      <c r="AZ612" s="66">
        <f t="shared" si="282"/>
        <v>0</v>
      </c>
      <c r="BA612" s="30"/>
    </row>
    <row r="613" spans="1:53" ht="21.6" customHeight="1" x14ac:dyDescent="0.3">
      <c r="A613" s="2"/>
      <c r="B613" s="3"/>
      <c r="C613" s="3"/>
      <c r="D613" s="3"/>
      <c r="E613" s="3"/>
      <c r="F613" s="3"/>
      <c r="G613" s="150"/>
      <c r="H613" s="394"/>
      <c r="I613" s="50"/>
      <c r="J613" s="15">
        <f t="shared" si="275"/>
        <v>0</v>
      </c>
      <c r="K613" s="3"/>
      <c r="L613" s="3"/>
      <c r="M613" s="3"/>
      <c r="N613" s="3"/>
      <c r="O613" s="3"/>
      <c r="P613" s="8"/>
      <c r="Q613" s="44"/>
      <c r="R613" s="35">
        <f t="shared" si="287"/>
        <v>0</v>
      </c>
      <c r="S613" s="13"/>
      <c r="T613" s="35"/>
      <c r="U613" s="37"/>
      <c r="V613" s="37">
        <f t="shared" si="276"/>
        <v>0</v>
      </c>
      <c r="W613" s="59">
        <f t="shared" si="284"/>
        <v>0</v>
      </c>
      <c r="X613" s="59">
        <f t="shared" si="285"/>
        <v>0</v>
      </c>
      <c r="Y613" s="59">
        <f t="shared" si="286"/>
        <v>0</v>
      </c>
      <c r="Z613" s="39"/>
      <c r="AA613" s="4"/>
      <c r="AB613" s="35"/>
      <c r="AC613" s="13"/>
      <c r="AD613" s="174"/>
      <c r="AE613" s="13"/>
      <c r="AF613" s="35"/>
      <c r="AG613" s="3">
        <f t="shared" si="277"/>
        <v>0</v>
      </c>
      <c r="AH613" s="13"/>
      <c r="AI613" s="36" t="e">
        <f>#REF!</f>
        <v>#REF!</v>
      </c>
      <c r="AJ613" s="36">
        <v>0</v>
      </c>
      <c r="AK613" s="36"/>
      <c r="AL613" s="47"/>
      <c r="AM613" s="153"/>
      <c r="AN613" s="63">
        <f t="shared" si="283"/>
        <v>0</v>
      </c>
      <c r="AO613" s="29"/>
      <c r="AP613" s="28"/>
      <c r="AQ613" s="64">
        <f t="shared" si="279"/>
        <v>0</v>
      </c>
      <c r="AR613" s="28"/>
      <c r="AS613" s="28"/>
      <c r="AT613" s="157">
        <f t="shared" si="278"/>
        <v>0</v>
      </c>
      <c r="AU613" s="28"/>
      <c r="AV613" s="28"/>
      <c r="AW613" s="109">
        <f t="shared" si="280"/>
        <v>0</v>
      </c>
      <c r="AX613" s="66">
        <f t="shared" si="281"/>
        <v>0</v>
      </c>
      <c r="AY613" s="66"/>
      <c r="AZ613" s="66">
        <f t="shared" si="282"/>
        <v>0</v>
      </c>
      <c r="BA613" s="30"/>
    </row>
    <row r="614" spans="1:53" ht="21.6" customHeight="1" x14ac:dyDescent="0.3">
      <c r="A614" s="2"/>
      <c r="B614" s="3"/>
      <c r="C614" s="3"/>
      <c r="D614" s="3"/>
      <c r="E614" s="3"/>
      <c r="F614" s="3"/>
      <c r="G614" s="150"/>
      <c r="H614" s="394"/>
      <c r="I614" s="50"/>
      <c r="J614" s="15">
        <f t="shared" si="275"/>
        <v>0</v>
      </c>
      <c r="K614" s="3"/>
      <c r="L614" s="3"/>
      <c r="M614" s="3"/>
      <c r="N614" s="3"/>
      <c r="O614" s="3"/>
      <c r="P614" s="8"/>
      <c r="Q614" s="44"/>
      <c r="R614" s="35">
        <f t="shared" si="287"/>
        <v>0</v>
      </c>
      <c r="S614" s="13"/>
      <c r="T614" s="35"/>
      <c r="U614" s="37"/>
      <c r="V614" s="37">
        <f t="shared" si="276"/>
        <v>0</v>
      </c>
      <c r="W614" s="59">
        <f t="shared" si="284"/>
        <v>0</v>
      </c>
      <c r="X614" s="59">
        <f t="shared" si="285"/>
        <v>0</v>
      </c>
      <c r="Y614" s="59">
        <f t="shared" si="286"/>
        <v>0</v>
      </c>
      <c r="Z614" s="39"/>
      <c r="AA614" s="4"/>
      <c r="AB614" s="35"/>
      <c r="AC614" s="13"/>
      <c r="AD614" s="174"/>
      <c r="AE614" s="13"/>
      <c r="AF614" s="35"/>
      <c r="AG614" s="3">
        <f t="shared" si="277"/>
        <v>0</v>
      </c>
      <c r="AH614" s="13"/>
      <c r="AI614" s="36" t="e">
        <f>#REF!</f>
        <v>#REF!</v>
      </c>
      <c r="AJ614" s="36">
        <v>0</v>
      </c>
      <c r="AK614" s="36"/>
      <c r="AL614" s="47"/>
      <c r="AM614" s="153"/>
      <c r="AN614" s="63">
        <f t="shared" si="283"/>
        <v>0</v>
      </c>
      <c r="AO614" s="29"/>
      <c r="AP614" s="28"/>
      <c r="AQ614" s="64">
        <f t="shared" si="279"/>
        <v>0</v>
      </c>
      <c r="AR614" s="28"/>
      <c r="AS614" s="28"/>
      <c r="AT614" s="157">
        <f t="shared" si="278"/>
        <v>0</v>
      </c>
      <c r="AU614" s="28"/>
      <c r="AV614" s="28"/>
      <c r="AW614" s="109">
        <f t="shared" si="280"/>
        <v>0</v>
      </c>
      <c r="AX614" s="66">
        <f t="shared" si="281"/>
        <v>0</v>
      </c>
      <c r="AY614" s="66"/>
      <c r="AZ614" s="66">
        <f t="shared" si="282"/>
        <v>0</v>
      </c>
      <c r="BA614" s="30"/>
    </row>
    <row r="615" spans="1:53" ht="21.6" customHeight="1" x14ac:dyDescent="0.3">
      <c r="A615" s="2"/>
      <c r="B615" s="3"/>
      <c r="C615" s="3"/>
      <c r="D615" s="3"/>
      <c r="E615" s="3"/>
      <c r="F615" s="3"/>
      <c r="G615" s="150"/>
      <c r="H615" s="394"/>
      <c r="I615" s="50"/>
      <c r="J615" s="15">
        <f t="shared" si="275"/>
        <v>0</v>
      </c>
      <c r="K615" s="3"/>
      <c r="L615" s="3"/>
      <c r="M615" s="3"/>
      <c r="N615" s="3"/>
      <c r="O615" s="3"/>
      <c r="P615" s="8"/>
      <c r="Q615" s="44"/>
      <c r="R615" s="35">
        <f t="shared" si="287"/>
        <v>0</v>
      </c>
      <c r="S615" s="13"/>
      <c r="T615" s="35"/>
      <c r="U615" s="37"/>
      <c r="V615" s="37">
        <f t="shared" si="276"/>
        <v>0</v>
      </c>
      <c r="W615" s="59">
        <f t="shared" si="284"/>
        <v>0</v>
      </c>
      <c r="X615" s="59">
        <f t="shared" si="285"/>
        <v>0</v>
      </c>
      <c r="Y615" s="59">
        <f t="shared" si="286"/>
        <v>0</v>
      </c>
      <c r="Z615" s="39"/>
      <c r="AA615" s="4"/>
      <c r="AB615" s="35"/>
      <c r="AC615" s="13"/>
      <c r="AD615" s="174"/>
      <c r="AE615" s="13"/>
      <c r="AF615" s="35"/>
      <c r="AG615" s="3">
        <f t="shared" si="277"/>
        <v>0</v>
      </c>
      <c r="AH615" s="13"/>
      <c r="AI615" s="36" t="e">
        <f>#REF!</f>
        <v>#REF!</v>
      </c>
      <c r="AJ615" s="36">
        <v>0</v>
      </c>
      <c r="AK615" s="36"/>
      <c r="AL615" s="47"/>
      <c r="AM615" s="153"/>
      <c r="AN615" s="63">
        <f t="shared" si="283"/>
        <v>0</v>
      </c>
      <c r="AO615" s="29"/>
      <c r="AP615" s="28"/>
      <c r="AQ615" s="64">
        <f t="shared" si="279"/>
        <v>0</v>
      </c>
      <c r="AR615" s="28"/>
      <c r="AS615" s="28"/>
      <c r="AT615" s="157">
        <f t="shared" si="278"/>
        <v>0</v>
      </c>
      <c r="AU615" s="28"/>
      <c r="AV615" s="28"/>
      <c r="AW615" s="109">
        <f t="shared" si="280"/>
        <v>0</v>
      </c>
      <c r="AX615" s="66">
        <f t="shared" si="281"/>
        <v>0</v>
      </c>
      <c r="AY615" s="66"/>
      <c r="AZ615" s="66">
        <f t="shared" si="282"/>
        <v>0</v>
      </c>
      <c r="BA615" s="30"/>
    </row>
    <row r="616" spans="1:53" ht="21.6" customHeight="1" x14ac:dyDescent="0.3">
      <c r="A616" s="2"/>
      <c r="B616" s="3"/>
      <c r="C616" s="3"/>
      <c r="D616" s="3"/>
      <c r="E616" s="3"/>
      <c r="F616" s="3"/>
      <c r="G616" s="150"/>
      <c r="H616" s="394"/>
      <c r="I616" s="50"/>
      <c r="J616" s="15">
        <f t="shared" si="275"/>
        <v>0</v>
      </c>
      <c r="K616" s="3"/>
      <c r="L616" s="3"/>
      <c r="M616" s="3"/>
      <c r="N616" s="3"/>
      <c r="O616" s="3"/>
      <c r="P616" s="8"/>
      <c r="Q616" s="44"/>
      <c r="R616" s="35">
        <f t="shared" si="287"/>
        <v>0</v>
      </c>
      <c r="S616" s="13"/>
      <c r="T616" s="35"/>
      <c r="U616" s="37"/>
      <c r="V616" s="37">
        <f t="shared" si="276"/>
        <v>0</v>
      </c>
      <c r="W616" s="59">
        <f t="shared" si="284"/>
        <v>0</v>
      </c>
      <c r="X616" s="59">
        <f t="shared" si="285"/>
        <v>0</v>
      </c>
      <c r="Y616" s="59">
        <f t="shared" si="286"/>
        <v>0</v>
      </c>
      <c r="Z616" s="39"/>
      <c r="AA616" s="4"/>
      <c r="AB616" s="35"/>
      <c r="AC616" s="13"/>
      <c r="AD616" s="174"/>
      <c r="AE616" s="13"/>
      <c r="AF616" s="35"/>
      <c r="AG616" s="3">
        <f t="shared" si="277"/>
        <v>0</v>
      </c>
      <c r="AH616" s="13"/>
      <c r="AI616" s="36" t="e">
        <f>#REF!</f>
        <v>#REF!</v>
      </c>
      <c r="AJ616" s="36">
        <v>0</v>
      </c>
      <c r="AK616" s="36"/>
      <c r="AL616" s="47"/>
      <c r="AM616" s="153"/>
      <c r="AN616" s="63">
        <f t="shared" si="283"/>
        <v>0</v>
      </c>
      <c r="AO616" s="29"/>
      <c r="AP616" s="28"/>
      <c r="AQ616" s="64">
        <f t="shared" si="279"/>
        <v>0</v>
      </c>
      <c r="AR616" s="28"/>
      <c r="AS616" s="28"/>
      <c r="AT616" s="157">
        <f t="shared" si="278"/>
        <v>0</v>
      </c>
      <c r="AU616" s="28"/>
      <c r="AV616" s="28"/>
      <c r="AW616" s="109">
        <f t="shared" si="280"/>
        <v>0</v>
      </c>
      <c r="AX616" s="66">
        <f t="shared" si="281"/>
        <v>0</v>
      </c>
      <c r="AY616" s="66"/>
      <c r="AZ616" s="66">
        <f t="shared" si="282"/>
        <v>0</v>
      </c>
      <c r="BA616" s="30"/>
    </row>
    <row r="617" spans="1:53" ht="21.6" customHeight="1" x14ac:dyDescent="0.3">
      <c r="A617" s="2"/>
      <c r="B617" s="3"/>
      <c r="C617" s="3"/>
      <c r="D617" s="3"/>
      <c r="E617" s="3"/>
      <c r="F617" s="3"/>
      <c r="G617" s="150"/>
      <c r="H617" s="394"/>
      <c r="I617" s="50"/>
      <c r="J617" s="15">
        <f t="shared" si="275"/>
        <v>0</v>
      </c>
      <c r="K617" s="3"/>
      <c r="L617" s="3"/>
      <c r="M617" s="3"/>
      <c r="N617" s="3"/>
      <c r="O617" s="3"/>
      <c r="P617" s="8"/>
      <c r="Q617" s="44"/>
      <c r="R617" s="35">
        <f t="shared" si="287"/>
        <v>0</v>
      </c>
      <c r="S617" s="13"/>
      <c r="T617" s="35"/>
      <c r="U617" s="37"/>
      <c r="V617" s="37">
        <f t="shared" si="276"/>
        <v>0</v>
      </c>
      <c r="W617" s="59">
        <f t="shared" si="284"/>
        <v>0</v>
      </c>
      <c r="X617" s="59">
        <f t="shared" si="285"/>
        <v>0</v>
      </c>
      <c r="Y617" s="59">
        <f t="shared" si="286"/>
        <v>0</v>
      </c>
      <c r="Z617" s="39"/>
      <c r="AA617" s="4"/>
      <c r="AB617" s="35"/>
      <c r="AC617" s="13"/>
      <c r="AD617" s="174"/>
      <c r="AE617" s="13"/>
      <c r="AF617" s="35"/>
      <c r="AG617" s="3">
        <f t="shared" si="277"/>
        <v>0</v>
      </c>
      <c r="AH617" s="13"/>
      <c r="AI617" s="36" t="e">
        <f>#REF!</f>
        <v>#REF!</v>
      </c>
      <c r="AJ617" s="36">
        <v>0</v>
      </c>
      <c r="AK617" s="36"/>
      <c r="AL617" s="47"/>
      <c r="AM617" s="153"/>
      <c r="AN617" s="63">
        <f t="shared" si="283"/>
        <v>0</v>
      </c>
      <c r="AO617" s="31"/>
      <c r="AP617" s="32"/>
      <c r="AQ617" s="64">
        <f t="shared" si="279"/>
        <v>0</v>
      </c>
      <c r="AR617" s="32"/>
      <c r="AS617" s="32"/>
      <c r="AT617" s="157">
        <f t="shared" si="278"/>
        <v>0</v>
      </c>
      <c r="AU617" s="32"/>
      <c r="AV617" s="32"/>
      <c r="AW617" s="109">
        <f t="shared" si="280"/>
        <v>0</v>
      </c>
      <c r="AX617" s="66">
        <f t="shared" si="281"/>
        <v>0</v>
      </c>
      <c r="AY617" s="66"/>
      <c r="AZ617" s="66">
        <f t="shared" si="282"/>
        <v>0</v>
      </c>
      <c r="BA617" s="33"/>
    </row>
    <row r="618" spans="1:53" ht="21.6" customHeight="1" x14ac:dyDescent="0.3">
      <c r="A618" s="9"/>
      <c r="B618" s="9"/>
      <c r="C618" s="9"/>
      <c r="D618" s="9"/>
      <c r="E618" s="9"/>
      <c r="F618" s="9"/>
      <c r="G618" s="151"/>
      <c r="H618" s="399"/>
      <c r="I618" s="139"/>
      <c r="J618" s="15">
        <f t="shared" si="275"/>
        <v>0</v>
      </c>
      <c r="K618" s="9"/>
      <c r="L618" s="9"/>
      <c r="M618" s="9"/>
      <c r="N618" s="9"/>
      <c r="O618" s="9"/>
      <c r="P618" s="9"/>
      <c r="Q618" s="44"/>
      <c r="R618" s="35">
        <f t="shared" si="287"/>
        <v>0</v>
      </c>
      <c r="S618" s="13"/>
      <c r="T618" s="35"/>
      <c r="U618" s="37"/>
      <c r="V618" s="37">
        <f t="shared" si="276"/>
        <v>0</v>
      </c>
      <c r="W618" s="59">
        <f t="shared" si="284"/>
        <v>0</v>
      </c>
      <c r="X618" s="59">
        <f t="shared" si="285"/>
        <v>0</v>
      </c>
      <c r="Y618" s="59">
        <f t="shared" si="286"/>
        <v>0</v>
      </c>
      <c r="Z618" s="39"/>
      <c r="AA618" s="4"/>
      <c r="AB618" s="35"/>
      <c r="AC618" s="13"/>
      <c r="AD618" s="174"/>
      <c r="AE618" s="13"/>
      <c r="AF618" s="35"/>
      <c r="AG618" s="3">
        <f t="shared" si="277"/>
        <v>0</v>
      </c>
      <c r="AH618" s="13"/>
      <c r="AI618" s="36" t="e">
        <f>#REF!</f>
        <v>#REF!</v>
      </c>
      <c r="AJ618" s="36">
        <v>0</v>
      </c>
      <c r="AK618" s="36"/>
      <c r="AL618" s="47"/>
      <c r="AM618" s="153"/>
      <c r="AN618" s="63">
        <f t="shared" si="283"/>
        <v>0</v>
      </c>
      <c r="AO618" s="40"/>
      <c r="AP618" s="9"/>
      <c r="AQ618" s="64">
        <f t="shared" si="279"/>
        <v>0</v>
      </c>
      <c r="AR618"/>
      <c r="AS618"/>
      <c r="AT618" s="157">
        <f t="shared" si="278"/>
        <v>0</v>
      </c>
      <c r="AU618"/>
      <c r="AV618"/>
      <c r="AW618" s="109">
        <f t="shared" si="280"/>
        <v>0</v>
      </c>
      <c r="AX618" s="66">
        <f t="shared" si="281"/>
        <v>0</v>
      </c>
      <c r="AY618" s="66"/>
      <c r="AZ618" s="66">
        <f t="shared" si="282"/>
        <v>0</v>
      </c>
      <c r="BA618" s="38"/>
    </row>
    <row r="619" spans="1:53" ht="21.6" customHeight="1" x14ac:dyDescent="0.3">
      <c r="A619" s="9"/>
      <c r="B619" s="9"/>
      <c r="C619" s="9"/>
      <c r="D619" s="9"/>
      <c r="E619" s="9"/>
      <c r="F619" s="9"/>
      <c r="G619" s="151"/>
      <c r="H619" s="399"/>
      <c r="I619" s="139"/>
      <c r="J619" s="15">
        <f t="shared" ref="J619:J626" si="288">I619-H619</f>
        <v>0</v>
      </c>
      <c r="K619" s="9"/>
      <c r="L619" s="9"/>
      <c r="M619" s="9"/>
      <c r="N619" s="9"/>
      <c r="O619" s="9"/>
      <c r="P619" s="9"/>
      <c r="Q619" s="44"/>
      <c r="R619" s="35">
        <f t="shared" si="287"/>
        <v>0</v>
      </c>
      <c r="S619" s="13"/>
      <c r="T619" s="35"/>
      <c r="U619" s="37"/>
      <c r="V619" s="37">
        <f t="shared" si="276"/>
        <v>0</v>
      </c>
      <c r="W619" s="59">
        <f t="shared" si="284"/>
        <v>0</v>
      </c>
      <c r="X619" s="59">
        <f t="shared" si="285"/>
        <v>0</v>
      </c>
      <c r="Y619" s="59">
        <f t="shared" si="286"/>
        <v>0</v>
      </c>
      <c r="Z619" s="39"/>
      <c r="AA619" s="4"/>
      <c r="AB619" s="35"/>
      <c r="AC619" s="13"/>
      <c r="AD619" s="174"/>
      <c r="AE619" s="13"/>
      <c r="AF619" s="35"/>
      <c r="AG619" s="3">
        <f t="shared" si="277"/>
        <v>0</v>
      </c>
      <c r="AH619" s="13"/>
      <c r="AI619" s="36" t="e">
        <f>#REF!</f>
        <v>#REF!</v>
      </c>
      <c r="AJ619" s="36">
        <v>0</v>
      </c>
      <c r="AK619" s="36"/>
      <c r="AL619" s="47"/>
      <c r="AM619" s="153"/>
      <c r="AN619" s="63">
        <f t="shared" si="283"/>
        <v>0</v>
      </c>
      <c r="AO619" s="40"/>
      <c r="AP619" s="9"/>
      <c r="AQ619" s="64">
        <f t="shared" si="279"/>
        <v>0</v>
      </c>
      <c r="AR619"/>
      <c r="AS619"/>
      <c r="AT619" s="157">
        <f t="shared" si="278"/>
        <v>0</v>
      </c>
      <c r="AU619"/>
      <c r="AV619"/>
      <c r="AW619" s="109">
        <f t="shared" si="280"/>
        <v>0</v>
      </c>
      <c r="AX619" s="66">
        <f t="shared" si="281"/>
        <v>0</v>
      </c>
      <c r="AY619" s="66"/>
      <c r="AZ619" s="66">
        <f t="shared" si="282"/>
        <v>0</v>
      </c>
      <c r="BA619" s="38"/>
    </row>
    <row r="620" spans="1:53" ht="21.6" customHeight="1" x14ac:dyDescent="0.3">
      <c r="A620" s="9"/>
      <c r="B620" s="9"/>
      <c r="C620" s="9"/>
      <c r="D620" s="9"/>
      <c r="E620" s="9"/>
      <c r="F620" s="9"/>
      <c r="G620" s="151"/>
      <c r="H620" s="399"/>
      <c r="I620" s="139"/>
      <c r="J620" s="15">
        <f t="shared" si="288"/>
        <v>0</v>
      </c>
      <c r="K620" s="9"/>
      <c r="L620" s="9"/>
      <c r="M620" s="9"/>
      <c r="N620" s="9"/>
      <c r="O620" s="9"/>
      <c r="P620" s="9"/>
      <c r="Q620" s="44"/>
      <c r="R620" s="35">
        <f t="shared" si="287"/>
        <v>0</v>
      </c>
      <c r="S620" s="13"/>
      <c r="T620" s="35"/>
      <c r="U620" s="37"/>
      <c r="V620" s="37">
        <f t="shared" si="276"/>
        <v>0</v>
      </c>
      <c r="W620" s="59">
        <f t="shared" si="284"/>
        <v>0</v>
      </c>
      <c r="X620" s="59">
        <f t="shared" si="285"/>
        <v>0</v>
      </c>
      <c r="Y620" s="59">
        <f t="shared" si="286"/>
        <v>0</v>
      </c>
      <c r="Z620" s="39"/>
      <c r="AA620" s="4"/>
      <c r="AB620" s="35"/>
      <c r="AC620" s="13"/>
      <c r="AD620" s="174"/>
      <c r="AE620" s="13"/>
      <c r="AF620" s="35"/>
      <c r="AG620" s="3">
        <f t="shared" si="277"/>
        <v>0</v>
      </c>
      <c r="AH620" s="13"/>
      <c r="AI620" s="36" t="e">
        <f>#REF!</f>
        <v>#REF!</v>
      </c>
      <c r="AJ620" s="36">
        <v>0</v>
      </c>
      <c r="AK620" s="36"/>
      <c r="AL620" s="47"/>
      <c r="AM620" s="153"/>
      <c r="AN620" s="63">
        <f t="shared" si="283"/>
        <v>0</v>
      </c>
      <c r="AO620" s="40"/>
      <c r="AP620" s="9"/>
      <c r="AQ620" s="64">
        <f t="shared" si="279"/>
        <v>0</v>
      </c>
      <c r="AR620"/>
      <c r="AS620"/>
      <c r="AT620" s="157">
        <f t="shared" si="278"/>
        <v>0</v>
      </c>
      <c r="AU620"/>
      <c r="AV620"/>
      <c r="AW620" s="109">
        <f t="shared" si="280"/>
        <v>0</v>
      </c>
      <c r="AX620" s="66">
        <f t="shared" si="281"/>
        <v>0</v>
      </c>
      <c r="AY620" s="66"/>
      <c r="AZ620" s="66">
        <f t="shared" si="282"/>
        <v>0</v>
      </c>
      <c r="BA620" s="38"/>
    </row>
    <row r="621" spans="1:53" ht="21.6" customHeight="1" x14ac:dyDescent="0.3">
      <c r="A621" s="9"/>
      <c r="B621" s="9"/>
      <c r="C621" s="9"/>
      <c r="D621" s="9"/>
      <c r="E621" s="9"/>
      <c r="F621" s="9"/>
      <c r="G621" s="151"/>
      <c r="H621" s="399"/>
      <c r="I621" s="139"/>
      <c r="J621" s="15">
        <f t="shared" si="288"/>
        <v>0</v>
      </c>
      <c r="K621" s="9"/>
      <c r="L621" s="9"/>
      <c r="M621" s="9"/>
      <c r="N621" s="9"/>
      <c r="O621" s="9"/>
      <c r="P621" s="9"/>
      <c r="Q621" s="44"/>
      <c r="R621" s="35">
        <f t="shared" si="287"/>
        <v>0</v>
      </c>
      <c r="S621" s="13"/>
      <c r="T621" s="35"/>
      <c r="U621" s="37"/>
      <c r="V621" s="37">
        <f t="shared" si="276"/>
        <v>0</v>
      </c>
      <c r="W621" s="59">
        <f t="shared" si="284"/>
        <v>0</v>
      </c>
      <c r="X621" s="59">
        <f t="shared" si="285"/>
        <v>0</v>
      </c>
      <c r="Y621" s="59">
        <f t="shared" si="286"/>
        <v>0</v>
      </c>
      <c r="Z621" s="39"/>
      <c r="AA621" s="4"/>
      <c r="AB621" s="35"/>
      <c r="AC621" s="13"/>
      <c r="AD621" s="174"/>
      <c r="AE621" s="13"/>
      <c r="AF621" s="35"/>
      <c r="AG621" s="3">
        <f t="shared" si="277"/>
        <v>0</v>
      </c>
      <c r="AH621" s="13"/>
      <c r="AI621" s="36" t="e">
        <f>#REF!</f>
        <v>#REF!</v>
      </c>
      <c r="AJ621" s="36">
        <v>0</v>
      </c>
      <c r="AK621" s="36"/>
      <c r="AL621" s="47"/>
      <c r="AM621" s="153"/>
      <c r="AN621" s="63">
        <f t="shared" si="283"/>
        <v>0</v>
      </c>
      <c r="AO621" s="40"/>
      <c r="AP621" s="9"/>
      <c r="AQ621" s="64">
        <f t="shared" si="279"/>
        <v>0</v>
      </c>
      <c r="AR621"/>
      <c r="AS621"/>
      <c r="AT621" s="157">
        <f t="shared" si="278"/>
        <v>0</v>
      </c>
      <c r="AU621"/>
      <c r="AV621"/>
      <c r="AW621" s="109">
        <f t="shared" si="280"/>
        <v>0</v>
      </c>
      <c r="AX621" s="66">
        <f t="shared" si="281"/>
        <v>0</v>
      </c>
      <c r="AY621" s="66"/>
      <c r="AZ621" s="66">
        <f t="shared" si="282"/>
        <v>0</v>
      </c>
      <c r="BA621" s="38"/>
    </row>
    <row r="622" spans="1:53" ht="21.6" customHeight="1" x14ac:dyDescent="0.3">
      <c r="A622" s="9"/>
      <c r="B622" s="9"/>
      <c r="C622" s="9"/>
      <c r="D622" s="9"/>
      <c r="E622" s="9"/>
      <c r="F622" s="9"/>
      <c r="G622" s="151"/>
      <c r="H622" s="399"/>
      <c r="I622" s="139"/>
      <c r="J622" s="15">
        <f t="shared" si="288"/>
        <v>0</v>
      </c>
      <c r="K622" s="9"/>
      <c r="L622" s="9"/>
      <c r="M622" s="9"/>
      <c r="N622" s="9"/>
      <c r="O622" s="9"/>
      <c r="P622" s="9"/>
      <c r="Q622" s="44"/>
      <c r="R622" s="35">
        <f t="shared" si="287"/>
        <v>0</v>
      </c>
      <c r="S622" s="13"/>
      <c r="T622" s="35"/>
      <c r="U622" s="37"/>
      <c r="V622" s="37">
        <f t="shared" si="276"/>
        <v>0</v>
      </c>
      <c r="W622" s="59">
        <f t="shared" si="284"/>
        <v>0</v>
      </c>
      <c r="X622" s="59">
        <f t="shared" si="285"/>
        <v>0</v>
      </c>
      <c r="Y622" s="59">
        <f t="shared" si="286"/>
        <v>0</v>
      </c>
      <c r="Z622" s="39"/>
      <c r="AA622" s="4"/>
      <c r="AB622" s="35"/>
      <c r="AC622" s="13"/>
      <c r="AD622" s="174"/>
      <c r="AE622" s="13"/>
      <c r="AF622" s="35"/>
      <c r="AG622" s="3">
        <f t="shared" si="277"/>
        <v>0</v>
      </c>
      <c r="AH622" s="13"/>
      <c r="AI622" s="36" t="e">
        <f>#REF!</f>
        <v>#REF!</v>
      </c>
      <c r="AJ622" s="36">
        <v>0</v>
      </c>
      <c r="AK622" s="36"/>
      <c r="AL622" s="47"/>
      <c r="AM622" s="153"/>
      <c r="AN622" s="63">
        <f t="shared" si="283"/>
        <v>0</v>
      </c>
      <c r="AO622" s="40"/>
      <c r="AP622" s="9"/>
      <c r="AQ622" s="64">
        <f t="shared" si="279"/>
        <v>0</v>
      </c>
      <c r="AR622"/>
      <c r="AS622"/>
      <c r="AT622" s="157">
        <f t="shared" si="278"/>
        <v>0</v>
      </c>
      <c r="AU622"/>
      <c r="AV622"/>
      <c r="AW622" s="109">
        <f t="shared" si="280"/>
        <v>0</v>
      </c>
      <c r="AX622" s="66">
        <f t="shared" si="281"/>
        <v>0</v>
      </c>
      <c r="AY622" s="66"/>
      <c r="AZ622" s="66">
        <f t="shared" si="282"/>
        <v>0</v>
      </c>
      <c r="BA622" s="38"/>
    </row>
    <row r="623" spans="1:53" ht="21.6" customHeight="1" x14ac:dyDescent="0.3">
      <c r="A623" s="9"/>
      <c r="B623" s="9"/>
      <c r="C623" s="9"/>
      <c r="D623" s="9"/>
      <c r="E623" s="9"/>
      <c r="F623" s="9"/>
      <c r="G623" s="151"/>
      <c r="H623" s="399"/>
      <c r="I623" s="139"/>
      <c r="J623" s="15">
        <f t="shared" si="288"/>
        <v>0</v>
      </c>
      <c r="K623" s="9"/>
      <c r="L623" s="9"/>
      <c r="M623" s="9"/>
      <c r="N623" s="9"/>
      <c r="O623" s="9"/>
      <c r="P623" s="9"/>
      <c r="Q623" s="44"/>
      <c r="R623" s="35">
        <f t="shared" si="287"/>
        <v>0</v>
      </c>
      <c r="S623" s="13"/>
      <c r="T623" s="35"/>
      <c r="U623" s="37"/>
      <c r="V623" s="37">
        <f t="shared" si="276"/>
        <v>0</v>
      </c>
      <c r="W623" s="59">
        <f t="shared" si="284"/>
        <v>0</v>
      </c>
      <c r="X623" s="59">
        <f t="shared" si="285"/>
        <v>0</v>
      </c>
      <c r="Y623" s="59">
        <f t="shared" si="286"/>
        <v>0</v>
      </c>
      <c r="Z623" s="39"/>
      <c r="AA623" s="4"/>
      <c r="AB623" s="35"/>
      <c r="AC623" s="13"/>
      <c r="AD623" s="174"/>
      <c r="AE623" s="13"/>
      <c r="AF623" s="35"/>
      <c r="AG623" s="3">
        <f t="shared" si="277"/>
        <v>0</v>
      </c>
      <c r="AH623" s="13"/>
      <c r="AI623" s="36" t="e">
        <f>#REF!</f>
        <v>#REF!</v>
      </c>
      <c r="AJ623" s="36">
        <v>0</v>
      </c>
      <c r="AK623" s="36"/>
      <c r="AL623" s="47"/>
      <c r="AM623" s="153"/>
      <c r="AN623" s="63">
        <f t="shared" si="283"/>
        <v>0</v>
      </c>
      <c r="AO623" s="40"/>
      <c r="AP623" s="9"/>
      <c r="AQ623" s="64">
        <f t="shared" si="279"/>
        <v>0</v>
      </c>
      <c r="AR623"/>
      <c r="AS623"/>
      <c r="AT623" s="157">
        <f t="shared" si="278"/>
        <v>0</v>
      </c>
      <c r="AU623"/>
      <c r="AV623"/>
      <c r="AW623" s="109">
        <f t="shared" si="280"/>
        <v>0</v>
      </c>
      <c r="AX623" s="66">
        <f t="shared" si="281"/>
        <v>0</v>
      </c>
      <c r="AY623" s="66"/>
      <c r="AZ623" s="66">
        <f t="shared" si="282"/>
        <v>0</v>
      </c>
      <c r="BA623" s="38"/>
    </row>
    <row r="624" spans="1:53" ht="21.6" customHeight="1" x14ac:dyDescent="0.3">
      <c r="A624" s="9"/>
      <c r="B624" s="9"/>
      <c r="C624" s="9"/>
      <c r="D624" s="9"/>
      <c r="E624" s="9"/>
      <c r="F624" s="9"/>
      <c r="G624" s="151"/>
      <c r="H624" s="399"/>
      <c r="I624" s="139"/>
      <c r="J624" s="15">
        <f t="shared" si="288"/>
        <v>0</v>
      </c>
      <c r="K624" s="9"/>
      <c r="L624" s="9"/>
      <c r="M624" s="9"/>
      <c r="N624" s="9"/>
      <c r="O624" s="9"/>
      <c r="P624" s="9"/>
      <c r="Q624" s="44"/>
      <c r="R624" s="35">
        <f t="shared" si="287"/>
        <v>0</v>
      </c>
      <c r="S624" s="13"/>
      <c r="T624" s="35"/>
      <c r="U624" s="37"/>
      <c r="V624" s="37">
        <f t="shared" si="276"/>
        <v>0</v>
      </c>
      <c r="W624" s="59">
        <f t="shared" si="284"/>
        <v>0</v>
      </c>
      <c r="X624" s="59">
        <f t="shared" si="285"/>
        <v>0</v>
      </c>
      <c r="Y624" s="59">
        <f t="shared" si="286"/>
        <v>0</v>
      </c>
      <c r="Z624" s="39"/>
      <c r="AA624" s="4"/>
      <c r="AB624" s="35"/>
      <c r="AC624" s="13"/>
      <c r="AD624" s="174"/>
      <c r="AE624" s="13"/>
      <c r="AF624" s="35"/>
      <c r="AG624" s="3">
        <f t="shared" si="277"/>
        <v>0</v>
      </c>
      <c r="AH624" s="13"/>
      <c r="AI624" s="36" t="e">
        <f>#REF!</f>
        <v>#REF!</v>
      </c>
      <c r="AJ624" s="36">
        <v>0</v>
      </c>
      <c r="AK624" s="36"/>
      <c r="AL624" s="47"/>
      <c r="AM624" s="153"/>
      <c r="AN624" s="63">
        <f t="shared" si="283"/>
        <v>0</v>
      </c>
      <c r="AO624" s="40"/>
      <c r="AP624" s="9"/>
      <c r="AQ624" s="64">
        <f t="shared" si="279"/>
        <v>0</v>
      </c>
      <c r="AR624"/>
      <c r="AS624"/>
      <c r="AT624" s="157">
        <f t="shared" si="278"/>
        <v>0</v>
      </c>
      <c r="AU624"/>
      <c r="AV624"/>
      <c r="AW624" s="109">
        <f t="shared" si="280"/>
        <v>0</v>
      </c>
      <c r="AX624" s="66">
        <f t="shared" si="281"/>
        <v>0</v>
      </c>
      <c r="AY624" s="66"/>
      <c r="AZ624" s="66">
        <f t="shared" si="282"/>
        <v>0</v>
      </c>
      <c r="BA624" s="38"/>
    </row>
    <row r="625" spans="1:53" ht="21.6" customHeight="1" x14ac:dyDescent="0.3">
      <c r="J625" s="15">
        <f t="shared" si="288"/>
        <v>0</v>
      </c>
      <c r="Q625" s="44"/>
      <c r="R625" s="35">
        <f t="shared" si="287"/>
        <v>0</v>
      </c>
      <c r="S625" s="13"/>
      <c r="T625" s="35"/>
      <c r="U625" s="37"/>
      <c r="V625" s="37">
        <f t="shared" si="276"/>
        <v>0</v>
      </c>
      <c r="W625" s="59">
        <f t="shared" si="284"/>
        <v>0</v>
      </c>
      <c r="X625" s="59">
        <f t="shared" si="285"/>
        <v>0</v>
      </c>
      <c r="Y625" s="59">
        <f t="shared" si="286"/>
        <v>0</v>
      </c>
      <c r="Z625" s="39"/>
      <c r="AA625" s="4"/>
      <c r="AB625" s="35"/>
      <c r="AC625" s="13"/>
      <c r="AD625" s="174"/>
      <c r="AE625" s="13"/>
      <c r="AF625" s="35"/>
      <c r="AG625" s="3">
        <f t="shared" si="277"/>
        <v>0</v>
      </c>
      <c r="AH625" s="13"/>
      <c r="AI625" s="36" t="e">
        <f>#REF!</f>
        <v>#REF!</v>
      </c>
      <c r="AJ625" s="36">
        <v>0</v>
      </c>
      <c r="AK625" s="36"/>
      <c r="AL625" s="47"/>
      <c r="AM625" s="153"/>
      <c r="AN625" s="63">
        <f t="shared" si="283"/>
        <v>0</v>
      </c>
      <c r="AQ625" s="64">
        <f t="shared" si="279"/>
        <v>0</v>
      </c>
      <c r="AT625" s="157">
        <f t="shared" si="278"/>
        <v>0</v>
      </c>
      <c r="AW625" s="109">
        <f t="shared" si="280"/>
        <v>0</v>
      </c>
      <c r="AX625" s="66">
        <f t="shared" si="281"/>
        <v>0</v>
      </c>
      <c r="AY625" s="66"/>
      <c r="AZ625" s="66">
        <f t="shared" si="282"/>
        <v>0</v>
      </c>
    </row>
    <row r="626" spans="1:53" ht="21.6" customHeight="1" x14ac:dyDescent="0.3">
      <c r="J626" s="5">
        <f t="shared" si="288"/>
        <v>0</v>
      </c>
      <c r="Q626" s="117"/>
      <c r="R626" s="119">
        <f t="shared" si="287"/>
        <v>0</v>
      </c>
      <c r="S626" s="118"/>
      <c r="T626" s="119"/>
      <c r="U626" s="120"/>
      <c r="V626" s="120">
        <f t="shared" si="276"/>
        <v>0</v>
      </c>
      <c r="W626" s="307">
        <f t="shared" si="284"/>
        <v>0</v>
      </c>
      <c r="X626" s="307">
        <f t="shared" si="285"/>
        <v>0</v>
      </c>
      <c r="Y626" s="307">
        <f t="shared" si="286"/>
        <v>0</v>
      </c>
      <c r="Z626" s="121"/>
      <c r="AA626" s="122"/>
      <c r="AB626" s="308"/>
      <c r="AC626" s="118"/>
      <c r="AD626" s="176"/>
      <c r="AE626" s="118"/>
      <c r="AF626" s="119"/>
      <c r="AG626" s="115">
        <f t="shared" si="277"/>
        <v>0</v>
      </c>
      <c r="AH626" s="118"/>
      <c r="AI626" s="123" t="e">
        <f>#REF!</f>
        <v>#REF!</v>
      </c>
      <c r="AJ626" s="123">
        <v>0</v>
      </c>
      <c r="AK626" s="123"/>
      <c r="AL626" s="124"/>
      <c r="AM626" s="154"/>
      <c r="AN626" s="49">
        <f t="shared" si="283"/>
        <v>0</v>
      </c>
      <c r="AQ626" s="163">
        <f t="shared" si="279"/>
        <v>0</v>
      </c>
      <c r="AT626" s="309">
        <f t="shared" si="278"/>
        <v>0</v>
      </c>
      <c r="AW626" s="126">
        <f t="shared" si="280"/>
        <v>0</v>
      </c>
      <c r="AX626" s="164">
        <f t="shared" si="281"/>
        <v>0</v>
      </c>
      <c r="AY626" s="164"/>
      <c r="AZ626" s="164">
        <f t="shared" si="282"/>
        <v>0</v>
      </c>
    </row>
    <row r="627" spans="1:53" ht="21.6" customHeight="1" x14ac:dyDescent="0.6">
      <c r="A627" s="5"/>
      <c r="Q627" s="310"/>
      <c r="AB627" s="20"/>
      <c r="AH627" s="311"/>
      <c r="AI627" s="141"/>
      <c r="AJ627" s="141"/>
      <c r="AO627" s="1"/>
      <c r="AP627" s="5"/>
      <c r="AQ627" s="5"/>
      <c r="AR627" s="1"/>
      <c r="AS627" s="1"/>
      <c r="AT627" s="313"/>
      <c r="AU627" s="1"/>
      <c r="BA627" s="1"/>
    </row>
    <row r="628" spans="1:53" ht="21.6" customHeight="1" x14ac:dyDescent="0.6">
      <c r="A628" s="5"/>
      <c r="P628" s="164">
        <f>SUBTOTAL(109,P45:P626)</f>
        <v>15101840.248900002</v>
      </c>
      <c r="Q628" s="310"/>
      <c r="AB628" s="20"/>
      <c r="AD628" s="28"/>
      <c r="AH628" s="311"/>
      <c r="AI628" s="141"/>
      <c r="AJ628" s="141"/>
      <c r="AO628" s="1"/>
      <c r="AP628" s="5"/>
      <c r="AQ628" s="5"/>
      <c r="AR628" s="1"/>
      <c r="AS628" s="1"/>
      <c r="AT628" s="312"/>
      <c r="AU628" s="1"/>
      <c r="BA628" s="1"/>
    </row>
    <row r="629" spans="1:53" ht="21.6" customHeight="1" x14ac:dyDescent="0.6">
      <c r="A629" s="5"/>
      <c r="Q629" s="310"/>
      <c r="AB629" s="20"/>
      <c r="AH629" s="311"/>
      <c r="AI629" s="141"/>
      <c r="AJ629" s="141"/>
      <c r="AO629" s="1"/>
      <c r="AP629" s="5"/>
      <c r="AQ629" s="5"/>
      <c r="AR629" s="1"/>
      <c r="AS629" s="1"/>
      <c r="AT629" s="313"/>
      <c r="AU629" s="1"/>
      <c r="BA629" s="1"/>
    </row>
    <row r="630" spans="1:53" ht="21.6" customHeight="1" x14ac:dyDescent="0.6">
      <c r="A630" s="5"/>
      <c r="Q630" s="310"/>
      <c r="AB630" s="20"/>
      <c r="AH630" s="311"/>
      <c r="AI630" s="141"/>
      <c r="AJ630" s="141"/>
      <c r="AO630" s="1"/>
      <c r="AP630" s="5"/>
      <c r="AQ630" s="5"/>
      <c r="AR630" s="1"/>
      <c r="AS630" s="1"/>
      <c r="AT630" s="313"/>
      <c r="AU630" s="1"/>
      <c r="BA630" s="1"/>
    </row>
    <row r="631" spans="1:53" ht="21.6" customHeight="1" x14ac:dyDescent="0.6">
      <c r="A631" s="5"/>
      <c r="Q631" s="310"/>
      <c r="V631" s="400"/>
      <c r="AB631" s="20"/>
      <c r="AH631" s="311"/>
      <c r="AI631" s="141"/>
      <c r="AJ631" s="141"/>
      <c r="AO631" s="1"/>
      <c r="AP631" s="5"/>
      <c r="AQ631" s="5"/>
      <c r="AR631" s="1"/>
      <c r="AS631" s="1"/>
      <c r="AT631" s="313"/>
      <c r="AU631" s="1"/>
      <c r="BA631" s="1"/>
    </row>
    <row r="632" spans="1:53" ht="21.6" customHeight="1" x14ac:dyDescent="0.6">
      <c r="A632" s="5"/>
      <c r="Q632" s="310"/>
      <c r="AB632" s="20"/>
      <c r="AH632" s="311"/>
      <c r="AI632" s="141"/>
      <c r="AJ632" s="141"/>
      <c r="AM632" s="155" t="s">
        <v>635</v>
      </c>
      <c r="AO632" s="1"/>
      <c r="AP632" s="5"/>
      <c r="AQ632" s="5"/>
      <c r="AR632" s="1"/>
      <c r="AS632" s="1"/>
      <c r="AT632" s="313"/>
      <c r="AU632" s="1"/>
      <c r="BA632" s="1"/>
    </row>
    <row r="633" spans="1:53" ht="21.6" customHeight="1" x14ac:dyDescent="0.6">
      <c r="A633" s="5"/>
      <c r="Q633" s="310"/>
      <c r="AB633" s="20"/>
      <c r="AH633" s="311"/>
      <c r="AI633" s="141"/>
      <c r="AJ633" s="141"/>
      <c r="AO633" s="1"/>
      <c r="AP633" s="5"/>
      <c r="AQ633" s="5"/>
      <c r="AR633" s="1"/>
      <c r="AS633" s="1"/>
      <c r="AT633" s="313"/>
      <c r="AU633" s="1"/>
      <c r="BA633" s="1"/>
    </row>
    <row r="634" spans="1:53" ht="21.6" customHeight="1" x14ac:dyDescent="0.6">
      <c r="A634" s="5"/>
      <c r="Q634" s="310"/>
      <c r="AB634" s="20"/>
      <c r="AH634" s="311"/>
      <c r="AI634" s="141"/>
      <c r="AJ634" s="141"/>
      <c r="AO634" s="1"/>
      <c r="AP634" s="5"/>
      <c r="AQ634" s="5"/>
      <c r="AR634" s="1"/>
      <c r="AS634" s="1"/>
      <c r="AT634" s="313"/>
      <c r="AU634" s="1"/>
      <c r="BA634" s="1"/>
    </row>
    <row r="635" spans="1:53" ht="21.6" customHeight="1" x14ac:dyDescent="0.6">
      <c r="A635" s="5"/>
      <c r="Q635" s="310"/>
      <c r="AB635" s="20"/>
      <c r="AH635" s="311"/>
      <c r="AI635" s="141"/>
      <c r="AJ635" s="141"/>
      <c r="AO635" s="1"/>
      <c r="AP635" s="5"/>
      <c r="AQ635" s="5"/>
      <c r="AR635" s="1"/>
      <c r="AS635" s="1"/>
      <c r="AT635" s="313"/>
      <c r="AU635" s="1"/>
      <c r="BA635" s="1"/>
    </row>
    <row r="636" spans="1:53" ht="21.6" customHeight="1" x14ac:dyDescent="0.6">
      <c r="Q636" s="310"/>
      <c r="AT636" s="158"/>
    </row>
    <row r="637" spans="1:53" ht="21.6" customHeight="1" x14ac:dyDescent="0.6">
      <c r="Q637" s="310"/>
      <c r="AT637" s="158"/>
    </row>
    <row r="638" spans="1:53" ht="21.6" customHeight="1" x14ac:dyDescent="0.6">
      <c r="Q638" s="310"/>
      <c r="AT638" s="158"/>
    </row>
    <row r="639" spans="1:53" ht="21.6" customHeight="1" x14ac:dyDescent="0.6">
      <c r="Q639" s="310"/>
      <c r="AT639" s="158"/>
    </row>
    <row r="640" spans="1:53" ht="21.6" customHeight="1" x14ac:dyDescent="0.6">
      <c r="Q640" s="310"/>
      <c r="AT640" s="158"/>
    </row>
    <row r="641" spans="17:46" ht="21.6" customHeight="1" x14ac:dyDescent="0.6">
      <c r="Q641" s="310"/>
      <c r="AT641" s="158"/>
    </row>
    <row r="642" spans="17:46" ht="21.6" customHeight="1" x14ac:dyDescent="0.6">
      <c r="Q642" s="310"/>
      <c r="AT642" s="158"/>
    </row>
    <row r="643" spans="17:46" ht="21.6" customHeight="1" x14ac:dyDescent="0.6">
      <c r="Q643" s="310"/>
      <c r="AT643" s="158"/>
    </row>
    <row r="644" spans="17:46" ht="21.6" customHeight="1" x14ac:dyDescent="0.6">
      <c r="Q644" s="310"/>
      <c r="AT644" s="158"/>
    </row>
    <row r="645" spans="17:46" ht="21.6" customHeight="1" x14ac:dyDescent="0.6">
      <c r="Q645" s="310"/>
      <c r="AT645" s="158"/>
    </row>
    <row r="646" spans="17:46" ht="21.6" customHeight="1" x14ac:dyDescent="0.6">
      <c r="Q646" s="310"/>
      <c r="AT646" s="158"/>
    </row>
    <row r="647" spans="17:46" ht="21.6" customHeight="1" x14ac:dyDescent="0.6">
      <c r="Q647" s="310"/>
      <c r="AT647" s="158"/>
    </row>
    <row r="648" spans="17:46" ht="21.6" customHeight="1" x14ac:dyDescent="0.6">
      <c r="Q648" s="310"/>
      <c r="AT648" s="158"/>
    </row>
    <row r="649" spans="17:46" ht="21.6" customHeight="1" x14ac:dyDescent="0.6">
      <c r="Q649" s="310"/>
      <c r="AT649" s="158"/>
    </row>
    <row r="650" spans="17:46" ht="21.6" customHeight="1" x14ac:dyDescent="0.6">
      <c r="Q650" s="310"/>
      <c r="AT650" s="158"/>
    </row>
    <row r="651" spans="17:46" ht="21.6" customHeight="1" x14ac:dyDescent="0.6">
      <c r="Q651" s="310"/>
      <c r="AT651" s="158"/>
    </row>
    <row r="652" spans="17:46" ht="21.6" customHeight="1" x14ac:dyDescent="0.6">
      <c r="Q652" s="310"/>
      <c r="AT652" s="158"/>
    </row>
    <row r="653" spans="17:46" ht="21.6" customHeight="1" x14ac:dyDescent="0.6">
      <c r="Q653" s="310"/>
      <c r="AT653" s="158"/>
    </row>
    <row r="654" spans="17:46" ht="21.6" customHeight="1" x14ac:dyDescent="0.6">
      <c r="Q654" s="310"/>
      <c r="AT654" s="158"/>
    </row>
    <row r="655" spans="17:46" ht="21.6" customHeight="1" x14ac:dyDescent="0.6">
      <c r="Q655" s="310"/>
      <c r="AT655" s="158"/>
    </row>
    <row r="656" spans="17:46" ht="21.6" customHeight="1" x14ac:dyDescent="0.6">
      <c r="Q656" s="310"/>
      <c r="AT656" s="158"/>
    </row>
    <row r="657" spans="17:46" ht="21.6" customHeight="1" x14ac:dyDescent="0.6">
      <c r="Q657" s="310"/>
      <c r="AT657" s="158"/>
    </row>
    <row r="658" spans="17:46" ht="21.6" customHeight="1" x14ac:dyDescent="0.6">
      <c r="Q658" s="310"/>
      <c r="AT658" s="158"/>
    </row>
    <row r="659" spans="17:46" ht="21.6" customHeight="1" x14ac:dyDescent="0.6">
      <c r="Q659" s="310"/>
      <c r="AT659" s="158"/>
    </row>
    <row r="660" spans="17:46" ht="21.6" customHeight="1" x14ac:dyDescent="0.6">
      <c r="Q660" s="310"/>
      <c r="AT660" s="158"/>
    </row>
    <row r="661" spans="17:46" ht="21.6" customHeight="1" x14ac:dyDescent="0.6">
      <c r="Q661" s="310"/>
      <c r="AT661" s="158"/>
    </row>
    <row r="662" spans="17:46" ht="21.6" customHeight="1" x14ac:dyDescent="0.6">
      <c r="Q662" s="310"/>
      <c r="AT662" s="158"/>
    </row>
    <row r="663" spans="17:46" ht="21.6" customHeight="1" x14ac:dyDescent="0.6">
      <c r="Q663" s="310"/>
      <c r="AT663" s="158"/>
    </row>
    <row r="664" spans="17:46" ht="21.6" customHeight="1" x14ac:dyDescent="0.6">
      <c r="Q664" s="310"/>
      <c r="AT664" s="158"/>
    </row>
    <row r="665" spans="17:46" ht="21.6" customHeight="1" x14ac:dyDescent="0.6">
      <c r="Q665" s="310"/>
      <c r="AT665" s="158"/>
    </row>
    <row r="666" spans="17:46" ht="21.6" customHeight="1" x14ac:dyDescent="0.6">
      <c r="Q666" s="310"/>
      <c r="AT666" s="158"/>
    </row>
    <row r="667" spans="17:46" ht="21.6" customHeight="1" x14ac:dyDescent="0.6">
      <c r="Q667" s="310"/>
      <c r="AT667" s="158"/>
    </row>
    <row r="668" spans="17:46" ht="21.6" customHeight="1" x14ac:dyDescent="0.6">
      <c r="Q668" s="310"/>
      <c r="AT668" s="158"/>
    </row>
    <row r="669" spans="17:46" ht="21.6" customHeight="1" x14ac:dyDescent="0.6">
      <c r="Q669" s="310"/>
      <c r="AT669" s="158"/>
    </row>
    <row r="670" spans="17:46" ht="21.6" customHeight="1" x14ac:dyDescent="0.6">
      <c r="Q670" s="310"/>
      <c r="AT670" s="158"/>
    </row>
    <row r="671" spans="17:46" ht="21.6" customHeight="1" x14ac:dyDescent="0.6">
      <c r="Q671" s="310"/>
      <c r="AT671" s="158"/>
    </row>
    <row r="672" spans="17:46" ht="21.6" customHeight="1" x14ac:dyDescent="0.6">
      <c r="Q672" s="310"/>
      <c r="AT672" s="158"/>
    </row>
    <row r="673" spans="17:46" ht="21.6" customHeight="1" x14ac:dyDescent="0.6">
      <c r="Q673" s="310"/>
      <c r="AT673" s="158"/>
    </row>
    <row r="674" spans="17:46" ht="21.6" customHeight="1" x14ac:dyDescent="0.6">
      <c r="Q674" s="310"/>
      <c r="AT674" s="158"/>
    </row>
    <row r="675" spans="17:46" ht="21.6" customHeight="1" x14ac:dyDescent="0.6">
      <c r="Q675" s="310"/>
      <c r="AT675" s="158"/>
    </row>
    <row r="676" spans="17:46" ht="21.6" customHeight="1" x14ac:dyDescent="0.6">
      <c r="Q676" s="310"/>
      <c r="AT676" s="158"/>
    </row>
    <row r="677" spans="17:46" ht="21.6" customHeight="1" x14ac:dyDescent="0.6">
      <c r="Q677" s="310"/>
      <c r="AT677" s="158"/>
    </row>
    <row r="678" spans="17:46" ht="21.6" customHeight="1" x14ac:dyDescent="0.6">
      <c r="Q678" s="310"/>
      <c r="AT678" s="158"/>
    </row>
    <row r="679" spans="17:46" ht="21.6" customHeight="1" x14ac:dyDescent="0.6">
      <c r="Q679" s="310"/>
      <c r="AT679" s="158"/>
    </row>
    <row r="680" spans="17:46" ht="21.6" customHeight="1" x14ac:dyDescent="0.6">
      <c r="Q680" s="310"/>
      <c r="AT680" s="158"/>
    </row>
    <row r="681" spans="17:46" ht="21.6" customHeight="1" x14ac:dyDescent="0.6">
      <c r="Q681" s="310"/>
      <c r="AT681" s="158"/>
    </row>
    <row r="682" spans="17:46" ht="21.6" customHeight="1" x14ac:dyDescent="0.6">
      <c r="Q682" s="310"/>
      <c r="AT682" s="158"/>
    </row>
    <row r="683" spans="17:46" ht="21.6" customHeight="1" x14ac:dyDescent="0.6">
      <c r="Q683" s="310"/>
      <c r="AT683" s="158"/>
    </row>
    <row r="684" spans="17:46" ht="21.6" customHeight="1" x14ac:dyDescent="0.6">
      <c r="Q684" s="310"/>
      <c r="AT684" s="158"/>
    </row>
    <row r="685" spans="17:46" ht="21.6" customHeight="1" x14ac:dyDescent="0.6">
      <c r="Q685" s="310"/>
      <c r="AT685" s="158"/>
    </row>
    <row r="686" spans="17:46" ht="21.6" customHeight="1" x14ac:dyDescent="0.6">
      <c r="Q686" s="310"/>
      <c r="AT686" s="158"/>
    </row>
    <row r="687" spans="17:46" ht="21.6" customHeight="1" x14ac:dyDescent="0.6">
      <c r="Q687" s="310"/>
      <c r="AT687" s="158"/>
    </row>
    <row r="688" spans="17:46" ht="21.6" customHeight="1" x14ac:dyDescent="0.6">
      <c r="Q688" s="310"/>
      <c r="AT688" s="158"/>
    </row>
    <row r="689" spans="17:46" ht="21.6" customHeight="1" x14ac:dyDescent="0.6">
      <c r="Q689" s="310"/>
      <c r="AT689" s="158"/>
    </row>
    <row r="690" spans="17:46" ht="21.6" customHeight="1" x14ac:dyDescent="0.6">
      <c r="Q690" s="310"/>
      <c r="AT690" s="158"/>
    </row>
    <row r="691" spans="17:46" ht="21.6" customHeight="1" x14ac:dyDescent="0.6">
      <c r="Q691" s="310"/>
      <c r="AT691" s="158"/>
    </row>
    <row r="692" spans="17:46" ht="21.6" customHeight="1" x14ac:dyDescent="0.6">
      <c r="Q692" s="310"/>
      <c r="AT692" s="158"/>
    </row>
    <row r="693" spans="17:46" ht="21.6" customHeight="1" x14ac:dyDescent="0.6">
      <c r="Q693" s="310"/>
      <c r="AT693" s="158"/>
    </row>
    <row r="694" spans="17:46" ht="21.6" customHeight="1" x14ac:dyDescent="0.6">
      <c r="Q694" s="310"/>
      <c r="AT694" s="158"/>
    </row>
    <row r="695" spans="17:46" ht="21.6" customHeight="1" x14ac:dyDescent="0.6">
      <c r="Q695" s="310"/>
      <c r="AT695" s="158"/>
    </row>
    <row r="696" spans="17:46" ht="21.6" customHeight="1" x14ac:dyDescent="0.6">
      <c r="Q696" s="310"/>
      <c r="AT696" s="158"/>
    </row>
    <row r="697" spans="17:46" ht="21.6" customHeight="1" x14ac:dyDescent="0.6">
      <c r="Q697" s="310"/>
      <c r="AT697" s="158"/>
    </row>
    <row r="698" spans="17:46" ht="21.6" customHeight="1" x14ac:dyDescent="0.6">
      <c r="Q698" s="310"/>
      <c r="AT698" s="158"/>
    </row>
    <row r="699" spans="17:46" ht="21.6" customHeight="1" x14ac:dyDescent="0.6">
      <c r="Q699" s="310"/>
      <c r="AT699" s="158"/>
    </row>
    <row r="700" spans="17:46" ht="21.6" customHeight="1" x14ac:dyDescent="0.6">
      <c r="Q700" s="310"/>
      <c r="AT700" s="158"/>
    </row>
    <row r="701" spans="17:46" ht="21.6" customHeight="1" x14ac:dyDescent="0.6">
      <c r="Q701" s="310"/>
      <c r="AT701" s="158"/>
    </row>
    <row r="702" spans="17:46" ht="21.6" customHeight="1" x14ac:dyDescent="0.6">
      <c r="Q702" s="310"/>
      <c r="AT702" s="158"/>
    </row>
    <row r="703" spans="17:46" ht="21.6" customHeight="1" x14ac:dyDescent="0.6">
      <c r="Q703" s="310"/>
      <c r="AT703" s="158"/>
    </row>
    <row r="704" spans="17:46" ht="21.6" customHeight="1" x14ac:dyDescent="0.6">
      <c r="Q704" s="310"/>
      <c r="AT704" s="158"/>
    </row>
    <row r="705" spans="17:46" ht="21.6" customHeight="1" x14ac:dyDescent="0.6">
      <c r="Q705" s="310"/>
      <c r="AT705" s="158"/>
    </row>
    <row r="706" spans="17:46" ht="21.6" customHeight="1" x14ac:dyDescent="0.6">
      <c r="Q706" s="310"/>
      <c r="AT706" s="158"/>
    </row>
    <row r="707" spans="17:46" ht="21.6" customHeight="1" x14ac:dyDescent="0.6">
      <c r="Q707" s="310"/>
      <c r="AT707" s="158"/>
    </row>
    <row r="708" spans="17:46" ht="21.6" customHeight="1" x14ac:dyDescent="0.6">
      <c r="Q708" s="310"/>
      <c r="AT708" s="158"/>
    </row>
    <row r="709" spans="17:46" ht="21.6" customHeight="1" x14ac:dyDescent="0.6">
      <c r="Q709" s="310"/>
      <c r="AT709" s="158"/>
    </row>
    <row r="710" spans="17:46" ht="21.6" customHeight="1" x14ac:dyDescent="0.6">
      <c r="Q710" s="310"/>
      <c r="AT710" s="158"/>
    </row>
    <row r="711" spans="17:46" ht="21.6" customHeight="1" x14ac:dyDescent="0.6">
      <c r="Q711" s="310"/>
      <c r="AT711" s="158"/>
    </row>
    <row r="712" spans="17:46" ht="21.6" customHeight="1" x14ac:dyDescent="0.6">
      <c r="Q712" s="310"/>
      <c r="AT712" s="158"/>
    </row>
    <row r="713" spans="17:46" ht="21.6" customHeight="1" x14ac:dyDescent="0.6">
      <c r="Q713" s="310"/>
      <c r="AT713" s="158"/>
    </row>
    <row r="714" spans="17:46" ht="21.6" customHeight="1" x14ac:dyDescent="0.6">
      <c r="Q714" s="310"/>
      <c r="AT714" s="158"/>
    </row>
    <row r="715" spans="17:46" ht="21.6" customHeight="1" x14ac:dyDescent="0.6">
      <c r="Q715" s="310"/>
      <c r="AT715" s="158"/>
    </row>
    <row r="716" spans="17:46" ht="21.6" customHeight="1" x14ac:dyDescent="0.6">
      <c r="Q716" s="310"/>
      <c r="AT716" s="158"/>
    </row>
    <row r="717" spans="17:46" ht="21.6" customHeight="1" x14ac:dyDescent="0.6">
      <c r="Q717" s="310"/>
      <c r="AT717" s="158"/>
    </row>
    <row r="718" spans="17:46" ht="21.6" customHeight="1" x14ac:dyDescent="0.6">
      <c r="Q718" s="310"/>
      <c r="AT718" s="158"/>
    </row>
    <row r="719" spans="17:46" ht="21.6" customHeight="1" x14ac:dyDescent="0.6">
      <c r="Q719" s="310"/>
      <c r="AT719" s="158"/>
    </row>
    <row r="720" spans="17:46" ht="21.6" customHeight="1" x14ac:dyDescent="0.6">
      <c r="Q720" s="310"/>
      <c r="AT720" s="158"/>
    </row>
    <row r="721" spans="17:46" ht="21.6" customHeight="1" x14ac:dyDescent="0.6">
      <c r="Q721" s="310"/>
      <c r="AT721" s="158"/>
    </row>
    <row r="722" spans="17:46" ht="21.6" customHeight="1" x14ac:dyDescent="0.6">
      <c r="Q722" s="310"/>
      <c r="AT722" s="158"/>
    </row>
    <row r="723" spans="17:46" ht="21.6" customHeight="1" x14ac:dyDescent="0.6">
      <c r="Q723" s="310"/>
      <c r="AT723" s="158"/>
    </row>
    <row r="724" spans="17:46" ht="21.6" customHeight="1" x14ac:dyDescent="0.6">
      <c r="Q724" s="310"/>
      <c r="AT724" s="158"/>
    </row>
    <row r="725" spans="17:46" ht="21.6" customHeight="1" x14ac:dyDescent="0.6">
      <c r="Q725" s="310"/>
      <c r="AT725" s="158"/>
    </row>
    <row r="726" spans="17:46" ht="21.6" customHeight="1" x14ac:dyDescent="0.6">
      <c r="Q726" s="310"/>
      <c r="AT726" s="158"/>
    </row>
    <row r="727" spans="17:46" ht="21.6" customHeight="1" x14ac:dyDescent="0.6">
      <c r="Q727" s="310"/>
      <c r="AT727" s="158"/>
    </row>
    <row r="728" spans="17:46" ht="21.6" customHeight="1" x14ac:dyDescent="0.6">
      <c r="Q728" s="310"/>
      <c r="AT728" s="158"/>
    </row>
    <row r="729" spans="17:46" ht="21.6" customHeight="1" x14ac:dyDescent="0.6">
      <c r="Q729" s="310"/>
      <c r="AT729" s="158"/>
    </row>
    <row r="730" spans="17:46" ht="21.6" customHeight="1" x14ac:dyDescent="0.6">
      <c r="Q730" s="310"/>
      <c r="AT730" s="158"/>
    </row>
    <row r="731" spans="17:46" ht="21.6" customHeight="1" x14ac:dyDescent="0.6">
      <c r="Q731" s="310"/>
      <c r="AT731" s="158"/>
    </row>
    <row r="732" spans="17:46" ht="21.6" customHeight="1" x14ac:dyDescent="0.6">
      <c r="Q732" s="310"/>
      <c r="AT732" s="158"/>
    </row>
    <row r="733" spans="17:46" ht="21.6" customHeight="1" x14ac:dyDescent="0.6">
      <c r="Q733" s="310"/>
      <c r="AT733" s="158"/>
    </row>
    <row r="734" spans="17:46" ht="21.6" customHeight="1" x14ac:dyDescent="0.6">
      <c r="Q734" s="310"/>
      <c r="AT734" s="158"/>
    </row>
    <row r="735" spans="17:46" ht="21.6" customHeight="1" x14ac:dyDescent="0.6">
      <c r="Q735" s="310"/>
      <c r="AT735" s="158"/>
    </row>
    <row r="736" spans="17:46" ht="21.6" customHeight="1" x14ac:dyDescent="0.6">
      <c r="Q736" s="310"/>
      <c r="AT736" s="158"/>
    </row>
    <row r="737" spans="17:46" ht="21.6" customHeight="1" x14ac:dyDescent="0.6">
      <c r="Q737" s="310"/>
      <c r="AT737" s="158"/>
    </row>
    <row r="738" spans="17:46" ht="21.6" customHeight="1" x14ac:dyDescent="0.6">
      <c r="Q738" s="310"/>
      <c r="AT738" s="158"/>
    </row>
    <row r="739" spans="17:46" ht="21.6" customHeight="1" x14ac:dyDescent="0.6">
      <c r="Q739" s="310"/>
      <c r="AT739" s="158"/>
    </row>
    <row r="740" spans="17:46" ht="21.6" customHeight="1" x14ac:dyDescent="0.6">
      <c r="Q740" s="310"/>
      <c r="AT740" s="158"/>
    </row>
    <row r="741" spans="17:46" ht="21.6" customHeight="1" x14ac:dyDescent="0.6">
      <c r="Q741" s="310"/>
      <c r="AT741" s="158"/>
    </row>
    <row r="742" spans="17:46" ht="21.6" customHeight="1" x14ac:dyDescent="0.6">
      <c r="Q742" s="310"/>
      <c r="AT742" s="158"/>
    </row>
    <row r="743" spans="17:46" ht="21.6" customHeight="1" x14ac:dyDescent="0.6">
      <c r="Q743" s="310"/>
      <c r="AT743" s="158"/>
    </row>
    <row r="744" spans="17:46" ht="21.6" customHeight="1" x14ac:dyDescent="0.6">
      <c r="Q744" s="310"/>
      <c r="AT744" s="158"/>
    </row>
    <row r="745" spans="17:46" ht="21.6" customHeight="1" x14ac:dyDescent="0.6">
      <c r="Q745" s="310"/>
      <c r="AT745" s="158"/>
    </row>
    <row r="746" spans="17:46" ht="21.6" customHeight="1" x14ac:dyDescent="0.6">
      <c r="Q746" s="310"/>
      <c r="AT746" s="158"/>
    </row>
    <row r="747" spans="17:46" ht="21.6" customHeight="1" x14ac:dyDescent="0.6">
      <c r="Q747" s="310"/>
      <c r="AT747" s="158"/>
    </row>
    <row r="748" spans="17:46" ht="21.6" customHeight="1" x14ac:dyDescent="0.6">
      <c r="Q748" s="310"/>
      <c r="AT748" s="158"/>
    </row>
    <row r="749" spans="17:46" ht="21.6" customHeight="1" x14ac:dyDescent="0.6">
      <c r="Q749" s="310"/>
      <c r="AT749" s="158"/>
    </row>
    <row r="750" spans="17:46" ht="21.6" customHeight="1" x14ac:dyDescent="0.6">
      <c r="Q750" s="310"/>
      <c r="AT750" s="158"/>
    </row>
    <row r="751" spans="17:46" ht="21.6" customHeight="1" x14ac:dyDescent="0.6">
      <c r="Q751" s="310"/>
      <c r="AT751" s="158"/>
    </row>
    <row r="752" spans="17:46" ht="21.6" customHeight="1" x14ac:dyDescent="0.6">
      <c r="Q752" s="310"/>
      <c r="AT752" s="158"/>
    </row>
    <row r="753" spans="17:46" ht="21.6" customHeight="1" x14ac:dyDescent="0.6">
      <c r="Q753" s="310"/>
      <c r="AT753" s="158"/>
    </row>
    <row r="754" spans="17:46" ht="21.6" customHeight="1" x14ac:dyDescent="0.6">
      <c r="Q754" s="310"/>
      <c r="AT754" s="158"/>
    </row>
    <row r="755" spans="17:46" ht="21.6" customHeight="1" x14ac:dyDescent="0.6">
      <c r="Q755" s="310"/>
      <c r="AT755" s="158"/>
    </row>
    <row r="756" spans="17:46" ht="21.6" customHeight="1" x14ac:dyDescent="0.6">
      <c r="Q756" s="310"/>
      <c r="AT756" s="158"/>
    </row>
    <row r="757" spans="17:46" ht="21.6" customHeight="1" x14ac:dyDescent="0.6">
      <c r="Q757" s="310"/>
      <c r="AT757" s="158"/>
    </row>
    <row r="758" spans="17:46" ht="21.6" customHeight="1" x14ac:dyDescent="0.6">
      <c r="Q758" s="310"/>
      <c r="AT758" s="158"/>
    </row>
    <row r="759" spans="17:46" ht="21.6" customHeight="1" x14ac:dyDescent="0.6">
      <c r="Q759" s="310"/>
      <c r="AT759" s="158"/>
    </row>
    <row r="760" spans="17:46" ht="21.6" customHeight="1" x14ac:dyDescent="0.6">
      <c r="Q760" s="310"/>
      <c r="AT760" s="158"/>
    </row>
    <row r="761" spans="17:46" ht="21.6" customHeight="1" x14ac:dyDescent="0.6">
      <c r="Q761" s="310"/>
      <c r="AT761" s="158"/>
    </row>
    <row r="762" spans="17:46" ht="21.6" customHeight="1" x14ac:dyDescent="0.6">
      <c r="Q762" s="310"/>
      <c r="AT762" s="158"/>
    </row>
    <row r="763" spans="17:46" ht="21.6" customHeight="1" x14ac:dyDescent="0.6">
      <c r="Q763" s="310"/>
      <c r="AT763" s="158"/>
    </row>
    <row r="764" spans="17:46" ht="21.6" customHeight="1" x14ac:dyDescent="0.6">
      <c r="Q764" s="310"/>
      <c r="AT764" s="158"/>
    </row>
    <row r="765" spans="17:46" ht="21.6" customHeight="1" x14ac:dyDescent="0.6">
      <c r="Q765" s="310"/>
      <c r="AT765" s="158"/>
    </row>
    <row r="766" spans="17:46" ht="21.6" customHeight="1" x14ac:dyDescent="0.6">
      <c r="Q766" s="310"/>
      <c r="AT766" s="158"/>
    </row>
    <row r="767" spans="17:46" ht="21.6" customHeight="1" x14ac:dyDescent="0.6">
      <c r="Q767" s="310"/>
      <c r="AT767" s="158"/>
    </row>
    <row r="768" spans="17:46" ht="21.6" customHeight="1" x14ac:dyDescent="0.6">
      <c r="Q768" s="310"/>
      <c r="AT768" s="158"/>
    </row>
    <row r="769" spans="17:46" ht="21.6" customHeight="1" x14ac:dyDescent="0.6">
      <c r="Q769" s="310"/>
      <c r="AT769" s="158"/>
    </row>
    <row r="770" spans="17:46" ht="21.6" customHeight="1" x14ac:dyDescent="0.6">
      <c r="Q770" s="310"/>
      <c r="AT770" s="158"/>
    </row>
    <row r="771" spans="17:46" ht="21.6" customHeight="1" x14ac:dyDescent="0.6">
      <c r="Q771" s="310"/>
      <c r="AT771" s="158"/>
    </row>
    <row r="772" spans="17:46" ht="21.6" customHeight="1" x14ac:dyDescent="0.6">
      <c r="Q772" s="310"/>
      <c r="AT772" s="158"/>
    </row>
    <row r="773" spans="17:46" ht="21.6" customHeight="1" x14ac:dyDescent="0.6">
      <c r="Q773" s="310"/>
      <c r="AT773" s="158"/>
    </row>
    <row r="774" spans="17:46" ht="21.6" customHeight="1" x14ac:dyDescent="0.6">
      <c r="Q774" s="310"/>
      <c r="AT774" s="158"/>
    </row>
    <row r="775" spans="17:46" ht="21.6" customHeight="1" x14ac:dyDescent="0.6">
      <c r="Q775" s="310"/>
      <c r="AT775" s="158"/>
    </row>
    <row r="776" spans="17:46" ht="21.6" customHeight="1" x14ac:dyDescent="0.6">
      <c r="Q776" s="310"/>
      <c r="AT776" s="158"/>
    </row>
    <row r="777" spans="17:46" ht="21.6" customHeight="1" x14ac:dyDescent="0.6">
      <c r="Q777" s="310"/>
      <c r="AT777" s="158"/>
    </row>
    <row r="778" spans="17:46" ht="21.6" customHeight="1" x14ac:dyDescent="0.6">
      <c r="Q778" s="310"/>
      <c r="AT778" s="158"/>
    </row>
    <row r="779" spans="17:46" ht="21.6" customHeight="1" x14ac:dyDescent="0.6">
      <c r="Q779" s="310"/>
      <c r="AT779" s="158"/>
    </row>
    <row r="780" spans="17:46" ht="21.6" customHeight="1" x14ac:dyDescent="0.6">
      <c r="Q780" s="310"/>
      <c r="AT780" s="158"/>
    </row>
    <row r="781" spans="17:46" ht="21.6" customHeight="1" x14ac:dyDescent="0.6">
      <c r="Q781" s="310"/>
      <c r="AT781" s="158"/>
    </row>
    <row r="782" spans="17:46" ht="21.6" customHeight="1" x14ac:dyDescent="0.6">
      <c r="Q782" s="310"/>
      <c r="AT782" s="158"/>
    </row>
    <row r="783" spans="17:46" ht="21.6" customHeight="1" x14ac:dyDescent="0.6">
      <c r="Q783" s="310"/>
      <c r="AT783" s="158"/>
    </row>
    <row r="784" spans="17:46" ht="21.6" customHeight="1" x14ac:dyDescent="0.6">
      <c r="Q784" s="310"/>
      <c r="AT784" s="158"/>
    </row>
    <row r="785" spans="17:46" ht="21.6" customHeight="1" x14ac:dyDescent="0.6">
      <c r="Q785" s="310"/>
      <c r="AT785" s="158"/>
    </row>
    <row r="786" spans="17:46" ht="21.6" customHeight="1" x14ac:dyDescent="0.6">
      <c r="Q786" s="310"/>
      <c r="AT786" s="158"/>
    </row>
    <row r="787" spans="17:46" ht="21.6" customHeight="1" x14ac:dyDescent="0.6">
      <c r="Q787" s="310"/>
      <c r="AT787" s="158"/>
    </row>
    <row r="788" spans="17:46" ht="21.6" customHeight="1" x14ac:dyDescent="0.6">
      <c r="Q788" s="310"/>
      <c r="AT788" s="158"/>
    </row>
    <row r="789" spans="17:46" ht="21.6" customHeight="1" x14ac:dyDescent="0.6">
      <c r="Q789" s="310"/>
      <c r="AT789" s="158"/>
    </row>
    <row r="790" spans="17:46" ht="21.6" customHeight="1" x14ac:dyDescent="0.6">
      <c r="Q790" s="310"/>
      <c r="AT790" s="158"/>
    </row>
    <row r="791" spans="17:46" ht="21.6" customHeight="1" x14ac:dyDescent="0.6">
      <c r="Q791" s="310"/>
      <c r="AT791" s="158"/>
    </row>
    <row r="792" spans="17:46" ht="21.6" customHeight="1" x14ac:dyDescent="0.6">
      <c r="Q792" s="310"/>
      <c r="AT792" s="158"/>
    </row>
    <row r="793" spans="17:46" ht="21.6" customHeight="1" x14ac:dyDescent="0.6">
      <c r="Q793" s="310"/>
      <c r="AT793" s="158"/>
    </row>
    <row r="794" spans="17:46" ht="21.6" customHeight="1" x14ac:dyDescent="0.6">
      <c r="Q794" s="310"/>
      <c r="AT794" s="158"/>
    </row>
    <row r="795" spans="17:46" ht="21.6" customHeight="1" x14ac:dyDescent="0.6">
      <c r="Q795" s="310"/>
      <c r="AT795" s="158"/>
    </row>
    <row r="796" spans="17:46" ht="21.6" customHeight="1" x14ac:dyDescent="0.6">
      <c r="Q796" s="310"/>
      <c r="AT796" s="158"/>
    </row>
    <row r="797" spans="17:46" ht="21.6" customHeight="1" x14ac:dyDescent="0.6">
      <c r="Q797" s="310"/>
      <c r="AT797" s="158"/>
    </row>
    <row r="798" spans="17:46" ht="21.6" customHeight="1" x14ac:dyDescent="0.6">
      <c r="Q798" s="310"/>
      <c r="AT798" s="158"/>
    </row>
    <row r="799" spans="17:46" ht="21.6" customHeight="1" x14ac:dyDescent="0.6">
      <c r="Q799" s="310"/>
      <c r="AT799" s="158"/>
    </row>
    <row r="800" spans="17:46" ht="21.6" customHeight="1" x14ac:dyDescent="0.6">
      <c r="Q800" s="310"/>
      <c r="AT800" s="158"/>
    </row>
    <row r="801" spans="17:46" ht="21.6" customHeight="1" x14ac:dyDescent="0.6">
      <c r="Q801" s="310"/>
      <c r="AT801" s="158"/>
    </row>
    <row r="802" spans="17:46" ht="21.6" customHeight="1" x14ac:dyDescent="0.6">
      <c r="Q802" s="310"/>
      <c r="AT802" s="158"/>
    </row>
    <row r="803" spans="17:46" ht="21.6" customHeight="1" x14ac:dyDescent="0.6">
      <c r="Q803" s="310"/>
      <c r="AT803" s="158"/>
    </row>
    <row r="804" spans="17:46" ht="21.6" customHeight="1" x14ac:dyDescent="0.6">
      <c r="Q804" s="310"/>
      <c r="AT804" s="158"/>
    </row>
    <row r="805" spans="17:46" ht="21.6" customHeight="1" x14ac:dyDescent="0.6">
      <c r="Q805" s="310"/>
      <c r="AT805" s="158"/>
    </row>
    <row r="806" spans="17:46" ht="21.6" customHeight="1" x14ac:dyDescent="0.6">
      <c r="Q806" s="310"/>
      <c r="AT806" s="158"/>
    </row>
    <row r="807" spans="17:46" ht="21.6" customHeight="1" x14ac:dyDescent="0.6">
      <c r="Q807" s="310"/>
      <c r="AT807" s="158"/>
    </row>
    <row r="808" spans="17:46" ht="21.6" customHeight="1" x14ac:dyDescent="0.6">
      <c r="Q808" s="310"/>
      <c r="AT808" s="158"/>
    </row>
    <row r="809" spans="17:46" ht="21.6" customHeight="1" x14ac:dyDescent="0.6">
      <c r="Q809" s="310"/>
      <c r="AT809" s="158"/>
    </row>
    <row r="810" spans="17:46" ht="21.6" customHeight="1" x14ac:dyDescent="0.6">
      <c r="Q810" s="310"/>
      <c r="AT810" s="158"/>
    </row>
    <row r="811" spans="17:46" ht="21.6" customHeight="1" x14ac:dyDescent="0.6">
      <c r="Q811" s="310"/>
      <c r="AT811" s="158"/>
    </row>
    <row r="812" spans="17:46" ht="21.6" customHeight="1" x14ac:dyDescent="0.6">
      <c r="Q812" s="310"/>
      <c r="AT812" s="158"/>
    </row>
    <row r="813" spans="17:46" ht="21.6" customHeight="1" x14ac:dyDescent="0.6">
      <c r="Q813" s="310"/>
      <c r="AT813" s="158"/>
    </row>
    <row r="814" spans="17:46" ht="21.6" customHeight="1" x14ac:dyDescent="0.6">
      <c r="Q814" s="310"/>
      <c r="AT814" s="158"/>
    </row>
    <row r="815" spans="17:46" ht="21.6" customHeight="1" x14ac:dyDescent="0.6">
      <c r="Q815" s="310"/>
      <c r="AT815" s="158"/>
    </row>
    <row r="816" spans="17:46" ht="21.6" customHeight="1" x14ac:dyDescent="0.6">
      <c r="Q816" s="310"/>
      <c r="AT816" s="158"/>
    </row>
    <row r="817" spans="17:46" ht="21.6" customHeight="1" x14ac:dyDescent="0.6">
      <c r="Q817" s="310"/>
      <c r="AT817" s="158"/>
    </row>
    <row r="818" spans="17:46" ht="21.6" customHeight="1" x14ac:dyDescent="0.6">
      <c r="Q818" s="310"/>
      <c r="AT818" s="158"/>
    </row>
    <row r="819" spans="17:46" ht="21.6" customHeight="1" x14ac:dyDescent="0.6">
      <c r="Q819" s="310"/>
      <c r="AT819" s="158"/>
    </row>
    <row r="820" spans="17:46" ht="21.6" customHeight="1" x14ac:dyDescent="0.6">
      <c r="Q820" s="310"/>
      <c r="AT820" s="158"/>
    </row>
    <row r="821" spans="17:46" ht="21.6" customHeight="1" x14ac:dyDescent="0.6">
      <c r="Q821" s="310"/>
      <c r="AT821" s="158"/>
    </row>
    <row r="822" spans="17:46" ht="21.6" customHeight="1" x14ac:dyDescent="0.6">
      <c r="Q822" s="310"/>
      <c r="AT822" s="158"/>
    </row>
    <row r="823" spans="17:46" ht="21.6" customHeight="1" x14ac:dyDescent="0.6">
      <c r="Q823" s="310"/>
      <c r="AT823" s="158"/>
    </row>
    <row r="824" spans="17:46" ht="21.6" customHeight="1" x14ac:dyDescent="0.6">
      <c r="Q824" s="310"/>
      <c r="AT824" s="158"/>
    </row>
    <row r="825" spans="17:46" ht="21.6" customHeight="1" x14ac:dyDescent="0.6">
      <c r="Q825" s="310"/>
      <c r="AT825" s="158"/>
    </row>
    <row r="826" spans="17:46" ht="21.6" customHeight="1" x14ac:dyDescent="0.6">
      <c r="Q826" s="310"/>
      <c r="AT826" s="158"/>
    </row>
    <row r="827" spans="17:46" ht="21.6" customHeight="1" x14ac:dyDescent="0.6">
      <c r="AT827" s="158"/>
    </row>
    <row r="828" spans="17:46" ht="21.6" customHeight="1" x14ac:dyDescent="0.6">
      <c r="AT828" s="158"/>
    </row>
    <row r="829" spans="17:46" ht="21.6" customHeight="1" x14ac:dyDescent="0.6">
      <c r="AT829" s="158"/>
    </row>
    <row r="830" spans="17:46" ht="21.6" customHeight="1" x14ac:dyDescent="0.6">
      <c r="AT830" s="158"/>
    </row>
    <row r="831" spans="17:46" ht="21.6" customHeight="1" x14ac:dyDescent="0.6">
      <c r="AT831" s="158"/>
    </row>
    <row r="832" spans="17:46" ht="21.6" customHeight="1" x14ac:dyDescent="0.6">
      <c r="AT832" s="158"/>
    </row>
    <row r="833" spans="46:46" ht="21.6" customHeight="1" x14ac:dyDescent="0.6">
      <c r="AT833" s="158"/>
    </row>
    <row r="834" spans="46:46" ht="21.6" customHeight="1" x14ac:dyDescent="0.6">
      <c r="AT834" s="158"/>
    </row>
    <row r="835" spans="46:46" ht="21.6" customHeight="1" x14ac:dyDescent="0.6">
      <c r="AT835" s="158"/>
    </row>
    <row r="836" spans="46:46" ht="21.6" customHeight="1" x14ac:dyDescent="0.6">
      <c r="AT836" s="158"/>
    </row>
    <row r="837" spans="46:46" ht="21.6" customHeight="1" x14ac:dyDescent="0.6">
      <c r="AT837" s="158"/>
    </row>
    <row r="838" spans="46:46" ht="21.6" customHeight="1" x14ac:dyDescent="0.6">
      <c r="AT838" s="158"/>
    </row>
    <row r="839" spans="46:46" ht="21.6" customHeight="1" x14ac:dyDescent="0.6">
      <c r="AT839" s="158"/>
    </row>
    <row r="840" spans="46:46" ht="21.6" customHeight="1" x14ac:dyDescent="0.6">
      <c r="AT840" s="158"/>
    </row>
    <row r="841" spans="46:46" ht="21.6" customHeight="1" x14ac:dyDescent="0.6">
      <c r="AT841" s="158"/>
    </row>
    <row r="842" spans="46:46" ht="21.6" customHeight="1" x14ac:dyDescent="0.6">
      <c r="AT842" s="158"/>
    </row>
    <row r="843" spans="46:46" ht="21.6" customHeight="1" x14ac:dyDescent="0.6">
      <c r="AT843" s="158"/>
    </row>
    <row r="844" spans="46:46" ht="21.6" customHeight="1" x14ac:dyDescent="0.6">
      <c r="AT844" s="158"/>
    </row>
    <row r="845" spans="46:46" ht="21.6" customHeight="1" x14ac:dyDescent="0.6">
      <c r="AT845" s="158"/>
    </row>
    <row r="846" spans="46:46" ht="21.6" customHeight="1" x14ac:dyDescent="0.6">
      <c r="AT846" s="158"/>
    </row>
    <row r="847" spans="46:46" ht="21.6" customHeight="1" x14ac:dyDescent="0.6">
      <c r="AT847" s="158"/>
    </row>
    <row r="848" spans="46:46" ht="21.6" customHeight="1" x14ac:dyDescent="0.6">
      <c r="AT848" s="158"/>
    </row>
    <row r="849" spans="30:46" ht="21.6" customHeight="1" x14ac:dyDescent="0.6">
      <c r="AT849" s="158"/>
    </row>
    <row r="850" spans="30:46" ht="21.6" customHeight="1" x14ac:dyDescent="0.6">
      <c r="AT850" s="158"/>
    </row>
    <row r="851" spans="30:46" ht="21.6" customHeight="1" x14ac:dyDescent="0.6">
      <c r="AD851" s="357"/>
      <c r="AT851" s="158"/>
    </row>
    <row r="852" spans="30:46" ht="21.6" customHeight="1" x14ac:dyDescent="0.6">
      <c r="AT852" s="158"/>
    </row>
    <row r="853" spans="30:46" ht="21.6" customHeight="1" x14ac:dyDescent="0.6">
      <c r="AT853" s="158"/>
    </row>
    <row r="854" spans="30:46" ht="21.6" customHeight="1" x14ac:dyDescent="0.6">
      <c r="AT854" s="158"/>
    </row>
    <row r="855" spans="30:46" ht="21.6" customHeight="1" x14ac:dyDescent="0.6">
      <c r="AT855" s="158"/>
    </row>
    <row r="856" spans="30:46" ht="21.6" customHeight="1" x14ac:dyDescent="0.6">
      <c r="AT856" s="158"/>
    </row>
    <row r="857" spans="30:46" ht="21.6" customHeight="1" x14ac:dyDescent="0.6">
      <c r="AT857" s="158"/>
    </row>
    <row r="858" spans="30:46" ht="21.6" customHeight="1" x14ac:dyDescent="0.6">
      <c r="AT858" s="158"/>
    </row>
    <row r="859" spans="30:46" ht="21.6" customHeight="1" x14ac:dyDescent="0.6">
      <c r="AT859" s="158"/>
    </row>
    <row r="860" spans="30:46" ht="21.6" customHeight="1" x14ac:dyDescent="0.6">
      <c r="AT860" s="158"/>
    </row>
    <row r="861" spans="30:46" ht="21.6" customHeight="1" x14ac:dyDescent="0.6">
      <c r="AT861" s="158"/>
    </row>
    <row r="862" spans="30:46" ht="21.6" customHeight="1" x14ac:dyDescent="0.6">
      <c r="AT862" s="158"/>
    </row>
    <row r="863" spans="30:46" ht="21.6" customHeight="1" x14ac:dyDescent="0.6">
      <c r="AT863" s="158"/>
    </row>
    <row r="864" spans="30:46" ht="21.6" customHeight="1" x14ac:dyDescent="0.6">
      <c r="AT864" s="158"/>
    </row>
    <row r="865" spans="46:46" ht="21.6" customHeight="1" x14ac:dyDescent="0.6">
      <c r="AT865" s="158"/>
    </row>
    <row r="866" spans="46:46" ht="21.6" customHeight="1" x14ac:dyDescent="0.6">
      <c r="AT866" s="158"/>
    </row>
    <row r="867" spans="46:46" ht="21.6" customHeight="1" x14ac:dyDescent="0.6">
      <c r="AT867" s="158"/>
    </row>
    <row r="868" spans="46:46" ht="21.6" customHeight="1" x14ac:dyDescent="0.6">
      <c r="AT868" s="158"/>
    </row>
    <row r="869" spans="46:46" ht="21.6" customHeight="1" x14ac:dyDescent="0.6">
      <c r="AT869" s="158"/>
    </row>
    <row r="870" spans="46:46" ht="21.6" customHeight="1" x14ac:dyDescent="0.6">
      <c r="AT870" s="158"/>
    </row>
    <row r="871" spans="46:46" ht="21.6" customHeight="1" x14ac:dyDescent="0.6">
      <c r="AT871" s="158"/>
    </row>
    <row r="872" spans="46:46" ht="21.6" customHeight="1" x14ac:dyDescent="0.6">
      <c r="AT872" s="158"/>
    </row>
    <row r="873" spans="46:46" ht="21.6" customHeight="1" x14ac:dyDescent="0.6">
      <c r="AT873" s="158"/>
    </row>
    <row r="874" spans="46:46" ht="21.6" customHeight="1" x14ac:dyDescent="0.6">
      <c r="AT874" s="158"/>
    </row>
    <row r="875" spans="46:46" ht="21.6" customHeight="1" x14ac:dyDescent="0.6">
      <c r="AT875" s="158"/>
    </row>
    <row r="876" spans="46:46" ht="21.6" customHeight="1" x14ac:dyDescent="0.6">
      <c r="AT876" s="158"/>
    </row>
    <row r="877" spans="46:46" ht="21.6" customHeight="1" x14ac:dyDescent="0.6">
      <c r="AT877" s="158"/>
    </row>
    <row r="878" spans="46:46" ht="21.6" customHeight="1" x14ac:dyDescent="0.6">
      <c r="AT878" s="158"/>
    </row>
    <row r="879" spans="46:46" ht="21.6" customHeight="1" x14ac:dyDescent="0.6">
      <c r="AT879" s="158"/>
    </row>
    <row r="880" spans="46:46" ht="21.6" customHeight="1" x14ac:dyDescent="0.6">
      <c r="AT880" s="158"/>
    </row>
    <row r="881" spans="46:46" ht="21.6" customHeight="1" x14ac:dyDescent="0.6">
      <c r="AT881" s="158"/>
    </row>
    <row r="882" spans="46:46" ht="21.6" customHeight="1" x14ac:dyDescent="0.6">
      <c r="AT882" s="158"/>
    </row>
    <row r="883" spans="46:46" ht="21.6" customHeight="1" x14ac:dyDescent="0.6">
      <c r="AT883" s="158"/>
    </row>
    <row r="884" spans="46:46" ht="21.6" customHeight="1" x14ac:dyDescent="0.6">
      <c r="AT884" s="158"/>
    </row>
    <row r="885" spans="46:46" ht="21.6" customHeight="1" x14ac:dyDescent="0.6">
      <c r="AT885" s="158"/>
    </row>
    <row r="886" spans="46:46" ht="21.6" customHeight="1" x14ac:dyDescent="0.6">
      <c r="AT886" s="158"/>
    </row>
    <row r="887" spans="46:46" ht="21.6" customHeight="1" x14ac:dyDescent="0.6">
      <c r="AT887" s="158"/>
    </row>
    <row r="888" spans="46:46" ht="21.6" customHeight="1" x14ac:dyDescent="0.6">
      <c r="AT888" s="158"/>
    </row>
    <row r="889" spans="46:46" ht="31.2" x14ac:dyDescent="0.6">
      <c r="AT889" s="158"/>
    </row>
    <row r="890" spans="46:46" ht="31.2" x14ac:dyDescent="0.6">
      <c r="AT890" s="158"/>
    </row>
    <row r="891" spans="46:46" ht="31.2" x14ac:dyDescent="0.6">
      <c r="AT891" s="158"/>
    </row>
    <row r="892" spans="46:46" ht="31.2" x14ac:dyDescent="0.6">
      <c r="AT892" s="158"/>
    </row>
    <row r="893" spans="46:46" ht="31.2" x14ac:dyDescent="0.6">
      <c r="AT893" s="158"/>
    </row>
    <row r="894" spans="46:46" ht="31.2" x14ac:dyDescent="0.6">
      <c r="AT894" s="158"/>
    </row>
    <row r="895" spans="46:46" ht="31.2" x14ac:dyDescent="0.6">
      <c r="AT895" s="158"/>
    </row>
    <row r="896" spans="46:46" ht="31.2" x14ac:dyDescent="0.6">
      <c r="AT896" s="158"/>
    </row>
    <row r="897" spans="46:46" ht="31.2" x14ac:dyDescent="0.6">
      <c r="AT897" s="158"/>
    </row>
    <row r="898" spans="46:46" ht="31.2" x14ac:dyDescent="0.6">
      <c r="AT898" s="158"/>
    </row>
    <row r="899" spans="46:46" ht="31.2" x14ac:dyDescent="0.6">
      <c r="AT899" s="158"/>
    </row>
    <row r="900" spans="46:46" ht="31.2" x14ac:dyDescent="0.6">
      <c r="AT900" s="158"/>
    </row>
    <row r="901" spans="46:46" ht="31.2" x14ac:dyDescent="0.6">
      <c r="AT901" s="158"/>
    </row>
    <row r="902" spans="46:46" ht="31.2" x14ac:dyDescent="0.6">
      <c r="AT902" s="158"/>
    </row>
    <row r="903" spans="46:46" ht="31.2" x14ac:dyDescent="0.6">
      <c r="AT903" s="158"/>
    </row>
    <row r="904" spans="46:46" ht="31.2" x14ac:dyDescent="0.6">
      <c r="AT904" s="158"/>
    </row>
    <row r="905" spans="46:46" ht="31.2" x14ac:dyDescent="0.6">
      <c r="AT905" s="158"/>
    </row>
    <row r="906" spans="46:46" ht="31.2" x14ac:dyDescent="0.6">
      <c r="AT906" s="158"/>
    </row>
    <row r="907" spans="46:46" ht="31.2" x14ac:dyDescent="0.6">
      <c r="AT907" s="158"/>
    </row>
    <row r="908" spans="46:46" ht="31.2" x14ac:dyDescent="0.6">
      <c r="AT908" s="158"/>
    </row>
    <row r="909" spans="46:46" ht="31.2" x14ac:dyDescent="0.6">
      <c r="AT909" s="158"/>
    </row>
    <row r="910" spans="46:46" ht="31.2" x14ac:dyDescent="0.6">
      <c r="AT910" s="158"/>
    </row>
    <row r="911" spans="46:46" ht="31.2" x14ac:dyDescent="0.6">
      <c r="AT911" s="158"/>
    </row>
    <row r="912" spans="46:46" ht="31.2" x14ac:dyDescent="0.6">
      <c r="AT912" s="158"/>
    </row>
    <row r="913" spans="46:46" ht="31.2" x14ac:dyDescent="0.6">
      <c r="AT913" s="158"/>
    </row>
    <row r="914" spans="46:46" ht="31.2" x14ac:dyDescent="0.6">
      <c r="AT914" s="158"/>
    </row>
    <row r="915" spans="46:46" ht="31.2" x14ac:dyDescent="0.6">
      <c r="AT915" s="158"/>
    </row>
    <row r="916" spans="46:46" ht="31.2" x14ac:dyDescent="0.6">
      <c r="AT916" s="158"/>
    </row>
    <row r="917" spans="46:46" ht="31.2" x14ac:dyDescent="0.6">
      <c r="AT917" s="158"/>
    </row>
    <row r="918" spans="46:46" ht="31.2" x14ac:dyDescent="0.6">
      <c r="AT918" s="158"/>
    </row>
    <row r="919" spans="46:46" ht="31.2" x14ac:dyDescent="0.6">
      <c r="AT919" s="158"/>
    </row>
    <row r="920" spans="46:46" ht="31.2" x14ac:dyDescent="0.6">
      <c r="AT920" s="158"/>
    </row>
    <row r="921" spans="46:46" ht="31.2" x14ac:dyDescent="0.6">
      <c r="AT921" s="158"/>
    </row>
    <row r="922" spans="46:46" ht="31.2" x14ac:dyDescent="0.6">
      <c r="AT922" s="158"/>
    </row>
    <row r="923" spans="46:46" ht="31.2" x14ac:dyDescent="0.6">
      <c r="AT923" s="158"/>
    </row>
    <row r="924" spans="46:46" ht="31.2" x14ac:dyDescent="0.6">
      <c r="AT924" s="158"/>
    </row>
    <row r="925" spans="46:46" ht="31.2" x14ac:dyDescent="0.6">
      <c r="AT925" s="158"/>
    </row>
    <row r="926" spans="46:46" ht="31.2" x14ac:dyDescent="0.6">
      <c r="AT926" s="158"/>
    </row>
    <row r="927" spans="46:46" ht="31.2" x14ac:dyDescent="0.6">
      <c r="AT927" s="158"/>
    </row>
    <row r="928" spans="46:46" ht="31.2" x14ac:dyDescent="0.6">
      <c r="AT928" s="158"/>
    </row>
    <row r="929" spans="46:46" ht="31.2" x14ac:dyDescent="0.6">
      <c r="AT929" s="158"/>
    </row>
    <row r="930" spans="46:46" ht="31.2" x14ac:dyDescent="0.6">
      <c r="AT930" s="158"/>
    </row>
    <row r="931" spans="46:46" ht="31.2" x14ac:dyDescent="0.6">
      <c r="AT931" s="158"/>
    </row>
    <row r="932" spans="46:46" ht="31.2" x14ac:dyDescent="0.6">
      <c r="AT932" s="158"/>
    </row>
    <row r="933" spans="46:46" ht="31.2" x14ac:dyDescent="0.6">
      <c r="AT933" s="158"/>
    </row>
    <row r="934" spans="46:46" ht="31.2" x14ac:dyDescent="0.6">
      <c r="AT934" s="158"/>
    </row>
    <row r="935" spans="46:46" ht="31.2" x14ac:dyDescent="0.6">
      <c r="AT935" s="158"/>
    </row>
    <row r="936" spans="46:46" ht="31.2" x14ac:dyDescent="0.6">
      <c r="AT936" s="158"/>
    </row>
    <row r="937" spans="46:46" ht="31.2" x14ac:dyDescent="0.6">
      <c r="AT937" s="158"/>
    </row>
    <row r="938" spans="46:46" ht="31.2" x14ac:dyDescent="0.6">
      <c r="AT938" s="158"/>
    </row>
    <row r="939" spans="46:46" ht="31.2" x14ac:dyDescent="0.6">
      <c r="AT939" s="158"/>
    </row>
    <row r="940" spans="46:46" ht="31.2" x14ac:dyDescent="0.6">
      <c r="AT940" s="158"/>
    </row>
    <row r="941" spans="46:46" ht="31.2" x14ac:dyDescent="0.6">
      <c r="AT941" s="158"/>
    </row>
    <row r="942" spans="46:46" ht="31.2" x14ac:dyDescent="0.6">
      <c r="AT942" s="158"/>
    </row>
    <row r="943" spans="46:46" ht="31.2" x14ac:dyDescent="0.6">
      <c r="AT943" s="158"/>
    </row>
    <row r="944" spans="46:46" ht="31.2" x14ac:dyDescent="0.6">
      <c r="AT944" s="158"/>
    </row>
    <row r="945" spans="46:46" ht="31.2" x14ac:dyDescent="0.6">
      <c r="AT945" s="158"/>
    </row>
    <row r="946" spans="46:46" ht="31.2" x14ac:dyDescent="0.6">
      <c r="AT946" s="158"/>
    </row>
    <row r="947" spans="46:46" ht="31.2" x14ac:dyDescent="0.6">
      <c r="AT947" s="158"/>
    </row>
    <row r="948" spans="46:46" ht="31.2" x14ac:dyDescent="0.6">
      <c r="AT948" s="158"/>
    </row>
    <row r="949" spans="46:46" ht="31.2" x14ac:dyDescent="0.6">
      <c r="AT949" s="158"/>
    </row>
    <row r="950" spans="46:46" ht="31.2" x14ac:dyDescent="0.6">
      <c r="AT950" s="158"/>
    </row>
    <row r="951" spans="46:46" ht="31.2" x14ac:dyDescent="0.6">
      <c r="AT951" s="158"/>
    </row>
    <row r="952" spans="46:46" ht="31.2" x14ac:dyDescent="0.6">
      <c r="AT952" s="158"/>
    </row>
    <row r="953" spans="46:46" ht="31.2" x14ac:dyDescent="0.6">
      <c r="AT953" s="158"/>
    </row>
    <row r="954" spans="46:46" ht="31.2" x14ac:dyDescent="0.6">
      <c r="AT954" s="158"/>
    </row>
    <row r="955" spans="46:46" ht="31.2" x14ac:dyDescent="0.6">
      <c r="AT955" s="158"/>
    </row>
    <row r="956" spans="46:46" ht="31.2" x14ac:dyDescent="0.6">
      <c r="AT956" s="158"/>
    </row>
    <row r="957" spans="46:46" ht="31.2" x14ac:dyDescent="0.6">
      <c r="AT957" s="158"/>
    </row>
    <row r="958" spans="46:46" ht="31.2" x14ac:dyDescent="0.6">
      <c r="AT958" s="158"/>
    </row>
    <row r="959" spans="46:46" ht="31.2" x14ac:dyDescent="0.6">
      <c r="AT959" s="158"/>
    </row>
    <row r="960" spans="46:46" ht="31.2" x14ac:dyDescent="0.6">
      <c r="AT960" s="158"/>
    </row>
    <row r="961" spans="46:46" ht="31.2" x14ac:dyDescent="0.6">
      <c r="AT961" s="158"/>
    </row>
    <row r="962" spans="46:46" ht="31.2" x14ac:dyDescent="0.6">
      <c r="AT962" s="158"/>
    </row>
    <row r="963" spans="46:46" ht="31.2" x14ac:dyDescent="0.6">
      <c r="AT963" s="158"/>
    </row>
    <row r="964" spans="46:46" ht="31.2" x14ac:dyDescent="0.6">
      <c r="AT964" s="158"/>
    </row>
    <row r="965" spans="46:46" ht="31.2" x14ac:dyDescent="0.6">
      <c r="AT965" s="158"/>
    </row>
    <row r="966" spans="46:46" ht="31.2" x14ac:dyDescent="0.6">
      <c r="AT966" s="158"/>
    </row>
    <row r="967" spans="46:46" ht="31.2" x14ac:dyDescent="0.6">
      <c r="AT967" s="158"/>
    </row>
    <row r="968" spans="46:46" ht="31.2" x14ac:dyDescent="0.6">
      <c r="AT968" s="158"/>
    </row>
    <row r="969" spans="46:46" ht="31.2" x14ac:dyDescent="0.6">
      <c r="AT969" s="158"/>
    </row>
    <row r="970" spans="46:46" ht="31.2" x14ac:dyDescent="0.6">
      <c r="AT970" s="158"/>
    </row>
    <row r="971" spans="46:46" ht="31.2" x14ac:dyDescent="0.6">
      <c r="AT971" s="158"/>
    </row>
    <row r="972" spans="46:46" ht="31.2" x14ac:dyDescent="0.6">
      <c r="AT972" s="158"/>
    </row>
    <row r="973" spans="46:46" ht="31.2" x14ac:dyDescent="0.6">
      <c r="AT973" s="158"/>
    </row>
    <row r="974" spans="46:46" ht="31.2" x14ac:dyDescent="0.6">
      <c r="AT974" s="158"/>
    </row>
    <row r="975" spans="46:46" ht="31.2" x14ac:dyDescent="0.6">
      <c r="AT975" s="158"/>
    </row>
    <row r="976" spans="46:46" ht="31.2" x14ac:dyDescent="0.6">
      <c r="AT976" s="158"/>
    </row>
    <row r="977" spans="46:46" ht="31.2" x14ac:dyDescent="0.6">
      <c r="AT977" s="158"/>
    </row>
    <row r="978" spans="46:46" ht="31.2" x14ac:dyDescent="0.6">
      <c r="AT978" s="158"/>
    </row>
    <row r="979" spans="46:46" ht="31.2" x14ac:dyDescent="0.6">
      <c r="AT979" s="158"/>
    </row>
    <row r="980" spans="46:46" ht="31.2" x14ac:dyDescent="0.6">
      <c r="AT980" s="158"/>
    </row>
    <row r="981" spans="46:46" ht="31.2" x14ac:dyDescent="0.6">
      <c r="AT981" s="158"/>
    </row>
    <row r="982" spans="46:46" ht="31.2" x14ac:dyDescent="0.6">
      <c r="AT982" s="158"/>
    </row>
    <row r="983" spans="46:46" ht="31.2" x14ac:dyDescent="0.6">
      <c r="AT983" s="158"/>
    </row>
    <row r="984" spans="46:46" ht="31.2" x14ac:dyDescent="0.6">
      <c r="AT984" s="158"/>
    </row>
    <row r="985" spans="46:46" ht="31.2" x14ac:dyDescent="0.6">
      <c r="AT985" s="158"/>
    </row>
    <row r="986" spans="46:46" ht="31.2" x14ac:dyDescent="0.6">
      <c r="AT986" s="158"/>
    </row>
    <row r="987" spans="46:46" ht="31.2" x14ac:dyDescent="0.6">
      <c r="AT987" s="158"/>
    </row>
    <row r="988" spans="46:46" ht="31.2" x14ac:dyDescent="0.6">
      <c r="AT988" s="158"/>
    </row>
    <row r="989" spans="46:46" ht="31.2" x14ac:dyDescent="0.6">
      <c r="AT989" s="158"/>
    </row>
    <row r="990" spans="46:46" ht="31.2" x14ac:dyDescent="0.6">
      <c r="AT990" s="158"/>
    </row>
    <row r="991" spans="46:46" ht="31.2" x14ac:dyDescent="0.6">
      <c r="AT991" s="158"/>
    </row>
    <row r="992" spans="46:46" ht="31.2" x14ac:dyDescent="0.6">
      <c r="AT992" s="158"/>
    </row>
    <row r="993" spans="46:46" ht="31.2" x14ac:dyDescent="0.6">
      <c r="AT993" s="158"/>
    </row>
    <row r="994" spans="46:46" ht="31.2" x14ac:dyDescent="0.6">
      <c r="AT994" s="158"/>
    </row>
    <row r="995" spans="46:46" ht="31.2" x14ac:dyDescent="0.6">
      <c r="AT995" s="158"/>
    </row>
    <row r="996" spans="46:46" ht="31.2" x14ac:dyDescent="0.6">
      <c r="AT996" s="158"/>
    </row>
    <row r="997" spans="46:46" ht="31.2" x14ac:dyDescent="0.6">
      <c r="AT997" s="158"/>
    </row>
    <row r="998" spans="46:46" ht="31.2" x14ac:dyDescent="0.6">
      <c r="AT998" s="158"/>
    </row>
    <row r="999" spans="46:46" ht="31.2" x14ac:dyDescent="0.6">
      <c r="AT999" s="158"/>
    </row>
    <row r="1000" spans="46:46" ht="31.2" x14ac:dyDescent="0.6">
      <c r="AT1000" s="158"/>
    </row>
    <row r="1001" spans="46:46" ht="31.2" x14ac:dyDescent="0.6">
      <c r="AT1001" s="158"/>
    </row>
    <row r="1002" spans="46:46" ht="31.2" x14ac:dyDescent="0.6">
      <c r="AT1002" s="158"/>
    </row>
    <row r="1003" spans="46:46" ht="31.2" x14ac:dyDescent="0.6">
      <c r="AT1003" s="158"/>
    </row>
    <row r="1004" spans="46:46" ht="31.2" x14ac:dyDescent="0.6">
      <c r="AT1004" s="158"/>
    </row>
    <row r="1005" spans="46:46" ht="31.2" x14ac:dyDescent="0.6">
      <c r="AT1005" s="158"/>
    </row>
    <row r="1006" spans="46:46" ht="31.2" x14ac:dyDescent="0.6">
      <c r="AT1006" s="158"/>
    </row>
    <row r="1007" spans="46:46" ht="31.2" x14ac:dyDescent="0.6">
      <c r="AT1007" s="158"/>
    </row>
    <row r="1008" spans="46:46" ht="31.2" x14ac:dyDescent="0.6">
      <c r="AT1008" s="158"/>
    </row>
    <row r="1009" spans="46:46" ht="31.2" x14ac:dyDescent="0.6">
      <c r="AT1009" s="158"/>
    </row>
    <row r="1010" spans="46:46" ht="31.2" x14ac:dyDescent="0.6">
      <c r="AT1010" s="158"/>
    </row>
    <row r="1011" spans="46:46" ht="31.2" x14ac:dyDescent="0.6">
      <c r="AT1011" s="158"/>
    </row>
    <row r="1012" spans="46:46" ht="31.2" x14ac:dyDescent="0.6">
      <c r="AT1012" s="158"/>
    </row>
    <row r="1013" spans="46:46" ht="31.2" x14ac:dyDescent="0.6">
      <c r="AT1013" s="158"/>
    </row>
    <row r="1014" spans="46:46" ht="31.2" x14ac:dyDescent="0.6">
      <c r="AT1014" s="158"/>
    </row>
    <row r="1015" spans="46:46" ht="31.2" x14ac:dyDescent="0.6">
      <c r="AT1015" s="158"/>
    </row>
    <row r="1016" spans="46:46" ht="31.2" x14ac:dyDescent="0.6">
      <c r="AT1016" s="158"/>
    </row>
    <row r="1017" spans="46:46" ht="31.2" x14ac:dyDescent="0.6">
      <c r="AT1017" s="158"/>
    </row>
    <row r="1018" spans="46:46" ht="31.2" x14ac:dyDescent="0.6">
      <c r="AT1018" s="158"/>
    </row>
    <row r="1019" spans="46:46" ht="31.2" x14ac:dyDescent="0.6">
      <c r="AT1019" s="158"/>
    </row>
    <row r="1020" spans="46:46" ht="31.2" x14ac:dyDescent="0.6">
      <c r="AT1020" s="158"/>
    </row>
    <row r="1021" spans="46:46" ht="31.2" x14ac:dyDescent="0.6">
      <c r="AT1021" s="158"/>
    </row>
    <row r="1022" spans="46:46" ht="31.2" x14ac:dyDescent="0.6">
      <c r="AT1022" s="158"/>
    </row>
    <row r="1023" spans="46:46" ht="31.2" x14ac:dyDescent="0.6">
      <c r="AT1023" s="158"/>
    </row>
    <row r="1024" spans="46:46" ht="31.2" x14ac:dyDescent="0.6">
      <c r="AT1024" s="158"/>
    </row>
    <row r="1025" spans="46:46" ht="31.2" x14ac:dyDescent="0.6">
      <c r="AT1025" s="158"/>
    </row>
    <row r="1026" spans="46:46" ht="31.2" x14ac:dyDescent="0.6">
      <c r="AT1026" s="158"/>
    </row>
    <row r="1027" spans="46:46" ht="31.2" x14ac:dyDescent="0.6">
      <c r="AT1027" s="158"/>
    </row>
    <row r="1028" spans="46:46" ht="31.2" x14ac:dyDescent="0.6">
      <c r="AT1028" s="158"/>
    </row>
    <row r="1029" spans="46:46" ht="31.2" x14ac:dyDescent="0.6">
      <c r="AT1029" s="158"/>
    </row>
    <row r="1030" spans="46:46" ht="31.2" x14ac:dyDescent="0.6">
      <c r="AT1030" s="158"/>
    </row>
    <row r="1031" spans="46:46" ht="31.2" x14ac:dyDescent="0.6">
      <c r="AT1031" s="158"/>
    </row>
    <row r="1032" spans="46:46" ht="31.2" x14ac:dyDescent="0.6">
      <c r="AT1032" s="158"/>
    </row>
    <row r="1033" spans="46:46" ht="31.2" x14ac:dyDescent="0.6">
      <c r="AT1033" s="158"/>
    </row>
    <row r="1034" spans="46:46" ht="31.2" x14ac:dyDescent="0.6">
      <c r="AT1034" s="158"/>
    </row>
    <row r="1035" spans="46:46" ht="31.2" x14ac:dyDescent="0.6">
      <c r="AT1035" s="158"/>
    </row>
    <row r="1036" spans="46:46" ht="31.2" x14ac:dyDescent="0.6">
      <c r="AT1036" s="158"/>
    </row>
    <row r="1037" spans="46:46" ht="31.2" x14ac:dyDescent="0.6">
      <c r="AT1037" s="158"/>
    </row>
    <row r="1038" spans="46:46" ht="31.2" x14ac:dyDescent="0.6">
      <c r="AT1038" s="158"/>
    </row>
    <row r="1039" spans="46:46" ht="31.2" x14ac:dyDescent="0.6">
      <c r="AT1039" s="158"/>
    </row>
    <row r="1040" spans="46:46" ht="31.2" x14ac:dyDescent="0.6">
      <c r="AT1040" s="158"/>
    </row>
    <row r="1041" spans="46:46" ht="31.2" x14ac:dyDescent="0.6">
      <c r="AT1041" s="158"/>
    </row>
    <row r="1042" spans="46:46" ht="31.2" x14ac:dyDescent="0.6">
      <c r="AT1042" s="158"/>
    </row>
    <row r="1043" spans="46:46" ht="31.2" x14ac:dyDescent="0.6">
      <c r="AT1043" s="158"/>
    </row>
    <row r="1044" spans="46:46" ht="31.2" x14ac:dyDescent="0.6">
      <c r="AT1044" s="158"/>
    </row>
    <row r="1045" spans="46:46" ht="31.2" x14ac:dyDescent="0.6">
      <c r="AT1045" s="158"/>
    </row>
    <row r="1046" spans="46:46" ht="31.2" x14ac:dyDescent="0.6">
      <c r="AT1046" s="158"/>
    </row>
    <row r="1047" spans="46:46" ht="31.2" x14ac:dyDescent="0.6">
      <c r="AT1047" s="158"/>
    </row>
    <row r="1048" spans="46:46" ht="31.2" x14ac:dyDescent="0.6">
      <c r="AT1048" s="158"/>
    </row>
    <row r="1049" spans="46:46" ht="31.2" x14ac:dyDescent="0.6">
      <c r="AT1049" s="158"/>
    </row>
    <row r="1050" spans="46:46" ht="31.2" x14ac:dyDescent="0.6">
      <c r="AT1050" s="158"/>
    </row>
    <row r="1051" spans="46:46" ht="31.2" x14ac:dyDescent="0.6">
      <c r="AT1051" s="158"/>
    </row>
    <row r="1052" spans="46:46" ht="31.2" x14ac:dyDescent="0.6">
      <c r="AT1052" s="158"/>
    </row>
    <row r="1053" spans="46:46" ht="31.2" x14ac:dyDescent="0.6">
      <c r="AT1053" s="158"/>
    </row>
    <row r="1054" spans="46:46" ht="31.2" x14ac:dyDescent="0.6">
      <c r="AT1054" s="158"/>
    </row>
    <row r="1055" spans="46:46" ht="31.2" x14ac:dyDescent="0.6">
      <c r="AT1055" s="158"/>
    </row>
    <row r="1056" spans="46:46" ht="31.2" x14ac:dyDescent="0.6">
      <c r="AT1056" s="158"/>
    </row>
    <row r="1057" spans="46:46" ht="31.2" x14ac:dyDescent="0.6">
      <c r="AT1057" s="158"/>
    </row>
    <row r="1058" spans="46:46" ht="31.2" x14ac:dyDescent="0.6">
      <c r="AT1058" s="158"/>
    </row>
    <row r="1059" spans="46:46" ht="31.2" x14ac:dyDescent="0.6">
      <c r="AT1059" s="158"/>
    </row>
    <row r="1060" spans="46:46" ht="31.2" x14ac:dyDescent="0.6">
      <c r="AT1060" s="158"/>
    </row>
    <row r="1061" spans="46:46" ht="31.2" x14ac:dyDescent="0.6">
      <c r="AT1061" s="158"/>
    </row>
    <row r="1062" spans="46:46" ht="31.2" x14ac:dyDescent="0.6">
      <c r="AT1062" s="158"/>
    </row>
    <row r="1063" spans="46:46" ht="31.2" x14ac:dyDescent="0.6">
      <c r="AT1063" s="158"/>
    </row>
    <row r="1064" spans="46:46" ht="31.2" x14ac:dyDescent="0.6">
      <c r="AT1064" s="158"/>
    </row>
    <row r="1065" spans="46:46" ht="31.2" x14ac:dyDescent="0.6">
      <c r="AT1065" s="158"/>
    </row>
    <row r="1066" spans="46:46" ht="31.2" x14ac:dyDescent="0.6">
      <c r="AT1066" s="158"/>
    </row>
    <row r="1067" spans="46:46" ht="31.2" x14ac:dyDescent="0.6">
      <c r="AT1067" s="158"/>
    </row>
    <row r="1068" spans="46:46" ht="31.2" x14ac:dyDescent="0.6">
      <c r="AT1068" s="158"/>
    </row>
    <row r="1069" spans="46:46" ht="31.2" x14ac:dyDescent="0.6">
      <c r="AT1069" s="158"/>
    </row>
    <row r="1070" spans="46:46" ht="31.2" x14ac:dyDescent="0.6">
      <c r="AT1070" s="158"/>
    </row>
    <row r="1071" spans="46:46" ht="31.2" x14ac:dyDescent="0.6">
      <c r="AT1071" s="158"/>
    </row>
    <row r="1072" spans="46:46" ht="31.2" x14ac:dyDescent="0.6">
      <c r="AT1072" s="158"/>
    </row>
    <row r="1073" spans="46:46" ht="31.2" x14ac:dyDescent="0.6">
      <c r="AT1073" s="158"/>
    </row>
    <row r="1074" spans="46:46" ht="31.2" x14ac:dyDescent="0.6">
      <c r="AT1074" s="158"/>
    </row>
    <row r="1075" spans="46:46" ht="31.2" x14ac:dyDescent="0.6">
      <c r="AT1075" s="158"/>
    </row>
    <row r="1076" spans="46:46" ht="31.2" x14ac:dyDescent="0.6">
      <c r="AT1076" s="158"/>
    </row>
    <row r="1077" spans="46:46" ht="31.2" x14ac:dyDescent="0.6">
      <c r="AT1077" s="158"/>
    </row>
    <row r="1078" spans="46:46" ht="31.2" x14ac:dyDescent="0.6">
      <c r="AT1078" s="158"/>
    </row>
    <row r="1079" spans="46:46" ht="31.2" x14ac:dyDescent="0.6">
      <c r="AT1079" s="158"/>
    </row>
    <row r="1080" spans="46:46" ht="31.2" x14ac:dyDescent="0.6">
      <c r="AT1080" s="158"/>
    </row>
    <row r="1081" spans="46:46" ht="31.2" x14ac:dyDescent="0.6">
      <c r="AT1081" s="158"/>
    </row>
    <row r="1082" spans="46:46" ht="31.2" x14ac:dyDescent="0.6">
      <c r="AT1082" s="158"/>
    </row>
    <row r="1083" spans="46:46" ht="31.2" x14ac:dyDescent="0.6">
      <c r="AT1083" s="158"/>
    </row>
    <row r="1084" spans="46:46" ht="31.2" x14ac:dyDescent="0.6">
      <c r="AT1084" s="158"/>
    </row>
    <row r="1085" spans="46:46" ht="31.2" x14ac:dyDescent="0.6">
      <c r="AT1085" s="158"/>
    </row>
    <row r="1086" spans="46:46" ht="31.2" x14ac:dyDescent="0.6">
      <c r="AT1086" s="158"/>
    </row>
    <row r="1087" spans="46:46" ht="31.2" x14ac:dyDescent="0.6">
      <c r="AT1087" s="158"/>
    </row>
    <row r="1088" spans="46:46" ht="31.2" x14ac:dyDescent="0.6">
      <c r="AT1088" s="158"/>
    </row>
    <row r="1089" spans="46:46" ht="31.2" x14ac:dyDescent="0.6">
      <c r="AT1089" s="158"/>
    </row>
    <row r="1090" spans="46:46" ht="31.2" x14ac:dyDescent="0.6">
      <c r="AT1090" s="158"/>
    </row>
    <row r="1091" spans="46:46" ht="31.2" x14ac:dyDescent="0.6">
      <c r="AT1091" s="158"/>
    </row>
    <row r="1092" spans="46:46" ht="31.2" x14ac:dyDescent="0.6">
      <c r="AT1092" s="158"/>
    </row>
    <row r="1093" spans="46:46" ht="31.2" x14ac:dyDescent="0.6">
      <c r="AT1093" s="158"/>
    </row>
    <row r="1094" spans="46:46" ht="31.2" x14ac:dyDescent="0.6">
      <c r="AT1094" s="158"/>
    </row>
    <row r="1095" spans="46:46" ht="31.2" x14ac:dyDescent="0.6">
      <c r="AT1095" s="158"/>
    </row>
  </sheetData>
  <autoFilter ref="A1:BB626" xr:uid="{9EFCC838-069D-44CB-8C9E-C70B13D194D9}"/>
  <conditionalFormatting sqref="O1:O78 O82:O627 O629:O1048576">
    <cfRule type="containsText" dxfId="16" priority="4" operator="containsText" text="PENDENTE">
      <formula>NOT(ISERROR(SEARCH("PENDENTE",O1)))</formula>
    </cfRule>
    <cfRule type="containsText" dxfId="15" priority="5" operator="containsText" text="EM TRATATIVA">
      <formula>NOT(ISERROR(SEARCH("EM TRATATIVA",O1)))</formula>
    </cfRule>
    <cfRule type="containsText" dxfId="14" priority="6" operator="containsText" text="OK">
      <formula>NOT(ISERROR(SEARCH("OK",O1)))</formula>
    </cfRule>
  </conditionalFormatting>
  <conditionalFormatting sqref="Q1:Q627 Q629:Q1048576">
    <cfRule type="containsText" dxfId="13" priority="15" operator="containsText" text="Baixa">
      <formula>NOT(ISERROR(SEARCH("Baixa",Q1)))</formula>
    </cfRule>
    <cfRule type="containsText" dxfId="12" priority="16" operator="containsText" text="Média">
      <formula>NOT(ISERROR(SEARCH("Média",Q1)))</formula>
    </cfRule>
    <cfRule type="containsText" dxfId="11" priority="17" operator="containsText" text="Alta">
      <formula>NOT(ISERROR(SEARCH("Alta",Q1)))</formula>
    </cfRule>
  </conditionalFormatting>
  <conditionalFormatting sqref="S1:S627 S629:S1048576">
    <cfRule type="containsText" dxfId="10" priority="12" operator="containsText" text="PENDENTE">
      <formula>NOT(ISERROR(SEARCH("PENDENTE",S1)))</formula>
    </cfRule>
    <cfRule type="containsText" dxfId="9" priority="13" operator="containsText" text="EM PRODUÇÃO">
      <formula>NOT(ISERROR(SEARCH("EM PRODUÇÃO",S1)))</formula>
    </cfRule>
    <cfRule type="containsText" dxfId="8" priority="14" operator="containsText" text="FINALIZADO">
      <formula>NOT(ISERROR(SEARCH("FINALIZADO",S1)))</formula>
    </cfRule>
  </conditionalFormatting>
  <conditionalFormatting sqref="AC1:AC257 AE1:AE355 AC259:AC266 AC268:AC272 AC274 AC276:AC284 AC289:AC291 AC295:AC296 AC298:AC299 AC301:AC305 AC307 AC309 AC311 AC313:AC319 AC321:AC323 AC328:AC336 AC338 AC341:AC343 AC346:AC348 AC352 AC354:AC356 AC358:AC359 AE358:AE627 AC362:AC364 AC366 AC368:AC373 AC377:AC627 AC629:AC1048576 AE629:AE1048576">
    <cfRule type="containsText" dxfId="7" priority="1" operator="containsText" text="Aguardando coleta / envio">
      <formula>NOT(ISERROR(SEARCH("Aguardando coleta / envio",AC1)))</formula>
    </cfRule>
    <cfRule type="containsText" dxfId="6" priority="2" operator="containsText" text="Em trânsito">
      <formula>NOT(ISERROR(SEARCH("Em trânsito",AC1)))</formula>
    </cfRule>
    <cfRule type="containsText" dxfId="5" priority="3" operator="containsText" text="Entregue / Coletado">
      <formula>NOT(ISERROR(SEARCH("Entregue / Coletado",AC1)))</formula>
    </cfRule>
  </conditionalFormatting>
  <conditionalFormatting sqref="AO1:AO627 AO629:AO1048576">
    <cfRule type="containsText" dxfId="4" priority="10" operator="containsText" text="NÃO">
      <formula>NOT(ISERROR(SEARCH("NÃO",AO1)))</formula>
    </cfRule>
    <cfRule type="containsText" dxfId="3" priority="11" operator="containsText" text="SIM">
      <formula>NOT(ISERROR(SEARCH("SIM",AO1)))</formula>
    </cfRule>
  </conditionalFormatting>
  <conditionalFormatting sqref="AV1:AV627 AV629:AV1048576">
    <cfRule type="containsText" dxfId="2" priority="7" operator="containsText" text="CRÍTICO">
      <formula>NOT(ISERROR(SEARCH("CRÍTICO",AV1)))</formula>
    </cfRule>
    <cfRule type="containsText" dxfId="1" priority="8" operator="containsText" text="ATENÇÃO">
      <formula>NOT(ISERROR(SEARCH("ATENÇÃO",AV1)))</formula>
    </cfRule>
    <cfRule type="containsText" dxfId="0" priority="9" operator="containsText" text="OK">
      <formula>NOT(ISERROR(SEARCH("OK",AV1)))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F8FB69B-812D-40A2-B061-2548275BCE7E}">
          <x14:formula1>
            <xm:f>LISTAS!$I$3:$I$6</xm:f>
          </x14:formula1>
          <xm:sqref>O1:O78 O82:O181 O183:O222 O629:O1048576 O224:O627</xm:sqref>
        </x14:dataValidation>
        <x14:dataValidation type="list" allowBlank="1" showInputMessage="1" showErrorMessage="1" xr:uid="{CCC289DD-47C3-4F0C-8E2A-A702D19BCE39}">
          <x14:formula1>
            <xm:f>LISTAS!$F$3:$F$13</xm:f>
          </x14:formula1>
          <xm:sqref>C31:C78 C1:C29 C82:C181 C183:C222 C629:C1048576 B455 C224:C455 C457:C627</xm:sqref>
        </x14:dataValidation>
        <x14:dataValidation type="list" allowBlank="1" showInputMessage="1" showErrorMessage="1" xr:uid="{789EA894-403C-41E3-80D0-5640EDF55C56}">
          <x14:formula1>
            <xm:f>LISTAS!$G$3:$G$5</xm:f>
          </x14:formula1>
          <xm:sqref>Q629:Q826 Q1:Q627</xm:sqref>
        </x14:dataValidation>
        <x14:dataValidation type="list" allowBlank="1" showInputMessage="1" showErrorMessage="1" xr:uid="{3351BD9F-C846-4849-9E0D-ED32164A051B}">
          <x14:formula1>
            <xm:f>LISTAS!$H$3:$H$5</xm:f>
          </x14:formula1>
          <xm:sqref>AE1:AE355 AE358:AE627 AE629:AE1048576</xm:sqref>
        </x14:dataValidation>
        <x14:dataValidation type="list" allowBlank="1" showInputMessage="1" showErrorMessage="1" xr:uid="{C8D94459-664C-433F-BB4F-4C54DE480D7F}">
          <x14:formula1>
            <xm:f>LISTAS!$L$3:$L$10</xm:f>
          </x14:formula1>
          <xm:sqref>AV629:AV1048576 AV1:AV627</xm:sqref>
        </x14:dataValidation>
        <x14:dataValidation type="list" allowBlank="1" showInputMessage="1" showErrorMessage="1" xr:uid="{A4143E4B-8481-49F7-A36B-DD36A61A0625}">
          <x14:formula1>
            <xm:f>LISTAS!$K$3:$K$4</xm:f>
          </x14:formula1>
          <xm:sqref>AO629:AO1048576 AO1:AO627</xm:sqref>
        </x14:dataValidation>
        <x14:dataValidation type="list" allowBlank="1" showInputMessage="1" showErrorMessage="1" xr:uid="{C1CACCA5-4935-4ACE-9D6F-A808BE90C0C9}">
          <x14:formula1>
            <xm:f>LISTAS!$J$3:$J$5</xm:f>
          </x14:formula1>
          <xm:sqref>S629:S1048576 S1:S627</xm:sqref>
        </x14:dataValidation>
        <x14:dataValidation type="list" allowBlank="1" showInputMessage="1" showErrorMessage="1" xr:uid="{1E943623-AECC-477B-8503-A307764D2CA4}">
          <x14:formula1>
            <xm:f>LISTAS!$M:$M</xm:f>
          </x14:formula1>
          <xm:sqref>AA629:AA1048576 AA1:AA627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245B-3020-44F6-B6E8-B7CDE1479F6B}">
  <sheetPr>
    <tabColor rgb="FF1F4E78"/>
  </sheetPr>
  <dimension ref="A1:Z246"/>
  <sheetViews>
    <sheetView topLeftCell="A223" zoomScale="90" zoomScaleNormal="90" workbookViewId="0">
      <pane xSplit="2" topLeftCell="C1" activePane="topRight" state="frozen"/>
      <selection activeCell="A209" sqref="A209"/>
      <selection pane="topRight" activeCell="G109" sqref="G109"/>
    </sheetView>
  </sheetViews>
  <sheetFormatPr defaultColWidth="8.88671875" defaultRowHeight="14.4" x14ac:dyDescent="0.3"/>
  <cols>
    <col min="1" max="1" width="1.88671875" style="180" customWidth="1"/>
    <col min="2" max="2" width="21" style="180" customWidth="1"/>
    <col min="3" max="3" width="15.33203125" style="180" customWidth="1"/>
    <col min="4" max="4" width="19" style="180" customWidth="1"/>
    <col min="5" max="5" width="22.5546875" style="180" customWidth="1"/>
    <col min="6" max="6" width="24.6640625" style="180" customWidth="1"/>
    <col min="7" max="7" width="28.5546875" style="180" customWidth="1"/>
    <col min="8" max="10" width="18.109375" style="180" customWidth="1"/>
    <col min="11" max="11" width="15.6640625" style="180" customWidth="1"/>
    <col min="12" max="12" width="16.109375" style="180" customWidth="1"/>
    <col min="13" max="15" width="18.109375" style="180" customWidth="1"/>
    <col min="16" max="16" width="16" style="180" customWidth="1"/>
    <col min="17" max="17" width="14.33203125" style="180" bestFit="1" customWidth="1"/>
    <col min="18" max="18" width="15.88671875" style="180" bestFit="1" customWidth="1"/>
    <col min="19" max="16384" width="8.88671875" style="180"/>
  </cols>
  <sheetData>
    <row r="1" spans="2:16" x14ac:dyDescent="0.3">
      <c r="J1"/>
      <c r="K1"/>
    </row>
    <row r="2" spans="2:16" ht="32.1" customHeight="1" x14ac:dyDescent="0.5">
      <c r="B2" s="427" t="s">
        <v>1102</v>
      </c>
      <c r="C2" s="428"/>
      <c r="D2" s="428"/>
      <c r="E2" s="428"/>
      <c r="F2" s="428"/>
      <c r="G2" s="428"/>
      <c r="H2" s="428"/>
      <c r="I2" s="428"/>
      <c r="J2" s="429"/>
      <c r="K2" s="195"/>
      <c r="L2" s="195"/>
      <c r="M2" s="195"/>
      <c r="N2" s="195"/>
      <c r="O2" s="195"/>
      <c r="P2" s="195"/>
    </row>
    <row r="4" spans="2:16" x14ac:dyDescent="0.3">
      <c r="B4" s="181" t="s">
        <v>1103</v>
      </c>
      <c r="C4" s="213">
        <v>2026</v>
      </c>
      <c r="D4" s="181" t="s">
        <v>1104</v>
      </c>
      <c r="E4" s="213" t="s">
        <v>1105</v>
      </c>
    </row>
    <row r="6" spans="2:16" ht="15.6" x14ac:dyDescent="0.3">
      <c r="B6" s="430" t="s">
        <v>1106</v>
      </c>
      <c r="C6" s="431"/>
      <c r="D6" s="431"/>
      <c r="E6" s="431"/>
      <c r="F6" s="431"/>
      <c r="G6" s="432"/>
    </row>
    <row r="7" spans="2:16" ht="18" x14ac:dyDescent="0.35">
      <c r="B7" s="182" t="s">
        <v>1107</v>
      </c>
      <c r="C7" s="183" cm="1">
        <f t="array" ref="C7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426</v>
      </c>
      <c r="D7" s="182" t="s">
        <v>1108</v>
      </c>
      <c r="E7" s="184" cm="1">
        <f t="array" ref="E7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15225526.7589</v>
      </c>
      <c r="F7" s="182" t="s">
        <v>1109</v>
      </c>
      <c r="G7" s="184">
        <f>IFERROR(E7/C7,0)</f>
        <v>35740.673142957748</v>
      </c>
    </row>
    <row r="9" spans="2:16" ht="15.6" x14ac:dyDescent="0.3">
      <c r="B9" s="421" t="s">
        <v>1110</v>
      </c>
      <c r="C9" s="421"/>
      <c r="D9" s="421"/>
      <c r="E9" s="421"/>
    </row>
    <row r="10" spans="2:16" x14ac:dyDescent="0.3">
      <c r="B10" s="185" t="s">
        <v>1111</v>
      </c>
      <c r="C10" s="185" t="s">
        <v>1112</v>
      </c>
      <c r="D10" s="185" t="s">
        <v>1113</v>
      </c>
      <c r="E10" s="185" t="s">
        <v>1114</v>
      </c>
    </row>
    <row r="11" spans="2:16" x14ac:dyDescent="0.3">
      <c r="B11" s="180" t="s">
        <v>1115</v>
      </c>
      <c r="C11" s="186" cm="1">
        <f t="array" ref="C11">(($E$4="Todos")+($E$4="Janeiro")&gt;0)*SUMPRODUCT((($C$4="Todos")+(YEAR('GESTAO OPERACAO'!$H$2:$H$632)=$C$4)&gt;0)*(MONTH('GESTAO OPERACAO'!$H$2:$H$632)=1)*('GESTAO OPERACAO'!$H$2:$H$632&gt;0))</f>
        <v>47</v>
      </c>
      <c r="D11" s="187" cm="1">
        <f t="array" ref="D11">(($E$4="Todos")+($E$4="Janeiro")&gt;0)*SUMPRODUCT((($C$4="Todos")+(YEAR('GESTAO OPERACAO'!$H$2:$H$632)=$C$4)&gt;0)*(MONTH('GESTAO OPERACAO'!$H$2:$H$632)=1)*('GESTAO OPERACAO'!$H$2:$H$632&gt;0)*IFERROR('GESTAO OPERACAO'!$P$2:$P$632*1,0))</f>
        <v>672366.07889999985</v>
      </c>
      <c r="E11" s="187">
        <f t="shared" ref="E11:E23" si="0">IFERROR(D11/C11,0)</f>
        <v>14305.661253191485</v>
      </c>
    </row>
    <row r="12" spans="2:16" x14ac:dyDescent="0.3">
      <c r="B12" s="180" t="s">
        <v>1116</v>
      </c>
      <c r="C12" s="186" cm="1">
        <f t="array" ref="C12">(($E$4="Todos")+($E$4="Fevereiro")&gt;0)*SUMPRODUCT((($C$4="Todos")+(YEAR('GESTAO OPERACAO'!$H$2:$H$632)=$C$4)&gt;0)*(MONTH('GESTAO OPERACAO'!$H$2:$H$632)=2)*('GESTAO OPERACAO'!$H$2:$H$632&gt;0))</f>
        <v>45</v>
      </c>
      <c r="D12" s="187" cm="1">
        <f t="array" ref="D12">(($E$4="Todos")+($E$4="Fevereiro")&gt;0)*SUMPRODUCT((($C$4="Todos")+(YEAR('GESTAO OPERACAO'!$H$2:$H$632)=$C$4)&gt;0)*(MONTH('GESTAO OPERACAO'!$H$2:$H$632)=2)*('GESTAO OPERACAO'!$H$2:$H$632&gt;0)*IFERROR('GESTAO OPERACAO'!$P$2:$P$632*1,0))</f>
        <v>555067.82999999996</v>
      </c>
      <c r="E12" s="187">
        <f t="shared" si="0"/>
        <v>12334.840666666665</v>
      </c>
    </row>
    <row r="13" spans="2:16" x14ac:dyDescent="0.3">
      <c r="B13" s="180" t="s">
        <v>1117</v>
      </c>
      <c r="C13" s="186" cm="1">
        <f t="array" ref="C13">(($E$4="Todos")+($E$4="Março")&gt;0)*SUMPRODUCT((($C$4="Todos")+(YEAR('GESTAO OPERACAO'!$H$2:$H$632)=$C$4)&gt;0)*(MONTH('GESTAO OPERACAO'!$H$2:$H$632)=3)*('GESTAO OPERACAO'!$H$2:$H$632&gt;0))</f>
        <v>61</v>
      </c>
      <c r="D13" s="187" cm="1">
        <f t="array" ref="D13">(($E$4="Todos")+($E$4="Março")&gt;0)*SUMPRODUCT((($C$4="Todos")+(YEAR('GESTAO OPERACAO'!$H$2:$H$632)=$C$4)&gt;0)*(MONTH('GESTAO OPERACAO'!$H$2:$H$632)=3)*('GESTAO OPERACAO'!$H$2:$H$632&gt;0)*IFERROR('GESTAO OPERACAO'!$P$2:$P$632*1,0))</f>
        <v>2824354.7600000007</v>
      </c>
      <c r="E13" s="187">
        <f t="shared" si="0"/>
        <v>46300.897704918047</v>
      </c>
    </row>
    <row r="14" spans="2:16" x14ac:dyDescent="0.3">
      <c r="B14" s="180" t="s">
        <v>1118</v>
      </c>
      <c r="C14" s="186" cm="1">
        <f t="array" ref="C14">(($E$4="Todos")+($E$4="Abril")&gt;0)*SUMPRODUCT((($C$4="Todos")+(YEAR('GESTAO OPERACAO'!$H$2:$H$632)=$C$4)&gt;0)*(MONTH('GESTAO OPERACAO'!$H$2:$H$632)=4)*('GESTAO OPERACAO'!$H$2:$H$632&gt;0))</f>
        <v>56</v>
      </c>
      <c r="D14" s="187" cm="1">
        <f t="array" ref="D14">(($E$4="Todos")+($E$4="Abril")&gt;0)*SUMPRODUCT((($C$4="Todos")+(YEAR('GESTAO OPERACAO'!$H$2:$H$632)=$C$4)&gt;0)*(MONTH('GESTAO OPERACAO'!$H$2:$H$632)=4)*('GESTAO OPERACAO'!$H$2:$H$632&gt;0)*IFERROR('GESTAO OPERACAO'!$P$2:$P$632*1,0))</f>
        <v>1595738.1419999995</v>
      </c>
      <c r="E14" s="187">
        <f t="shared" si="0"/>
        <v>28495.323964285704</v>
      </c>
    </row>
    <row r="15" spans="2:16" x14ac:dyDescent="0.3">
      <c r="B15" s="180" t="s">
        <v>1119</v>
      </c>
      <c r="C15" s="186" cm="1">
        <f t="array" ref="C15">(($E$4="Todos")+($E$4="Maio")&gt;0)*SUMPRODUCT((($C$4="Todos")+(YEAR('GESTAO OPERACAO'!$H$2:$H$632)=$C$4)&gt;0)*(MONTH('GESTAO OPERACAO'!$H$2:$H$632)=5)*('GESTAO OPERACAO'!$H$2:$H$632&gt;0))</f>
        <v>59</v>
      </c>
      <c r="D15" s="187" cm="1">
        <f t="array" ref="D15">(($E$4="Todos")+($E$4="Maio")&gt;0)*SUMPRODUCT((($C$4="Todos")+(YEAR('GESTAO OPERACAO'!$H$2:$H$632)=$C$4)&gt;0)*(MONTH('GESTAO OPERACAO'!$H$2:$H$632)=5)*('GESTAO OPERACAO'!$H$2:$H$632&gt;0)*IFERROR('GESTAO OPERACAO'!$P$2:$P$632*1,0))</f>
        <v>2521919.8600000003</v>
      </c>
      <c r="E15" s="187">
        <f t="shared" si="0"/>
        <v>42744.404406779664</v>
      </c>
    </row>
    <row r="16" spans="2:16" x14ac:dyDescent="0.3">
      <c r="B16" s="180" t="s">
        <v>1120</v>
      </c>
      <c r="C16" s="186" cm="1">
        <f t="array" ref="C16">(($E$4="Todos")+($E$4="Junho")&gt;0)*SUMPRODUCT((($C$4="Todos")+(YEAR('GESTAO OPERACAO'!$H$2:$H$632)=$C$4)&gt;0)*(MONTH('GESTAO OPERACAO'!$H$2:$H$632)=6)*('GESTAO OPERACAO'!$H$2:$H$632&gt;0))</f>
        <v>54</v>
      </c>
      <c r="D16" s="187" cm="1">
        <f t="array" ref="D16">(($E$4="Todos")+($E$4="Junho")&gt;0)*SUMPRODUCT((($C$4="Todos")+(YEAR('GESTAO OPERACAO'!$H$2:$H$632)=$C$4)&gt;0)*(MONTH('GESTAO OPERACAO'!$H$2:$H$632)=6)*('GESTAO OPERACAO'!$H$2:$H$632&gt;0)*IFERROR('GESTAO OPERACAO'!$P$2:$P$632*1,0))</f>
        <v>919297.98</v>
      </c>
      <c r="E16" s="187">
        <f t="shared" si="0"/>
        <v>17024.036666666667</v>
      </c>
    </row>
    <row r="17" spans="2:6" x14ac:dyDescent="0.3">
      <c r="B17" s="180" t="s">
        <v>1121</v>
      </c>
      <c r="C17" s="186" cm="1">
        <f t="array" ref="C17">(($E$4="Todos")+($E$4="Julho")&gt;0)*SUMPRODUCT((($C$4="Todos")+(YEAR('GESTAO OPERACAO'!$H$2:$H$632)=$C$4)&gt;0)*(MONTH('GESTAO OPERACAO'!$H$2:$H$632)=7)*('GESTAO OPERACAO'!$H$2:$H$632&gt;0))</f>
        <v>46</v>
      </c>
      <c r="D17" s="187" cm="1">
        <f t="array" ref="D17">(($E$4="Todos")+($E$4="Julho")&gt;0)*SUMPRODUCT((($C$4="Todos")+(YEAR('GESTAO OPERACAO'!$H$2:$H$632)=$C$4)&gt;0)*(MONTH('GESTAO OPERACAO'!$H$2:$H$632)=7)*('GESTAO OPERACAO'!$H$2:$H$632&gt;0)*IFERROR('GESTAO OPERACAO'!$P$2:$P$632*1,0))</f>
        <v>540937.69799999997</v>
      </c>
      <c r="E17" s="187">
        <f t="shared" si="0"/>
        <v>11759.515173913043</v>
      </c>
    </row>
    <row r="18" spans="2:6" x14ac:dyDescent="0.3">
      <c r="B18" s="180" t="s">
        <v>1122</v>
      </c>
      <c r="C18" s="186" cm="1">
        <f t="array" ref="C18">(($E$4="Todos")+($E$4="Agosto")&gt;0)*SUMPRODUCT((($C$4="Todos")+(YEAR('GESTAO OPERACAO'!$H$2:$H$632)=$C$4)&gt;0)*(MONTH('GESTAO OPERACAO'!$H$2:$H$632)=8)*('GESTAO OPERACAO'!$H$2:$H$632&gt;0))</f>
        <v>50</v>
      </c>
      <c r="D18" s="187" cm="1">
        <f t="array" ref="D18">(($E$4="Todos")+($E$4="Agosto")&gt;0)*SUMPRODUCT((($C$4="Todos")+(YEAR('GESTAO OPERACAO'!$H$2:$H$632)=$C$4)&gt;0)*(MONTH('GESTAO OPERACAO'!$H$2:$H$632)=8)*('GESTAO OPERACAO'!$H$2:$H$632&gt;0)*IFERROR('GESTAO OPERACAO'!$P$2:$P$632*1,0))</f>
        <v>5498383.3699999982</v>
      </c>
      <c r="E18" s="187">
        <f t="shared" si="0"/>
        <v>109967.66739999996</v>
      </c>
    </row>
    <row r="19" spans="2:6" x14ac:dyDescent="0.3">
      <c r="B19" s="180" t="s">
        <v>1123</v>
      </c>
      <c r="C19" s="186" cm="1">
        <f t="array" ref="C19">(($E$4="Todos")+($E$4="Setembro")&gt;0)*SUMPRODUCT((($C$4="Todos")+(YEAR('GESTAO OPERACAO'!$H$2:$H$632)=$C$4)&gt;0)*(MONTH('GESTAO OPERACAO'!$H$2:$H$632)=9)*('GESTAO OPERACAO'!$H$2:$H$632&gt;0))</f>
        <v>8</v>
      </c>
      <c r="D19" s="187" cm="1">
        <f t="array" ref="D19">(($E$4="Todos")+($E$4="Setembro")&gt;0)*SUMPRODUCT((($C$4="Todos")+(YEAR('GESTAO OPERACAO'!$H$2:$H$632)=$C$4)&gt;0)*(MONTH('GESTAO OPERACAO'!$H$2:$H$632)=9)*('GESTAO OPERACAO'!$H$2:$H$632&gt;0)*IFERROR('GESTAO OPERACAO'!$P$2:$P$632*1,0))</f>
        <v>97461.040000000008</v>
      </c>
      <c r="E19" s="187">
        <f t="shared" si="0"/>
        <v>12182.630000000001</v>
      </c>
    </row>
    <row r="20" spans="2:6" x14ac:dyDescent="0.3">
      <c r="B20" s="180" t="s">
        <v>1124</v>
      </c>
      <c r="C20" s="186" cm="1">
        <f t="array" ref="C20">(($E$4="Todos")+($E$4="Outubro")&gt;0)*SUMPRODUCT((($C$4="Todos")+(YEAR('GESTAO OPERACAO'!$H$2:$H$632)=$C$4)&gt;0)*(MONTH('GESTAO OPERACAO'!$H$2:$H$632)=10)*('GESTAO OPERACAO'!$H$2:$H$632&gt;0))</f>
        <v>0</v>
      </c>
      <c r="D20" s="187" cm="1">
        <f t="array" ref="D20">(($E$4="Todos")+($E$4="Outubro")&gt;0)*SUMPRODUCT((($C$4="Todos")+(YEAR('GESTAO OPERACAO'!$H$2:$H$632)=$C$4)&gt;0)*(MONTH('GESTAO OPERACAO'!$H$2:$H$632)=10)*('GESTAO OPERACAO'!$H$2:$H$632&gt;0)*IFERROR('GESTAO OPERACAO'!$P$2:$P$632*1,0))</f>
        <v>0</v>
      </c>
      <c r="E20" s="187">
        <f t="shared" si="0"/>
        <v>0</v>
      </c>
    </row>
    <row r="21" spans="2:6" x14ac:dyDescent="0.3">
      <c r="B21" s="180" t="s">
        <v>1125</v>
      </c>
      <c r="C21" s="186" cm="1">
        <f t="array" ref="C21">(($E$4="Todos")+($E$4="Novembro")&gt;0)*SUMPRODUCT((($C$4="Todos")+(YEAR('GESTAO OPERACAO'!$H$2:$H$632)=$C$4)&gt;0)*(MONTH('GESTAO OPERACAO'!$H$2:$H$632)=11)*('GESTAO OPERACAO'!$H$2:$H$632&gt;0))</f>
        <v>0</v>
      </c>
      <c r="D21" s="187" cm="1">
        <f t="array" ref="D21">(($E$4="Todos")+($E$4="Novembro")&gt;0)*SUMPRODUCT((($C$4="Todos")+(YEAR('GESTAO OPERACAO'!$H$2:$H$632)=$C$4)&gt;0)*(MONTH('GESTAO OPERACAO'!$H$2:$H$632)=11)*('GESTAO OPERACAO'!$H$2:$H$632&gt;0)*IFERROR('GESTAO OPERACAO'!$P$2:$P$632*1,0))</f>
        <v>0</v>
      </c>
      <c r="E21" s="187">
        <f t="shared" si="0"/>
        <v>0</v>
      </c>
    </row>
    <row r="22" spans="2:6" x14ac:dyDescent="0.3">
      <c r="B22" s="180" t="s">
        <v>1126</v>
      </c>
      <c r="C22" s="186" cm="1">
        <f t="array" ref="C22">(($E$4="Todos")+($E$4="Dezembro")&gt;0)*SUMPRODUCT((($C$4="Todos")+(YEAR('GESTAO OPERACAO'!$H$2:$H$632)=$C$4)&gt;0)*(MONTH('GESTAO OPERACAO'!$H$2:$H$632)=12)*('GESTAO OPERACAO'!$H$2:$H$632&gt;0))</f>
        <v>0</v>
      </c>
      <c r="D22" s="187" cm="1">
        <f t="array" ref="D22">(($E$4="Todos")+($E$4="Dezembro")&gt;0)*SUMPRODUCT((($C$4="Todos")+(YEAR('GESTAO OPERACAO'!$H$2:$H$632)=$C$4)&gt;0)*(MONTH('GESTAO OPERACAO'!$H$2:$H$632)=12)*('GESTAO OPERACAO'!$H$2:$H$632&gt;0)*IFERROR('GESTAO OPERACAO'!$P$2:$P$632*1,0))</f>
        <v>0</v>
      </c>
      <c r="E22" s="187">
        <f t="shared" si="0"/>
        <v>0</v>
      </c>
    </row>
    <row r="23" spans="2:6" x14ac:dyDescent="0.3">
      <c r="B23" s="188" t="s">
        <v>1127</v>
      </c>
      <c r="C23" s="189">
        <f>SUM(C11:C22)</f>
        <v>426</v>
      </c>
      <c r="D23" s="190">
        <f>SUM(D11:D22)</f>
        <v>15225526.758899998</v>
      </c>
      <c r="E23" s="190">
        <f t="shared" si="0"/>
        <v>35740.673142957741</v>
      </c>
    </row>
    <row r="25" spans="2:6" ht="15.6" x14ac:dyDescent="0.3">
      <c r="B25" s="421" t="s">
        <v>1128</v>
      </c>
      <c r="C25" s="421"/>
      <c r="D25" s="421"/>
      <c r="E25" s="421"/>
      <c r="F25" s="422"/>
    </row>
    <row r="26" spans="2:6" x14ac:dyDescent="0.3">
      <c r="B26" s="185" t="s">
        <v>1111</v>
      </c>
      <c r="C26" s="185" t="s">
        <v>1129</v>
      </c>
      <c r="D26" s="185" t="s">
        <v>1130</v>
      </c>
      <c r="E26" s="185" t="s">
        <v>1112</v>
      </c>
      <c r="F26" s="191" t="s">
        <v>1113</v>
      </c>
    </row>
    <row r="27" spans="2:6" x14ac:dyDescent="0.3">
      <c r="B27" s="180" t="s">
        <v>1115</v>
      </c>
      <c r="C27" s="192" t="s">
        <v>1131</v>
      </c>
      <c r="D27" s="192" t="str">
        <f>IF($C$4="Todos","Semana 1",TEXT(DATE($C$4,1,1),"dd/mm")&amp;" - "&amp;TEXT((DATE($C$4,1,1)+MOD(7-WEEKDAY(DATE($C$4,1,1),2),7)),"dd/mm"))</f>
        <v>01/01 - 04/01</v>
      </c>
      <c r="E27" s="186" cm="1">
        <f t="array" ref="E27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OPERACAO'!$H$2:$H$632),1,1),2)-2)/7)+1)=1),0))</f>
        <v>0</v>
      </c>
      <c r="F27" s="187" cm="1">
        <f t="array" ref="F27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OPERACAO'!$H$2:$H$632),1,1),2)-2)/7)+1)=1)*('GESTAO OPERACAO'!$P$2:$P$632*1),0))</f>
        <v>0</v>
      </c>
    </row>
    <row r="28" spans="2:6" x14ac:dyDescent="0.3">
      <c r="B28" s="180" t="s">
        <v>1115</v>
      </c>
      <c r="C28" s="192" t="s">
        <v>1132</v>
      </c>
      <c r="D28" s="192" t="str">
        <f>IF($C$4="Todos","Semana 2",IF(((DATE($C$4,1,1)+MOD(7-WEEKDAY(DATE($C$4,1,1),2),7)+1)+0)&gt;EOMONTH(DATE($C$4,1,1),0),"-",TEXT(((DATE($C$4,1,1)+MOD(7-WEEKDAY(DATE($C$4,1,1),2),7)+1)+0),"dd/mm")&amp;" - "&amp;TEXT(MIN(((DATE($C$4,1,1)+MOD(7-WEEKDAY(DATE($C$4,1,1),2),7)+1)+0)+6,EOMONTH(DATE($C$4,1,1),0)),"dd/mm")))</f>
        <v>05/01 - 11/01</v>
      </c>
      <c r="E28" s="186" cm="1">
        <f t="array" ref="E28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OPERACAO'!$H$2:$H$632),1,1),2)-2)/7)+1)=2),0))</f>
        <v>18</v>
      </c>
      <c r="F28" s="187" cm="1">
        <f t="array" ref="F28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OPERACAO'!$H$2:$H$632),1,1),2)-2)/7)+1)=2)*('GESTAO OPERACAO'!$P$2:$P$632*1),0))</f>
        <v>152296.16999999998</v>
      </c>
    </row>
    <row r="29" spans="2:6" x14ac:dyDescent="0.3">
      <c r="B29" s="180" t="s">
        <v>1115</v>
      </c>
      <c r="C29" s="192" t="s">
        <v>1133</v>
      </c>
      <c r="D29" s="192" t="str">
        <f>IF($C$4="Todos","Semana 3",IF(((DATE($C$4,1,1)+MOD(7-WEEKDAY(DATE($C$4,1,1),2),7)+1)+7)&gt;EOMONTH(DATE($C$4,1,1),0),"-",TEXT(((DATE($C$4,1,1)+MOD(7-WEEKDAY(DATE($C$4,1,1),2),7)+1)+7),"dd/mm")&amp;" - "&amp;TEXT(MIN(((DATE($C$4,1,1)+MOD(7-WEEKDAY(DATE($C$4,1,1),2),7)+1)+7)+6,EOMONTH(DATE($C$4,1,1),0)),"dd/mm")))</f>
        <v>12/01 - 18/01</v>
      </c>
      <c r="E29" s="186" cm="1">
        <f t="array" ref="E29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OPERACAO'!$H$2:$H$632),1,1),2)-2)/7)+1)=3),0))</f>
        <v>8</v>
      </c>
      <c r="F29" s="187" cm="1">
        <f t="array" ref="F29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OPERACAO'!$H$2:$H$632),1,1),2)-2)/7)+1)=3)*('GESTAO OPERACAO'!$P$2:$P$632*1),0))</f>
        <v>221233.03</v>
      </c>
    </row>
    <row r="30" spans="2:6" x14ac:dyDescent="0.3">
      <c r="B30" s="180" t="s">
        <v>1115</v>
      </c>
      <c r="C30" s="192" t="s">
        <v>1134</v>
      </c>
      <c r="D30" s="192" t="str">
        <f>IF($C$4="Todos","Semana 4",IF(((DATE($C$4,1,1)+MOD(7-WEEKDAY(DATE($C$4,1,1),2),7)+1)+14)&gt;EOMONTH(DATE($C$4,1,1),0),"-",TEXT(((DATE($C$4,1,1)+MOD(7-WEEKDAY(DATE($C$4,1,1),2),7)+1)+14),"dd/mm")&amp;" - "&amp;TEXT(MIN(((DATE($C$4,1,1)+MOD(7-WEEKDAY(DATE($C$4,1,1),2),7)+1)+14)+6,EOMONTH(DATE($C$4,1,1),0)),"dd/mm")))</f>
        <v>19/01 - 25/01</v>
      </c>
      <c r="E30" s="186" cm="1">
        <f t="array" ref="E30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OPERACAO'!$H$2:$H$632),1,1),2)-2)/7)+1)=4),0))</f>
        <v>10</v>
      </c>
      <c r="F30" s="187" cm="1">
        <f t="array" ref="F30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OPERACAO'!$H$2:$H$632),1,1),2)-2)/7)+1)=4)*('GESTAO OPERACAO'!$P$2:$P$632*1),0))</f>
        <v>100567.59999999999</v>
      </c>
    </row>
    <row r="31" spans="2:6" x14ac:dyDescent="0.3">
      <c r="B31" s="180" t="s">
        <v>1115</v>
      </c>
      <c r="C31" s="192" t="s">
        <v>1135</v>
      </c>
      <c r="D31" s="192" t="str">
        <f>IF($C$4="Todos","Semana 5+",IF(((DATE($C$4,1,1)+MOD(7-WEEKDAY(DATE($C$4,1,1),2),7)+1)+21)&gt;EOMONTH(DATE($C$4,1,1),0),"-",TEXT(((DATE($C$4,1,1)+MOD(7-WEEKDAY(DATE($C$4,1,1),2),7)+1)+21),"dd/mm")&amp;" - "&amp;TEXT(EOMONTH(DATE($C$4,1,1),0),"dd/mm")))</f>
        <v>26/01 - 31/01</v>
      </c>
      <c r="E31" s="186" cm="1">
        <f t="array" ref="E31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OPERACAO'!$H$2:$H$632),1,1),2)-2)/7)+1)&gt;=5),0))</f>
        <v>11</v>
      </c>
      <c r="F31" s="187" cm="1">
        <f t="array" ref="F31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OPERACAO'!$H$2:$H$632),1,1),2)-2)/7)+1)&gt;=5)*('GESTAO OPERACAO'!$P$2:$P$632*1),0))</f>
        <v>198269.2789</v>
      </c>
    </row>
    <row r="32" spans="2:6" x14ac:dyDescent="0.3">
      <c r="B32" s="182" t="s">
        <v>1136</v>
      </c>
      <c r="C32" s="420"/>
      <c r="D32" s="420"/>
      <c r="E32" s="193">
        <f>SUM(E27:E31)</f>
        <v>47</v>
      </c>
      <c r="F32" s="194">
        <f>SUM(F27:F31)</f>
        <v>672366.07889999996</v>
      </c>
    </row>
    <row r="33" spans="2:6" x14ac:dyDescent="0.3">
      <c r="B33" s="180" t="s">
        <v>1116</v>
      </c>
      <c r="C33" s="192" t="s">
        <v>1131</v>
      </c>
      <c r="D33" s="192" t="str">
        <f>IF($C$4="Todos","Semana 1",TEXT(DATE($C$4,2,1),"dd/mm")&amp;" - "&amp;TEXT((DATE($C$4,2,1)+MOD(7-WEEKDAY(DATE($C$4,2,1),2),7)),"dd/mm"))</f>
        <v>01/02 - 01/02</v>
      </c>
      <c r="E33" s="186" cm="1">
        <f t="array" ref="E33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OPERACAO'!$H$2:$H$632),2,1),2)-2)/7)+1)=1),0))</f>
        <v>0</v>
      </c>
      <c r="F33" s="187" cm="1">
        <f t="array" ref="F33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OPERACAO'!$H$2:$H$632),2,1),2)-2)/7)+1)=1)*('GESTAO OPERACAO'!$P$2:$P$632*1),0))</f>
        <v>0</v>
      </c>
    </row>
    <row r="34" spans="2:6" x14ac:dyDescent="0.3">
      <c r="B34" s="180" t="s">
        <v>1116</v>
      </c>
      <c r="C34" s="192" t="s">
        <v>1132</v>
      </c>
      <c r="D34" s="192" t="str">
        <f>IF($C$4="Todos","Semana 2",IF(((DATE($C$4,2,1)+MOD(7-WEEKDAY(DATE($C$4,2,1),2),7)+1)+0)&gt;EOMONTH(DATE($C$4,2,1),0),"-",TEXT(((DATE($C$4,2,1)+MOD(7-WEEKDAY(DATE($C$4,2,1),2),7)+1)+0),"dd/mm")&amp;" - "&amp;TEXT(MIN(((DATE($C$4,2,1)+MOD(7-WEEKDAY(DATE($C$4,2,1),2),7)+1)+0)+6,EOMONTH(DATE($C$4,2,1),0)),"dd/mm")))</f>
        <v>02/02 - 08/02</v>
      </c>
      <c r="E34" s="186" cm="1">
        <f t="array" ref="E34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OPERACAO'!$H$2:$H$632),2,1),2)-2)/7)+1)=2),0))</f>
        <v>17</v>
      </c>
      <c r="F34" s="187" cm="1">
        <f t="array" ref="F34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OPERACAO'!$H$2:$H$632),2,1),2)-2)/7)+1)=2)*('GESTAO OPERACAO'!$P$2:$P$632*1),0))</f>
        <v>125361.71</v>
      </c>
    </row>
    <row r="35" spans="2:6" x14ac:dyDescent="0.3">
      <c r="B35" s="180" t="s">
        <v>1116</v>
      </c>
      <c r="C35" s="192" t="s">
        <v>1133</v>
      </c>
      <c r="D35" s="192" t="str">
        <f>IF($C$4="Todos","Semana 3",IF(((DATE($C$4,2,1)+MOD(7-WEEKDAY(DATE($C$4,2,1),2),7)+1)+7)&gt;EOMONTH(DATE($C$4,2,1),0),"-",TEXT(((DATE($C$4,2,1)+MOD(7-WEEKDAY(DATE($C$4,2,1),2),7)+1)+7),"dd/mm")&amp;" - "&amp;TEXT(MIN(((DATE($C$4,2,1)+MOD(7-WEEKDAY(DATE($C$4,2,1),2),7)+1)+7)+6,EOMONTH(DATE($C$4,2,1),0)),"dd/mm")))</f>
        <v>09/02 - 15/02</v>
      </c>
      <c r="E35" s="186" cm="1">
        <f t="array" ref="E35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OPERACAO'!$H$2:$H$632),2,1),2)-2)/7)+1)=3),0))</f>
        <v>12</v>
      </c>
      <c r="F35" s="187" cm="1">
        <f t="array" ref="F35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OPERACAO'!$H$2:$H$632),2,1),2)-2)/7)+1)=3)*('GESTAO OPERACAO'!$P$2:$P$632*1),0))</f>
        <v>235703.97</v>
      </c>
    </row>
    <row r="36" spans="2:6" x14ac:dyDescent="0.3">
      <c r="B36" s="180" t="s">
        <v>1116</v>
      </c>
      <c r="C36" s="192" t="s">
        <v>1134</v>
      </c>
      <c r="D36" s="192" t="str">
        <f>IF($C$4="Todos","Semana 4",IF(((DATE($C$4,2,1)+MOD(7-WEEKDAY(DATE($C$4,2,1),2),7)+1)+14)&gt;EOMONTH(DATE($C$4,2,1),0),"-",TEXT(((DATE($C$4,2,1)+MOD(7-WEEKDAY(DATE($C$4,2,1),2),7)+1)+14),"dd/mm")&amp;" - "&amp;TEXT(MIN(((DATE($C$4,2,1)+MOD(7-WEEKDAY(DATE($C$4,2,1),2),7)+1)+14)+6,EOMONTH(DATE($C$4,2,1),0)),"dd/mm")))</f>
        <v>16/02 - 22/02</v>
      </c>
      <c r="E36" s="186" cm="1">
        <f t="array" ref="E36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OPERACAO'!$H$2:$H$632),2,1),2)-2)/7)+1)=4),0))</f>
        <v>5</v>
      </c>
      <c r="F36" s="187" cm="1">
        <f t="array" ref="F36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OPERACAO'!$H$2:$H$632),2,1),2)-2)/7)+1)=4)*('GESTAO OPERACAO'!$P$2:$P$632*1),0))</f>
        <v>24041.360000000001</v>
      </c>
    </row>
    <row r="37" spans="2:6" x14ac:dyDescent="0.3">
      <c r="B37" s="180" t="s">
        <v>1116</v>
      </c>
      <c r="C37" s="192" t="s">
        <v>1135</v>
      </c>
      <c r="D37" s="192" t="str">
        <f>IF($C$4="Todos","Semana 5+",IF(((DATE($C$4,2,1)+MOD(7-WEEKDAY(DATE($C$4,2,1),2),7)+1)+21)&gt;EOMONTH(DATE($C$4,2,1),0),"-",TEXT(((DATE($C$4,2,1)+MOD(7-WEEKDAY(DATE($C$4,2,1),2),7)+1)+21),"dd/mm")&amp;" - "&amp;TEXT(EOMONTH(DATE($C$4,2,1),0),"dd/mm")))</f>
        <v>23/02 - 28/02</v>
      </c>
      <c r="E37" s="186" cm="1">
        <f t="array" ref="E37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OPERACAO'!$H$2:$H$632),2,1),2)-2)/7)+1)&gt;=5),0))</f>
        <v>11</v>
      </c>
      <c r="F37" s="187" cm="1">
        <f t="array" ref="F37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OPERACAO'!$H$2:$H$632),2,1),2)-2)/7)+1)&gt;=5)*('GESTAO OPERACAO'!$P$2:$P$632*1),0))</f>
        <v>169960.79</v>
      </c>
    </row>
    <row r="38" spans="2:6" x14ac:dyDescent="0.3">
      <c r="B38" s="182" t="s">
        <v>1137</v>
      </c>
      <c r="C38" s="420"/>
      <c r="D38" s="420"/>
      <c r="E38" s="193">
        <f>SUM(E33:E37)</f>
        <v>45</v>
      </c>
      <c r="F38" s="194">
        <f>SUM(F33:F37)</f>
        <v>555067.82999999996</v>
      </c>
    </row>
    <row r="39" spans="2:6" x14ac:dyDescent="0.3">
      <c r="B39" s="180" t="s">
        <v>1117</v>
      </c>
      <c r="C39" s="192" t="s">
        <v>1131</v>
      </c>
      <c r="D39" s="192" t="str">
        <f>IF($C$4="Todos","Semana 1",TEXT(DATE($C$4,3,1),"dd/mm")&amp;" - "&amp;TEXT((DATE($C$4,3,1)+MOD(7-WEEKDAY(DATE($C$4,3,1),2),7)),"dd/mm"))</f>
        <v>01/03 - 01/03</v>
      </c>
      <c r="E39" s="186" cm="1">
        <f t="array" ref="E39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OPERACAO'!$H$2:$H$632),3,1),2)-2)/7)+1)=1),0))</f>
        <v>0</v>
      </c>
      <c r="F39" s="187" cm="1">
        <f t="array" ref="F39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OPERACAO'!$H$2:$H$632),3,1),2)-2)/7)+1)=1)*('GESTAO OPERACAO'!$P$2:$P$632*1),0))</f>
        <v>0</v>
      </c>
    </row>
    <row r="40" spans="2:6" x14ac:dyDescent="0.3">
      <c r="B40" s="180" t="s">
        <v>1117</v>
      </c>
      <c r="C40" s="192" t="s">
        <v>1132</v>
      </c>
      <c r="D40" s="192" t="str">
        <f>IF($C$4="Todos","Semana 2",IF(((DATE($C$4,3,1)+MOD(7-WEEKDAY(DATE($C$4,3,1),2),7)+1)+0)&gt;EOMONTH(DATE($C$4,3,1),0),"-",TEXT(((DATE($C$4,3,1)+MOD(7-WEEKDAY(DATE($C$4,3,1),2),7)+1)+0),"dd/mm")&amp;" - "&amp;TEXT(MIN(((DATE($C$4,3,1)+MOD(7-WEEKDAY(DATE($C$4,3,1),2),7)+1)+0)+6,EOMONTH(DATE($C$4,3,1),0)),"dd/mm")))</f>
        <v>02/03 - 08/03</v>
      </c>
      <c r="E40" s="186" cm="1">
        <f t="array" ref="E40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OPERACAO'!$H$2:$H$632),3,1),2)-2)/7)+1)=2),0))</f>
        <v>11</v>
      </c>
      <c r="F40" s="187" cm="1">
        <f t="array" ref="F40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OPERACAO'!$H$2:$H$632),3,1),2)-2)/7)+1)=2)*('GESTAO OPERACAO'!$P$2:$P$632*1),0))</f>
        <v>644929.91999999993</v>
      </c>
    </row>
    <row r="41" spans="2:6" x14ac:dyDescent="0.3">
      <c r="B41" s="180" t="s">
        <v>1117</v>
      </c>
      <c r="C41" s="192" t="s">
        <v>1133</v>
      </c>
      <c r="D41" s="192" t="str">
        <f>IF($C$4="Todos","Semana 3",IF(((DATE($C$4,3,1)+MOD(7-WEEKDAY(DATE($C$4,3,1),2),7)+1)+7)&gt;EOMONTH(DATE($C$4,3,1),0),"-",TEXT(((DATE($C$4,3,1)+MOD(7-WEEKDAY(DATE($C$4,3,1),2),7)+1)+7),"dd/mm")&amp;" - "&amp;TEXT(MIN(((DATE($C$4,3,1)+MOD(7-WEEKDAY(DATE($C$4,3,1),2),7)+1)+7)+6,EOMONTH(DATE($C$4,3,1),0)),"dd/mm")))</f>
        <v>09/03 - 15/03</v>
      </c>
      <c r="E41" s="186" cm="1">
        <f t="array" ref="E41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OPERACAO'!$H$2:$H$632),3,1),2)-2)/7)+1)=3),0))</f>
        <v>18</v>
      </c>
      <c r="F41" s="187" cm="1">
        <f t="array" ref="F41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OPERACAO'!$H$2:$H$632),3,1),2)-2)/7)+1)=3)*('GESTAO OPERACAO'!$P$2:$P$632*1),0))</f>
        <v>1874789.0899999999</v>
      </c>
    </row>
    <row r="42" spans="2:6" x14ac:dyDescent="0.3">
      <c r="B42" s="180" t="s">
        <v>1117</v>
      </c>
      <c r="C42" s="192" t="s">
        <v>1134</v>
      </c>
      <c r="D42" s="192" t="str">
        <f>IF($C$4="Todos","Semana 4",IF(((DATE($C$4,3,1)+MOD(7-WEEKDAY(DATE($C$4,3,1),2),7)+1)+14)&gt;EOMONTH(DATE($C$4,3,1),0),"-",TEXT(((DATE($C$4,3,1)+MOD(7-WEEKDAY(DATE($C$4,3,1),2),7)+1)+14),"dd/mm")&amp;" - "&amp;TEXT(MIN(((DATE($C$4,3,1)+MOD(7-WEEKDAY(DATE($C$4,3,1),2),7)+1)+14)+6,EOMONTH(DATE($C$4,3,1),0)),"dd/mm")))</f>
        <v>16/03 - 22/03</v>
      </c>
      <c r="E42" s="186" cm="1">
        <f t="array" ref="E42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OPERACAO'!$H$2:$H$632),3,1),2)-2)/7)+1)=4),0))</f>
        <v>11</v>
      </c>
      <c r="F42" s="187" cm="1">
        <f t="array" ref="F42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OPERACAO'!$H$2:$H$632),3,1),2)-2)/7)+1)=4)*('GESTAO OPERACAO'!$P$2:$P$632*1),0))</f>
        <v>149303.84999999998</v>
      </c>
    </row>
    <row r="43" spans="2:6" x14ac:dyDescent="0.3">
      <c r="B43" s="180" t="s">
        <v>1117</v>
      </c>
      <c r="C43" s="192" t="s">
        <v>1135</v>
      </c>
      <c r="D43" s="192" t="str">
        <f>IF($C$4="Todos","Semana 5+",IF(((DATE($C$4,3,1)+MOD(7-WEEKDAY(DATE($C$4,3,1),2),7)+1)+21)&gt;EOMONTH(DATE($C$4,3,1),0),"-",TEXT(((DATE($C$4,3,1)+MOD(7-WEEKDAY(DATE($C$4,3,1),2),7)+1)+21),"dd/mm")&amp;" - "&amp;TEXT(EOMONTH(DATE($C$4,3,1),0),"dd/mm")))</f>
        <v>23/03 - 31/03</v>
      </c>
      <c r="E43" s="186" cm="1">
        <f t="array" ref="E43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OPERACAO'!$H$2:$H$632),3,1),2)-2)/7)+1)&gt;=5),0))</f>
        <v>21</v>
      </c>
      <c r="F43" s="187" cm="1">
        <f t="array" ref="F43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OPERACAO'!$H$2:$H$632),3,1),2)-2)/7)+1)&gt;=5)*('GESTAO OPERACAO'!$P$2:$P$632*1),0))</f>
        <v>155331.90000000002</v>
      </c>
    </row>
    <row r="44" spans="2:6" x14ac:dyDescent="0.3">
      <c r="B44" s="182" t="s">
        <v>1138</v>
      </c>
      <c r="C44" s="420"/>
      <c r="D44" s="420"/>
      <c r="E44" s="193">
        <f>SUM(E39:E43)</f>
        <v>61</v>
      </c>
      <c r="F44" s="194">
        <f>SUM(F39:F43)</f>
        <v>2824354.76</v>
      </c>
    </row>
    <row r="45" spans="2:6" x14ac:dyDescent="0.3">
      <c r="B45" s="180" t="s">
        <v>1118</v>
      </c>
      <c r="C45" s="192" t="s">
        <v>1131</v>
      </c>
      <c r="D45" s="192" t="str">
        <f>IF($C$4="Todos","Semana 1",TEXT(DATE($C$4,4,1),"dd/mm")&amp;" - "&amp;TEXT((DATE($C$4,4,1)+MOD(7-WEEKDAY(DATE($C$4,4,1),2),7)),"dd/mm"))</f>
        <v>01/04 - 05/04</v>
      </c>
      <c r="E45" s="186" cm="1">
        <f t="array" ref="E45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OPERACAO'!$H$2:$H$632),4,1),2)-2)/7)+1)=1),0))</f>
        <v>6</v>
      </c>
      <c r="F45" s="187" cm="1">
        <f t="array" ref="F45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OPERACAO'!$H$2:$H$632),4,1),2)-2)/7)+1)=1)*('GESTAO OPERACAO'!$P$2:$P$632*1),0))</f>
        <v>44718.899999999994</v>
      </c>
    </row>
    <row r="46" spans="2:6" x14ac:dyDescent="0.3">
      <c r="B46" s="180" t="s">
        <v>1118</v>
      </c>
      <c r="C46" s="192" t="s">
        <v>1132</v>
      </c>
      <c r="D46" s="192" t="str">
        <f>IF($C$4="Todos","Semana 2",IF(((DATE($C$4,4,1)+MOD(7-WEEKDAY(DATE($C$4,4,1),2),7)+1)+0)&gt;EOMONTH(DATE($C$4,4,1),0),"-",TEXT(((DATE($C$4,4,1)+MOD(7-WEEKDAY(DATE($C$4,4,1),2),7)+1)+0),"dd/mm")&amp;" - "&amp;TEXT(MIN(((DATE($C$4,4,1)+MOD(7-WEEKDAY(DATE($C$4,4,1),2),7)+1)+0)+6,EOMONTH(DATE($C$4,4,1),0)),"dd/mm")))</f>
        <v>06/04 - 12/04</v>
      </c>
      <c r="E46" s="186" cm="1">
        <f t="array" ref="E46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OPERACAO'!$H$2:$H$632),4,1),2)-2)/7)+1)=2),0))</f>
        <v>16</v>
      </c>
      <c r="F46" s="187" cm="1">
        <f t="array" ref="F46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OPERACAO'!$H$2:$H$632),4,1),2)-2)/7)+1)=2)*('GESTAO OPERACAO'!$P$2:$P$632*1),0))</f>
        <v>754920.67200000002</v>
      </c>
    </row>
    <row r="47" spans="2:6" x14ac:dyDescent="0.3">
      <c r="B47" s="180" t="s">
        <v>1118</v>
      </c>
      <c r="C47" s="192" t="s">
        <v>1133</v>
      </c>
      <c r="D47" s="192" t="str">
        <f>IF($C$4="Todos","Semana 3",IF(((DATE($C$4,4,1)+MOD(7-WEEKDAY(DATE($C$4,4,1),2),7)+1)+7)&gt;EOMONTH(DATE($C$4,4,1),0),"-",TEXT(((DATE($C$4,4,1)+MOD(7-WEEKDAY(DATE($C$4,4,1),2),7)+1)+7),"dd/mm")&amp;" - "&amp;TEXT(MIN(((DATE($C$4,4,1)+MOD(7-WEEKDAY(DATE($C$4,4,1),2),7)+1)+7)+6,EOMONTH(DATE($C$4,4,1),0)),"dd/mm")))</f>
        <v>13/04 - 19/04</v>
      </c>
      <c r="E47" s="186" cm="1">
        <f t="array" ref="E47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OPERACAO'!$H$2:$H$632),4,1),2)-2)/7)+1)=3),0))</f>
        <v>16</v>
      </c>
      <c r="F47" s="187" cm="1">
        <f t="array" ref="F47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OPERACAO'!$H$2:$H$632),4,1),2)-2)/7)+1)=3)*('GESTAO OPERACAO'!$P$2:$P$632*1),0))</f>
        <v>355617.55</v>
      </c>
    </row>
    <row r="48" spans="2:6" x14ac:dyDescent="0.3">
      <c r="B48" s="180" t="s">
        <v>1118</v>
      </c>
      <c r="C48" s="192" t="s">
        <v>1134</v>
      </c>
      <c r="D48" s="192" t="str">
        <f>IF($C$4="Todos","Semana 4",IF(((DATE($C$4,4,1)+MOD(7-WEEKDAY(DATE($C$4,4,1),2),7)+1)+14)&gt;EOMONTH(DATE($C$4,4,1),0),"-",TEXT(((DATE($C$4,4,1)+MOD(7-WEEKDAY(DATE($C$4,4,1),2),7)+1)+14),"dd/mm")&amp;" - "&amp;TEXT(MIN(((DATE($C$4,4,1)+MOD(7-WEEKDAY(DATE($C$4,4,1),2),7)+1)+14)+6,EOMONTH(DATE($C$4,4,1),0)),"dd/mm")))</f>
        <v>20/04 - 26/04</v>
      </c>
      <c r="E48" s="186" cm="1">
        <f t="array" ref="E48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OPERACAO'!$H$2:$H$632),4,1),2)-2)/7)+1)=4),0))</f>
        <v>8</v>
      </c>
      <c r="F48" s="187" cm="1">
        <f t="array" ref="F48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OPERACAO'!$H$2:$H$632),4,1),2)-2)/7)+1)=4)*('GESTAO OPERACAO'!$P$2:$P$632*1),0))</f>
        <v>152844.35999999999</v>
      </c>
    </row>
    <row r="49" spans="2:6" x14ac:dyDescent="0.3">
      <c r="B49" s="180" t="s">
        <v>1118</v>
      </c>
      <c r="C49" s="192" t="s">
        <v>1135</v>
      </c>
      <c r="D49" s="192" t="str">
        <f>IF($C$4="Todos","Semana 5+",IF(((DATE($C$4,4,1)+MOD(7-WEEKDAY(DATE($C$4,4,1),2),7)+1)+21)&gt;EOMONTH(DATE($C$4,4,1),0),"-",TEXT(((DATE($C$4,4,1)+MOD(7-WEEKDAY(DATE($C$4,4,1),2),7)+1)+21),"dd/mm")&amp;" - "&amp;TEXT(EOMONTH(DATE($C$4,4,1),0),"dd/mm")))</f>
        <v>27/04 - 30/04</v>
      </c>
      <c r="E49" s="186" cm="1">
        <f t="array" ref="E49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OPERACAO'!$H$2:$H$632),4,1),2)-2)/7)+1)&gt;=5),0))</f>
        <v>10</v>
      </c>
      <c r="F49" s="187" cm="1">
        <f t="array" ref="F49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OPERACAO'!$H$2:$H$632),4,1),2)-2)/7)+1)&gt;=5)*('GESTAO OPERACAO'!$P$2:$P$632*1),0))</f>
        <v>287636.65999999997</v>
      </c>
    </row>
    <row r="50" spans="2:6" x14ac:dyDescent="0.3">
      <c r="B50" s="182" t="s">
        <v>1139</v>
      </c>
      <c r="C50" s="420"/>
      <c r="D50" s="420"/>
      <c r="E50" s="193">
        <f>SUM(E45:E49)</f>
        <v>56</v>
      </c>
      <c r="F50" s="194">
        <f>SUM(F45:F49)</f>
        <v>1595738.1419999998</v>
      </c>
    </row>
    <row r="51" spans="2:6" x14ac:dyDescent="0.3">
      <c r="B51" s="180" t="s">
        <v>1119</v>
      </c>
      <c r="C51" s="192" t="s">
        <v>1131</v>
      </c>
      <c r="D51" s="192" t="str">
        <f>IF($C$4="Todos","Semana 1",TEXT(DATE($C$4,5,1),"dd/mm")&amp;" - "&amp;TEXT((DATE($C$4,5,1)+MOD(7-WEEKDAY(DATE($C$4,5,1),2),7)),"dd/mm"))</f>
        <v>01/05 - 03/05</v>
      </c>
      <c r="E51" s="186" cm="1">
        <f t="array" ref="E51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OPERACAO'!$H$2:$H$632),5,1),2)-2)/7)+1)=1),0))</f>
        <v>0</v>
      </c>
      <c r="F51" s="187" cm="1">
        <f t="array" ref="F51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OPERACAO'!$H$2:$H$632),5,1),2)-2)/7)+1)=1)*('GESTAO OPERACAO'!$P$2:$P$632*1),0))</f>
        <v>0</v>
      </c>
    </row>
    <row r="52" spans="2:6" x14ac:dyDescent="0.3">
      <c r="B52" s="180" t="s">
        <v>1119</v>
      </c>
      <c r="C52" s="192" t="s">
        <v>1132</v>
      </c>
      <c r="D52" s="192" t="str">
        <f>IF($C$4="Todos","Semana 2",IF(((DATE($C$4,5,1)+MOD(7-WEEKDAY(DATE($C$4,5,1),2),7)+1)+0)&gt;EOMONTH(DATE($C$4,5,1),0),"-",TEXT(((DATE($C$4,5,1)+MOD(7-WEEKDAY(DATE($C$4,5,1),2),7)+1)+0),"dd/mm")&amp;" - "&amp;TEXT(MIN(((DATE($C$4,5,1)+MOD(7-WEEKDAY(DATE($C$4,5,1),2),7)+1)+0)+6,EOMONTH(DATE($C$4,5,1),0)),"dd/mm")))</f>
        <v>04/05 - 10/05</v>
      </c>
      <c r="E52" s="186" cm="1">
        <f t="array" ref="E52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OPERACAO'!$H$2:$H$632),5,1),2)-2)/7)+1)=2),0))</f>
        <v>16</v>
      </c>
      <c r="F52" s="187" cm="1">
        <f t="array" ref="F52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OPERACAO'!$H$2:$H$632),5,1),2)-2)/7)+1)=2)*('GESTAO OPERACAO'!$P$2:$P$632*1),0))</f>
        <v>1080093.3700000001</v>
      </c>
    </row>
    <row r="53" spans="2:6" x14ac:dyDescent="0.3">
      <c r="B53" s="180" t="s">
        <v>1119</v>
      </c>
      <c r="C53" s="192" t="s">
        <v>1133</v>
      </c>
      <c r="D53" s="192" t="str">
        <f>IF($C$4="Todos","Semana 3",IF(((DATE($C$4,5,1)+MOD(7-WEEKDAY(DATE($C$4,5,1),2),7)+1)+7)&gt;EOMONTH(DATE($C$4,5,1),0),"-",TEXT(((DATE($C$4,5,1)+MOD(7-WEEKDAY(DATE($C$4,5,1),2),7)+1)+7),"dd/mm")&amp;" - "&amp;TEXT(MIN(((DATE($C$4,5,1)+MOD(7-WEEKDAY(DATE($C$4,5,1),2),7)+1)+7)+6,EOMONTH(DATE($C$4,5,1),0)),"dd/mm")))</f>
        <v>11/05 - 17/05</v>
      </c>
      <c r="E53" s="186" cm="1">
        <f t="array" ref="E53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OPERACAO'!$H$2:$H$632),5,1),2)-2)/7)+1)=3),0))</f>
        <v>15</v>
      </c>
      <c r="F53" s="187" cm="1">
        <f t="array" ref="F53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OPERACAO'!$H$2:$H$632),5,1),2)-2)/7)+1)=3)*('GESTAO OPERACAO'!$P$2:$P$632*1),0))</f>
        <v>701928.14999999991</v>
      </c>
    </row>
    <row r="54" spans="2:6" x14ac:dyDescent="0.3">
      <c r="B54" s="180" t="s">
        <v>1119</v>
      </c>
      <c r="C54" s="192" t="s">
        <v>1134</v>
      </c>
      <c r="D54" s="192" t="str">
        <f>IF($C$4="Todos","Semana 4",IF(((DATE($C$4,5,1)+MOD(7-WEEKDAY(DATE($C$4,5,1),2),7)+1)+14)&gt;EOMONTH(DATE($C$4,5,1),0),"-",TEXT(((DATE($C$4,5,1)+MOD(7-WEEKDAY(DATE($C$4,5,1),2),7)+1)+14),"dd/mm")&amp;" - "&amp;TEXT(MIN(((DATE($C$4,5,1)+MOD(7-WEEKDAY(DATE($C$4,5,1),2),7)+1)+14)+6,EOMONTH(DATE($C$4,5,1),0)),"dd/mm")))</f>
        <v>18/05 - 24/05</v>
      </c>
      <c r="E54" s="186" cm="1">
        <f t="array" ref="E54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OPERACAO'!$H$2:$H$632),5,1),2)-2)/7)+1)=4),0))</f>
        <v>17</v>
      </c>
      <c r="F54" s="187" cm="1">
        <f t="array" ref="F54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OPERACAO'!$H$2:$H$632),5,1),2)-2)/7)+1)=4)*('GESTAO OPERACAO'!$P$2:$P$632*1),0))</f>
        <v>431967.55999999994</v>
      </c>
    </row>
    <row r="55" spans="2:6" x14ac:dyDescent="0.3">
      <c r="B55" s="180" t="s">
        <v>1119</v>
      </c>
      <c r="C55" s="192" t="s">
        <v>1135</v>
      </c>
      <c r="D55" s="192" t="str">
        <f>IF($C$4="Todos","Semana 5+",IF(((DATE($C$4,5,1)+MOD(7-WEEKDAY(DATE($C$4,5,1),2),7)+1)+21)&gt;EOMONTH(DATE($C$4,5,1),0),"-",TEXT(((DATE($C$4,5,1)+MOD(7-WEEKDAY(DATE($C$4,5,1),2),7)+1)+21),"dd/mm")&amp;" - "&amp;TEXT(EOMONTH(DATE($C$4,5,1),0),"dd/mm")))</f>
        <v>25/05 - 31/05</v>
      </c>
      <c r="E55" s="186" cm="1">
        <f t="array" ref="E55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OPERACAO'!$H$2:$H$632),5,1),2)-2)/7)+1)&gt;=5),0))</f>
        <v>11</v>
      </c>
      <c r="F55" s="187" cm="1">
        <f t="array" ref="F55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OPERACAO'!$H$2:$H$632),5,1),2)-2)/7)+1)&gt;=5)*('GESTAO OPERACAO'!$P$2:$P$632*1),0))</f>
        <v>307930.77999999997</v>
      </c>
    </row>
    <row r="56" spans="2:6" x14ac:dyDescent="0.3">
      <c r="B56" s="182" t="s">
        <v>1140</v>
      </c>
      <c r="C56" s="420"/>
      <c r="D56" s="420"/>
      <c r="E56" s="193">
        <f>SUM(E51:E55)</f>
        <v>59</v>
      </c>
      <c r="F56" s="194">
        <f>SUM(F51:F55)</f>
        <v>2521919.86</v>
      </c>
    </row>
    <row r="57" spans="2:6" x14ac:dyDescent="0.3">
      <c r="B57" s="180" t="s">
        <v>1120</v>
      </c>
      <c r="C57" s="192" t="s">
        <v>1131</v>
      </c>
      <c r="D57" s="192" t="str">
        <f>IF($C$4="Todos","Semana 1",TEXT(DATE($C$4,6,1),"dd/mm")&amp;" - "&amp;TEXT((DATE($C$4,6,1)+MOD(7-WEEKDAY(DATE($C$4,6,1),2),7)),"dd/mm"))</f>
        <v>01/06 - 07/06</v>
      </c>
      <c r="E57" s="186" cm="1">
        <f t="array" ref="E57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OPERACAO'!$H$2:$H$632),6,1),2)-2)/7)+1)=1),0))</f>
        <v>7</v>
      </c>
      <c r="F57" s="187" cm="1">
        <f t="array" ref="F57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OPERACAO'!$H$2:$H$632),6,1),2)-2)/7)+1)=1)*('GESTAO OPERACAO'!$P$2:$P$632*1),0))</f>
        <v>124745.68</v>
      </c>
    </row>
    <row r="58" spans="2:6" x14ac:dyDescent="0.3">
      <c r="B58" s="180" t="s">
        <v>1120</v>
      </c>
      <c r="C58" s="192" t="s">
        <v>1132</v>
      </c>
      <c r="D58" s="192" t="str">
        <f>IF($C$4="Todos","Semana 2",IF(((DATE($C$4,6,1)+MOD(7-WEEKDAY(DATE($C$4,6,1),2),7)+1)+0)&gt;EOMONTH(DATE($C$4,6,1),0),"-",TEXT(((DATE($C$4,6,1)+MOD(7-WEEKDAY(DATE($C$4,6,1),2),7)+1)+0),"dd/mm")&amp;" - "&amp;TEXT(MIN(((DATE($C$4,6,1)+MOD(7-WEEKDAY(DATE($C$4,6,1),2),7)+1)+0)+6,EOMONTH(DATE($C$4,6,1),0)),"dd/mm")))</f>
        <v>08/06 - 14/06</v>
      </c>
      <c r="E58" s="186" cm="1">
        <f t="array" ref="E58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OPERACAO'!$H$2:$H$632),6,1),2)-2)/7)+1)=2),0))</f>
        <v>13</v>
      </c>
      <c r="F58" s="187" cm="1">
        <f t="array" ref="F58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OPERACAO'!$H$2:$H$632),6,1),2)-2)/7)+1)=2)*('GESTAO OPERACAO'!$P$2:$P$632*1),0))</f>
        <v>232183.84</v>
      </c>
    </row>
    <row r="59" spans="2:6" x14ac:dyDescent="0.3">
      <c r="B59" s="180" t="s">
        <v>1120</v>
      </c>
      <c r="C59" s="192" t="s">
        <v>1133</v>
      </c>
      <c r="D59" s="192" t="str">
        <f>IF($C$4="Todos","Semana 3",IF(((DATE($C$4,6,1)+MOD(7-WEEKDAY(DATE($C$4,6,1),2),7)+1)+7)&gt;EOMONTH(DATE($C$4,6,1),0),"-",TEXT(((DATE($C$4,6,1)+MOD(7-WEEKDAY(DATE($C$4,6,1),2),7)+1)+7),"dd/mm")&amp;" - "&amp;TEXT(MIN(((DATE($C$4,6,1)+MOD(7-WEEKDAY(DATE($C$4,6,1),2),7)+1)+7)+6,EOMONTH(DATE($C$4,6,1),0)),"dd/mm")))</f>
        <v>15/06 - 21/06</v>
      </c>
      <c r="E59" s="186" cm="1">
        <f t="array" ref="E59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OPERACAO'!$H$2:$H$632),6,1),2)-2)/7)+1)=3),0))</f>
        <v>16</v>
      </c>
      <c r="F59" s="187" cm="1">
        <f t="array" ref="F59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OPERACAO'!$H$2:$H$632),6,1),2)-2)/7)+1)=3)*('GESTAO OPERACAO'!$P$2:$P$632*1),0))</f>
        <v>183860.38</v>
      </c>
    </row>
    <row r="60" spans="2:6" x14ac:dyDescent="0.3">
      <c r="B60" s="180" t="s">
        <v>1120</v>
      </c>
      <c r="C60" s="192" t="s">
        <v>1134</v>
      </c>
      <c r="D60" s="192" t="str">
        <f>IF($C$4="Todos","Semana 4",IF(((DATE($C$4,6,1)+MOD(7-WEEKDAY(DATE($C$4,6,1),2),7)+1)+14)&gt;EOMONTH(DATE($C$4,6,1),0),"-",TEXT(((DATE($C$4,6,1)+MOD(7-WEEKDAY(DATE($C$4,6,1),2),7)+1)+14),"dd/mm")&amp;" - "&amp;TEXT(MIN(((DATE($C$4,6,1)+MOD(7-WEEKDAY(DATE($C$4,6,1),2),7)+1)+14)+6,EOMONTH(DATE($C$4,6,1),0)),"dd/mm")))</f>
        <v>22/06 - 28/06</v>
      </c>
      <c r="E60" s="186" cm="1">
        <f t="array" ref="E60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OPERACAO'!$H$2:$H$632),6,1),2)-2)/7)+1)=4),0))</f>
        <v>14</v>
      </c>
      <c r="F60" s="187" cm="1">
        <f t="array" ref="F60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OPERACAO'!$H$2:$H$632),6,1),2)-2)/7)+1)=4)*('GESTAO OPERACAO'!$P$2:$P$632*1),0))</f>
        <v>341187.08999999997</v>
      </c>
    </row>
    <row r="61" spans="2:6" x14ac:dyDescent="0.3">
      <c r="B61" s="180" t="s">
        <v>1120</v>
      </c>
      <c r="C61" s="192" t="s">
        <v>1135</v>
      </c>
      <c r="D61" s="192" t="str">
        <f>IF($C$4="Todos","Semana 5+",IF(((DATE($C$4,6,1)+MOD(7-WEEKDAY(DATE($C$4,6,1),2),7)+1)+21)&gt;EOMONTH(DATE($C$4,6,1),0),"-",TEXT(((DATE($C$4,6,1)+MOD(7-WEEKDAY(DATE($C$4,6,1),2),7)+1)+21),"dd/mm")&amp;" - "&amp;TEXT(EOMONTH(DATE($C$4,6,1),0),"dd/mm")))</f>
        <v>29/06 - 30/06</v>
      </c>
      <c r="E61" s="186" cm="1">
        <f t="array" ref="E61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OPERACAO'!$H$2:$H$632),6,1),2)-2)/7)+1)&gt;=5),0))</f>
        <v>4</v>
      </c>
      <c r="F61" s="187" cm="1">
        <f t="array" ref="F61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OPERACAO'!$H$2:$H$632),6,1),2)-2)/7)+1)&gt;=5)*('GESTAO OPERACAO'!$P$2:$P$632*1),0))</f>
        <v>37320.99</v>
      </c>
    </row>
    <row r="62" spans="2:6" x14ac:dyDescent="0.3">
      <c r="B62" s="182" t="s">
        <v>1141</v>
      </c>
      <c r="C62" s="420"/>
      <c r="D62" s="420"/>
      <c r="E62" s="193">
        <f>SUM(E57:E61)</f>
        <v>54</v>
      </c>
      <c r="F62" s="194">
        <f>SUM(F57:F61)</f>
        <v>919297.98</v>
      </c>
    </row>
    <row r="63" spans="2:6" x14ac:dyDescent="0.3">
      <c r="B63" s="180" t="s">
        <v>1121</v>
      </c>
      <c r="C63" s="192" t="s">
        <v>1131</v>
      </c>
      <c r="D63" s="192" t="str">
        <f>IF($C$4="Todos","Semana 1",TEXT(DATE($C$4,7,1),"dd/mm")&amp;" - "&amp;TEXT((DATE($C$4,7,1)+MOD(7-WEEKDAY(DATE($C$4,7,1),2),7)),"dd/mm"))</f>
        <v>01/07 - 05/07</v>
      </c>
      <c r="E63" s="186" cm="1">
        <f t="array" ref="E63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OPERACAO'!$H$2:$H$632),7,1),2)-2)/7)+1)=1),0))</f>
        <v>5</v>
      </c>
      <c r="F63" s="187" cm="1">
        <f t="array" ref="F63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OPERACAO'!$H$2:$H$632),7,1),2)-2)/7)+1)=1)*('GESTAO OPERACAO'!$P$2:$P$632*1),0))</f>
        <v>60580.2</v>
      </c>
    </row>
    <row r="64" spans="2:6" x14ac:dyDescent="0.3">
      <c r="B64" s="180" t="s">
        <v>1121</v>
      </c>
      <c r="C64" s="192" t="s">
        <v>1132</v>
      </c>
      <c r="D64" s="192" t="str">
        <f>IF($C$4="Todos","Semana 2",IF(((DATE($C$4,7,1)+MOD(7-WEEKDAY(DATE($C$4,7,1),2),7)+1)+0)&gt;EOMONTH(DATE($C$4,7,1),0),"-",TEXT(((DATE($C$4,7,1)+MOD(7-WEEKDAY(DATE($C$4,7,1),2),7)+1)+0),"dd/mm")&amp;" - "&amp;TEXT(MIN(((DATE($C$4,7,1)+MOD(7-WEEKDAY(DATE($C$4,7,1),2),7)+1)+0)+6,EOMONTH(DATE($C$4,7,1),0)),"dd/mm")))</f>
        <v>06/07 - 12/07</v>
      </c>
      <c r="E64" s="186" cm="1">
        <f t="array" ref="E64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OPERACAO'!$H$2:$H$632),7,1),2)-2)/7)+1)=2),0))</f>
        <v>9</v>
      </c>
      <c r="F64" s="187" cm="1">
        <f t="array" ref="F64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OPERACAO'!$H$2:$H$632),7,1),2)-2)/7)+1)=2)*('GESTAO OPERACAO'!$P$2:$P$632*1),0))</f>
        <v>157803.33799999999</v>
      </c>
    </row>
    <row r="65" spans="2:6" x14ac:dyDescent="0.3">
      <c r="B65" s="180" t="s">
        <v>1121</v>
      </c>
      <c r="C65" s="192" t="s">
        <v>1133</v>
      </c>
      <c r="D65" s="192" t="str">
        <f>IF($C$4="Todos","Semana 3",IF(((DATE($C$4,7,1)+MOD(7-WEEKDAY(DATE($C$4,7,1),2),7)+1)+7)&gt;EOMONTH(DATE($C$4,7,1),0),"-",TEXT(((DATE($C$4,7,1)+MOD(7-WEEKDAY(DATE($C$4,7,1),2),7)+1)+7),"dd/mm")&amp;" - "&amp;TEXT(MIN(((DATE($C$4,7,1)+MOD(7-WEEKDAY(DATE($C$4,7,1),2),7)+1)+7)+6,EOMONTH(DATE($C$4,7,1),0)),"dd/mm")))</f>
        <v>13/07 - 19/07</v>
      </c>
      <c r="E65" s="186" cm="1">
        <f t="array" ref="E65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OPERACAO'!$H$2:$H$632),7,1),2)-2)/7)+1)=3),0))</f>
        <v>14</v>
      </c>
      <c r="F65" s="187" cm="1">
        <f t="array" ref="F65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OPERACAO'!$H$2:$H$632),7,1),2)-2)/7)+1)=3)*('GESTAO OPERACAO'!$P$2:$P$632*1),0))</f>
        <v>160594.99</v>
      </c>
    </row>
    <row r="66" spans="2:6" x14ac:dyDescent="0.3">
      <c r="B66" s="180" t="s">
        <v>1121</v>
      </c>
      <c r="C66" s="192" t="s">
        <v>1134</v>
      </c>
      <c r="D66" s="192" t="str">
        <f>IF($C$4="Todos","Semana 4",IF(((DATE($C$4,7,1)+MOD(7-WEEKDAY(DATE($C$4,7,1),2),7)+1)+14)&gt;EOMONTH(DATE($C$4,7,1),0),"-",TEXT(((DATE($C$4,7,1)+MOD(7-WEEKDAY(DATE($C$4,7,1),2),7)+1)+14),"dd/mm")&amp;" - "&amp;TEXT(MIN(((DATE($C$4,7,1)+MOD(7-WEEKDAY(DATE($C$4,7,1),2),7)+1)+14)+6,EOMONTH(DATE($C$4,7,1),0)),"dd/mm")))</f>
        <v>20/07 - 26/07</v>
      </c>
      <c r="E66" s="186" cm="1">
        <f t="array" ref="E66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OPERACAO'!$H$2:$H$632),7,1),2)-2)/7)+1)=4),0))</f>
        <v>12</v>
      </c>
      <c r="F66" s="187" cm="1">
        <f t="array" ref="F66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OPERACAO'!$H$2:$H$632),7,1),2)-2)/7)+1)=4)*('GESTAO OPERACAO'!$P$2:$P$632*1),0))</f>
        <v>122995.87</v>
      </c>
    </row>
    <row r="67" spans="2:6" x14ac:dyDescent="0.3">
      <c r="B67" s="180" t="s">
        <v>1121</v>
      </c>
      <c r="C67" s="192" t="s">
        <v>1135</v>
      </c>
      <c r="D67" s="192" t="str">
        <f>IF($C$4="Todos","Semana 5+",IF(((DATE($C$4,7,1)+MOD(7-WEEKDAY(DATE($C$4,7,1),2),7)+1)+21)&gt;EOMONTH(DATE($C$4,7,1),0),"-",TEXT(((DATE($C$4,7,1)+MOD(7-WEEKDAY(DATE($C$4,7,1),2),7)+1)+21),"dd/mm")&amp;" - "&amp;TEXT(EOMONTH(DATE($C$4,7,1),0),"dd/mm")))</f>
        <v>27/07 - 31/07</v>
      </c>
      <c r="E67" s="186" cm="1">
        <f t="array" ref="E67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OPERACAO'!$H$2:$H$632),7,1),2)-2)/7)+1)&gt;=5),0))</f>
        <v>6</v>
      </c>
      <c r="F67" s="187" cm="1">
        <f t="array" ref="F67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OPERACAO'!$H$2:$H$632),7,1),2)-2)/7)+1)&gt;=5)*('GESTAO OPERACAO'!$P$2:$P$632*1),0))</f>
        <v>38963.300000000003</v>
      </c>
    </row>
    <row r="68" spans="2:6" x14ac:dyDescent="0.3">
      <c r="B68" s="182" t="s">
        <v>1142</v>
      </c>
      <c r="C68" s="420"/>
      <c r="D68" s="420"/>
      <c r="E68" s="193">
        <f>SUM(E63:E67)</f>
        <v>46</v>
      </c>
      <c r="F68" s="194">
        <f>SUM(F63:F67)</f>
        <v>540937.69799999997</v>
      </c>
    </row>
    <row r="69" spans="2:6" x14ac:dyDescent="0.3">
      <c r="B69" s="180" t="s">
        <v>1122</v>
      </c>
      <c r="C69" s="192" t="s">
        <v>1131</v>
      </c>
      <c r="D69" s="192" t="str">
        <f>IF($C$4="Todos","Semana 1",TEXT(DATE($C$4,8,1),"dd/mm")&amp;" - "&amp;TEXT((DATE($C$4,8,1)+MOD(7-WEEKDAY(DATE($C$4,8,1),2),7)),"dd/mm"))</f>
        <v>01/08 - 02/08</v>
      </c>
      <c r="E69" s="186" cm="1">
        <f t="array" ref="E69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OPERACAO'!$H$2:$H$632),8,1),2)-2)/7)+1)=1),0))</f>
        <v>0</v>
      </c>
      <c r="F69" s="187" cm="1">
        <f t="array" ref="F69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OPERACAO'!$H$2:$H$632),8,1),2)-2)/7)+1)=1)*('GESTAO OPERACAO'!$P$2:$P$632*1),0))</f>
        <v>0</v>
      </c>
    </row>
    <row r="70" spans="2:6" x14ac:dyDescent="0.3">
      <c r="B70" s="180" t="s">
        <v>1122</v>
      </c>
      <c r="C70" s="192" t="s">
        <v>1132</v>
      </c>
      <c r="D70" s="192" t="str">
        <f>IF($C$4="Todos","Semana 2",IF(((DATE($C$4,8,1)+MOD(7-WEEKDAY(DATE($C$4,8,1),2),7)+1)+0)&gt;EOMONTH(DATE($C$4,8,1),0),"-",TEXT(((DATE($C$4,8,1)+MOD(7-WEEKDAY(DATE($C$4,8,1),2),7)+1)+0),"dd/mm")&amp;" - "&amp;TEXT(MIN(((DATE($C$4,8,1)+MOD(7-WEEKDAY(DATE($C$4,8,1),2),7)+1)+0)+6,EOMONTH(DATE($C$4,8,1),0)),"dd/mm")))</f>
        <v>03/08 - 09/08</v>
      </c>
      <c r="E70" s="186" cm="1">
        <f t="array" ref="E70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OPERACAO'!$H$2:$H$632),8,1),2)-2)/7)+1)=2),0))</f>
        <v>11</v>
      </c>
      <c r="F70" s="187" cm="1">
        <f t="array" ref="F70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OPERACAO'!$H$2:$H$632),8,1),2)-2)/7)+1)=2)*('GESTAO OPERACAO'!$P$2:$P$632*1),0))</f>
        <v>251232.06000000006</v>
      </c>
    </row>
    <row r="71" spans="2:6" x14ac:dyDescent="0.3">
      <c r="B71" s="180" t="s">
        <v>1122</v>
      </c>
      <c r="C71" s="192" t="s">
        <v>1133</v>
      </c>
      <c r="D71" s="192" t="str">
        <f>IF($C$4="Todos","Semana 3",IF(((DATE($C$4,8,1)+MOD(7-WEEKDAY(DATE($C$4,8,1),2),7)+1)+7)&gt;EOMONTH(DATE($C$4,8,1),0),"-",TEXT(((DATE($C$4,8,1)+MOD(7-WEEKDAY(DATE($C$4,8,1),2),7)+1)+7),"dd/mm")&amp;" - "&amp;TEXT(MIN(((DATE($C$4,8,1)+MOD(7-WEEKDAY(DATE($C$4,8,1),2),7)+1)+7)+6,EOMONTH(DATE($C$4,8,1),0)),"dd/mm")))</f>
        <v>10/08 - 16/08</v>
      </c>
      <c r="E71" s="186" cm="1">
        <f t="array" ref="E71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OPERACAO'!$H$2:$H$632),8,1),2)-2)/7)+1)=3),0))</f>
        <v>11</v>
      </c>
      <c r="F71" s="187" cm="1">
        <f t="array" ref="F71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OPERACAO'!$H$2:$H$632),8,1),2)-2)/7)+1)=3)*('GESTAO OPERACAO'!$P$2:$P$632*1),0))</f>
        <v>180549.88999999998</v>
      </c>
    </row>
    <row r="72" spans="2:6" x14ac:dyDescent="0.3">
      <c r="B72" s="180" t="s">
        <v>1122</v>
      </c>
      <c r="C72" s="192" t="s">
        <v>1134</v>
      </c>
      <c r="D72" s="192" t="str">
        <f>IF($C$4="Todos","Semana 4",IF(((DATE($C$4,8,1)+MOD(7-WEEKDAY(DATE($C$4,8,1),2),7)+1)+14)&gt;EOMONTH(DATE($C$4,8,1),0),"-",TEXT(((DATE($C$4,8,1)+MOD(7-WEEKDAY(DATE($C$4,8,1),2),7)+1)+14),"dd/mm")&amp;" - "&amp;TEXT(MIN(((DATE($C$4,8,1)+MOD(7-WEEKDAY(DATE($C$4,8,1),2),7)+1)+14)+6,EOMONTH(DATE($C$4,8,1),0)),"dd/mm")))</f>
        <v>17/08 - 23/08</v>
      </c>
      <c r="E72" s="186" cm="1">
        <f t="array" ref="E72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OPERACAO'!$H$2:$H$632),8,1),2)-2)/7)+1)=4),0))</f>
        <v>16</v>
      </c>
      <c r="F72" s="187" cm="1">
        <f t="array" ref="F72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OPERACAO'!$H$2:$H$632),8,1),2)-2)/7)+1)=4)*('GESTAO OPERACAO'!$P$2:$P$632*1),0))</f>
        <v>4790734.209999999</v>
      </c>
    </row>
    <row r="73" spans="2:6" x14ac:dyDescent="0.3">
      <c r="B73" s="180" t="s">
        <v>1122</v>
      </c>
      <c r="C73" s="192" t="s">
        <v>1135</v>
      </c>
      <c r="D73" s="192" t="str">
        <f>IF($C$4="Todos","Semana 5+",IF(((DATE($C$4,8,1)+MOD(7-WEEKDAY(DATE($C$4,8,1),2),7)+1)+21)&gt;EOMONTH(DATE($C$4,8,1),0),"-",TEXT(((DATE($C$4,8,1)+MOD(7-WEEKDAY(DATE($C$4,8,1),2),7)+1)+21),"dd/mm")&amp;" - "&amp;TEXT(EOMONTH(DATE($C$4,8,1),0),"dd/mm")))</f>
        <v>24/08 - 31/08</v>
      </c>
      <c r="E73" s="186" cm="1">
        <f t="array" ref="E73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OPERACAO'!$H$2:$H$632),8,1),2)-2)/7)+1)&gt;=5),0))</f>
        <v>12</v>
      </c>
      <c r="F73" s="187" cm="1">
        <f t="array" ref="F73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OPERACAO'!$H$2:$H$632),8,1),2)-2)/7)+1)&gt;=5)*('GESTAO OPERACAO'!$P$2:$P$632*1),0))</f>
        <v>275867.21000000002</v>
      </c>
    </row>
    <row r="74" spans="2:6" x14ac:dyDescent="0.3">
      <c r="B74" s="182" t="s">
        <v>1143</v>
      </c>
      <c r="C74" s="420"/>
      <c r="D74" s="420"/>
      <c r="E74" s="193">
        <f>SUM(E69:E73)</f>
        <v>50</v>
      </c>
      <c r="F74" s="194">
        <f>SUM(F69:F73)</f>
        <v>5498383.3699999992</v>
      </c>
    </row>
    <row r="75" spans="2:6" x14ac:dyDescent="0.3">
      <c r="B75" s="180" t="s">
        <v>1123</v>
      </c>
      <c r="C75" s="192" t="s">
        <v>1131</v>
      </c>
      <c r="D75" s="192" t="str">
        <f>IF($C$4="Todos","Semana 1",TEXT(DATE($C$4,9,1),"dd/mm")&amp;" - "&amp;TEXT((DATE($C$4,9,1)+MOD(7-WEEKDAY(DATE($C$4,9,1),2),7)),"dd/mm"))</f>
        <v>01/09 - 06/09</v>
      </c>
      <c r="E75" s="186" cm="1">
        <f t="array" ref="E75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OPERACAO'!$H$2:$H$632),9,1),2)-2)/7)+1)=1),0))</f>
        <v>8</v>
      </c>
      <c r="F75" s="187" cm="1">
        <f t="array" ref="F75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OPERACAO'!$H$2:$H$632),9,1),2)-2)/7)+1)=1)*('GESTAO OPERACAO'!$P$2:$P$632*1),0))</f>
        <v>97461.040000000008</v>
      </c>
    </row>
    <row r="76" spans="2:6" x14ac:dyDescent="0.3">
      <c r="B76" s="180" t="s">
        <v>1123</v>
      </c>
      <c r="C76" s="192" t="s">
        <v>1132</v>
      </c>
      <c r="D76" s="192" t="str">
        <f>IF($C$4="Todos","Semana 2",IF(((DATE($C$4,9,1)+MOD(7-WEEKDAY(DATE($C$4,9,1),2),7)+1)+0)&gt;EOMONTH(DATE($C$4,9,1),0),"-",TEXT(((DATE($C$4,9,1)+MOD(7-WEEKDAY(DATE($C$4,9,1),2),7)+1)+0),"dd/mm")&amp;" - "&amp;TEXT(MIN(((DATE($C$4,9,1)+MOD(7-WEEKDAY(DATE($C$4,9,1),2),7)+1)+0)+6,EOMONTH(DATE($C$4,9,1),0)),"dd/mm")))</f>
        <v>07/09 - 13/09</v>
      </c>
      <c r="E76" s="186" cm="1">
        <f t="array" ref="E76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OPERACAO'!$H$2:$H$632),9,1),2)-2)/7)+1)=2),0))</f>
        <v>0</v>
      </c>
      <c r="F76" s="187" cm="1">
        <f t="array" ref="F76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OPERACAO'!$H$2:$H$632),9,1),2)-2)/7)+1)=2)*('GESTAO OPERACAO'!$P$2:$P$632*1),0))</f>
        <v>0</v>
      </c>
    </row>
    <row r="77" spans="2:6" x14ac:dyDescent="0.3">
      <c r="B77" s="180" t="s">
        <v>1123</v>
      </c>
      <c r="C77" s="192" t="s">
        <v>1133</v>
      </c>
      <c r="D77" s="192" t="str">
        <f>IF($C$4="Todos","Semana 3",IF(((DATE($C$4,9,1)+MOD(7-WEEKDAY(DATE($C$4,9,1),2),7)+1)+7)&gt;EOMONTH(DATE($C$4,9,1),0),"-",TEXT(((DATE($C$4,9,1)+MOD(7-WEEKDAY(DATE($C$4,9,1),2),7)+1)+7),"dd/mm")&amp;" - "&amp;TEXT(MIN(((DATE($C$4,9,1)+MOD(7-WEEKDAY(DATE($C$4,9,1),2),7)+1)+7)+6,EOMONTH(DATE($C$4,9,1),0)),"dd/mm")))</f>
        <v>14/09 - 20/09</v>
      </c>
      <c r="E77" s="186" cm="1">
        <f t="array" ref="E77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OPERACAO'!$H$2:$H$632),9,1),2)-2)/7)+1)=3),0))</f>
        <v>0</v>
      </c>
      <c r="F77" s="187" cm="1">
        <f t="array" ref="F77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OPERACAO'!$H$2:$H$632),9,1),2)-2)/7)+1)=3)*('GESTAO OPERACAO'!$P$2:$P$632*1),0))</f>
        <v>0</v>
      </c>
    </row>
    <row r="78" spans="2:6" x14ac:dyDescent="0.3">
      <c r="B78" s="180" t="s">
        <v>1123</v>
      </c>
      <c r="C78" s="192" t="s">
        <v>1134</v>
      </c>
      <c r="D78" s="192" t="str">
        <f>IF($C$4="Todos","Semana 4",IF(((DATE($C$4,9,1)+MOD(7-WEEKDAY(DATE($C$4,9,1),2),7)+1)+14)&gt;EOMONTH(DATE($C$4,9,1),0),"-",TEXT(((DATE($C$4,9,1)+MOD(7-WEEKDAY(DATE($C$4,9,1),2),7)+1)+14),"dd/mm")&amp;" - "&amp;TEXT(MIN(((DATE($C$4,9,1)+MOD(7-WEEKDAY(DATE($C$4,9,1),2),7)+1)+14)+6,EOMONTH(DATE($C$4,9,1),0)),"dd/mm")))</f>
        <v>21/09 - 27/09</v>
      </c>
      <c r="E78" s="186" cm="1">
        <f t="array" ref="E78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OPERACAO'!$H$2:$H$632),9,1),2)-2)/7)+1)=4),0))</f>
        <v>0</v>
      </c>
      <c r="F78" s="187" cm="1">
        <f t="array" ref="F78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OPERACAO'!$H$2:$H$632),9,1),2)-2)/7)+1)=4)*('GESTAO OPERACAO'!$P$2:$P$632*1),0))</f>
        <v>0</v>
      </c>
    </row>
    <row r="79" spans="2:6" x14ac:dyDescent="0.3">
      <c r="B79" s="180" t="s">
        <v>1123</v>
      </c>
      <c r="C79" s="192" t="s">
        <v>1135</v>
      </c>
      <c r="D79" s="192" t="str">
        <f>IF($C$4="Todos","Semana 5+",IF(((DATE($C$4,9,1)+MOD(7-WEEKDAY(DATE($C$4,9,1),2),7)+1)+21)&gt;EOMONTH(DATE($C$4,9,1),0),"-",TEXT(((DATE($C$4,9,1)+MOD(7-WEEKDAY(DATE($C$4,9,1),2),7)+1)+21),"dd/mm")&amp;" - "&amp;TEXT(EOMONTH(DATE($C$4,9,1),0),"dd/mm")))</f>
        <v>28/09 - 30/09</v>
      </c>
      <c r="E79" s="186" cm="1">
        <f t="array" ref="E79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OPERACAO'!$H$2:$H$632),9,1),2)-2)/7)+1)&gt;=5),0))</f>
        <v>0</v>
      </c>
      <c r="F79" s="187" cm="1">
        <f t="array" ref="F79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OPERACAO'!$H$2:$H$632),9,1),2)-2)/7)+1)&gt;=5)*('GESTAO OPERACAO'!$P$2:$P$632*1),0))</f>
        <v>0</v>
      </c>
    </row>
    <row r="80" spans="2:6" x14ac:dyDescent="0.3">
      <c r="B80" s="182" t="s">
        <v>1144</v>
      </c>
      <c r="C80" s="420"/>
      <c r="D80" s="420"/>
      <c r="E80" s="193">
        <f>SUM(E75:E79)</f>
        <v>8</v>
      </c>
      <c r="F80" s="194">
        <f>SUM(F75:F79)</f>
        <v>97461.040000000008</v>
      </c>
    </row>
    <row r="81" spans="2:6" x14ac:dyDescent="0.3">
      <c r="B81" s="180" t="s">
        <v>1124</v>
      </c>
      <c r="C81" s="192" t="s">
        <v>1131</v>
      </c>
      <c r="D81" s="192" t="str">
        <f>IF($C$4="Todos","Semana 1",TEXT(DATE($C$4,10,1),"dd/mm")&amp;" - "&amp;TEXT((DATE($C$4,10,1)+MOD(7-WEEKDAY(DATE($C$4,10,1),2),7)),"dd/mm"))</f>
        <v>01/10 - 04/10</v>
      </c>
      <c r="E81" s="186" cm="1">
        <f t="array" ref="E81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OPERACAO'!$H$2:$H$632),10,1),2)-2)/7)+1)=1),0))</f>
        <v>0</v>
      </c>
      <c r="F81" s="187" cm="1">
        <f t="array" ref="F81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OPERACAO'!$H$2:$H$632),10,1),2)-2)/7)+1)=1)*('GESTAO OPERACAO'!$P$2:$P$632*1),0))</f>
        <v>0</v>
      </c>
    </row>
    <row r="82" spans="2:6" x14ac:dyDescent="0.3">
      <c r="B82" s="180" t="s">
        <v>1124</v>
      </c>
      <c r="C82" s="192" t="s">
        <v>1132</v>
      </c>
      <c r="D82" s="192" t="str">
        <f>IF($C$4="Todos","Semana 2",IF(((DATE($C$4,10,1)+MOD(7-WEEKDAY(DATE($C$4,10,1),2),7)+1)+0)&gt;EOMONTH(DATE($C$4,10,1),0),"-",TEXT(((DATE($C$4,10,1)+MOD(7-WEEKDAY(DATE($C$4,10,1),2),7)+1)+0),"dd/mm")&amp;" - "&amp;TEXT(MIN(((DATE($C$4,10,1)+MOD(7-WEEKDAY(DATE($C$4,10,1),2),7)+1)+0)+6,EOMONTH(DATE($C$4,10,1),0)),"dd/mm")))</f>
        <v>05/10 - 11/10</v>
      </c>
      <c r="E82" s="186" cm="1">
        <f t="array" ref="E82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OPERACAO'!$H$2:$H$632),10,1),2)-2)/7)+1)=2),0))</f>
        <v>0</v>
      </c>
      <c r="F82" s="187" cm="1">
        <f t="array" ref="F82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OPERACAO'!$H$2:$H$632),10,1),2)-2)/7)+1)=2)*('GESTAO OPERACAO'!$P$2:$P$632*1),0))</f>
        <v>0</v>
      </c>
    </row>
    <row r="83" spans="2:6" x14ac:dyDescent="0.3">
      <c r="B83" s="180" t="s">
        <v>1124</v>
      </c>
      <c r="C83" s="192" t="s">
        <v>1133</v>
      </c>
      <c r="D83" s="192" t="str">
        <f>IF($C$4="Todos","Semana 3",IF(((DATE($C$4,10,1)+MOD(7-WEEKDAY(DATE($C$4,10,1),2),7)+1)+7)&gt;EOMONTH(DATE($C$4,10,1),0),"-",TEXT(((DATE($C$4,10,1)+MOD(7-WEEKDAY(DATE($C$4,10,1),2),7)+1)+7),"dd/mm")&amp;" - "&amp;TEXT(MIN(((DATE($C$4,10,1)+MOD(7-WEEKDAY(DATE($C$4,10,1),2),7)+1)+7)+6,EOMONTH(DATE($C$4,10,1),0)),"dd/mm")))</f>
        <v>12/10 - 18/10</v>
      </c>
      <c r="E83" s="186" cm="1">
        <f t="array" ref="E83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OPERACAO'!$H$2:$H$632),10,1),2)-2)/7)+1)=3),0))</f>
        <v>0</v>
      </c>
      <c r="F83" s="187" cm="1">
        <f t="array" ref="F83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OPERACAO'!$H$2:$H$632),10,1),2)-2)/7)+1)=3)*('GESTAO OPERACAO'!$P$2:$P$632*1),0))</f>
        <v>0</v>
      </c>
    </row>
    <row r="84" spans="2:6" x14ac:dyDescent="0.3">
      <c r="B84" s="180" t="s">
        <v>1124</v>
      </c>
      <c r="C84" s="192" t="s">
        <v>1134</v>
      </c>
      <c r="D84" s="192" t="str">
        <f>IF($C$4="Todos","Semana 4",IF(((DATE($C$4,10,1)+MOD(7-WEEKDAY(DATE($C$4,10,1),2),7)+1)+14)&gt;EOMONTH(DATE($C$4,10,1),0),"-",TEXT(((DATE($C$4,10,1)+MOD(7-WEEKDAY(DATE($C$4,10,1),2),7)+1)+14),"dd/mm")&amp;" - "&amp;TEXT(MIN(((DATE($C$4,10,1)+MOD(7-WEEKDAY(DATE($C$4,10,1),2),7)+1)+14)+6,EOMONTH(DATE($C$4,10,1),0)),"dd/mm")))</f>
        <v>19/10 - 25/10</v>
      </c>
      <c r="E84" s="186" cm="1">
        <f t="array" ref="E84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OPERACAO'!$H$2:$H$632),10,1),2)-2)/7)+1)=4),0))</f>
        <v>0</v>
      </c>
      <c r="F84" s="187" cm="1">
        <f t="array" ref="F84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OPERACAO'!$H$2:$H$632),10,1),2)-2)/7)+1)=4)*('GESTAO OPERACAO'!$P$2:$P$632*1),0))</f>
        <v>0</v>
      </c>
    </row>
    <row r="85" spans="2:6" x14ac:dyDescent="0.3">
      <c r="B85" s="180" t="s">
        <v>1124</v>
      </c>
      <c r="C85" s="192" t="s">
        <v>1135</v>
      </c>
      <c r="D85" s="192" t="str">
        <f>IF($C$4="Todos","Semana 5+",IF(((DATE($C$4,10,1)+MOD(7-WEEKDAY(DATE($C$4,10,1),2),7)+1)+21)&gt;EOMONTH(DATE($C$4,10,1),0),"-",TEXT(((DATE($C$4,10,1)+MOD(7-WEEKDAY(DATE($C$4,10,1),2),7)+1)+21),"dd/mm")&amp;" - "&amp;TEXT(EOMONTH(DATE($C$4,10,1),0),"dd/mm")))</f>
        <v>26/10 - 31/10</v>
      </c>
      <c r="E85" s="186" cm="1">
        <f t="array" ref="E85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OPERACAO'!$H$2:$H$632),10,1),2)-2)/7)+1)&gt;=5),0))</f>
        <v>0</v>
      </c>
      <c r="F85" s="187" cm="1">
        <f t="array" ref="F85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OPERACAO'!$H$2:$H$632),10,1),2)-2)/7)+1)&gt;=5)*('GESTAO OPERACAO'!$P$2:$P$632*1),0))</f>
        <v>0</v>
      </c>
    </row>
    <row r="86" spans="2:6" x14ac:dyDescent="0.3">
      <c r="B86" s="182" t="s">
        <v>1145</v>
      </c>
      <c r="C86" s="420"/>
      <c r="D86" s="420"/>
      <c r="E86" s="193">
        <f>SUM(E81:E85)</f>
        <v>0</v>
      </c>
      <c r="F86" s="194">
        <f>SUM(F81:F85)</f>
        <v>0</v>
      </c>
    </row>
    <row r="87" spans="2:6" x14ac:dyDescent="0.3">
      <c r="B87" s="180" t="s">
        <v>1125</v>
      </c>
      <c r="C87" s="192" t="s">
        <v>1131</v>
      </c>
      <c r="D87" s="192" t="str">
        <f>IF($C$4="Todos","Semana 1",TEXT(DATE($C$4,11,1),"dd/mm")&amp;" - "&amp;TEXT((DATE($C$4,11,1)+MOD(7-WEEKDAY(DATE($C$4,11,1),2),7)),"dd/mm"))</f>
        <v>01/11 - 01/11</v>
      </c>
      <c r="E87" s="186" cm="1">
        <f t="array" ref="E87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OPERACAO'!$H$2:$H$632),11,1),2)-2)/7)+1)=1),0))</f>
        <v>0</v>
      </c>
      <c r="F87" s="187" cm="1">
        <f t="array" ref="F87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OPERACAO'!$H$2:$H$632),11,1),2)-2)/7)+1)=1)*('GESTAO OPERACAO'!$P$2:$P$632*1),0))</f>
        <v>0</v>
      </c>
    </row>
    <row r="88" spans="2:6" x14ac:dyDescent="0.3">
      <c r="B88" s="180" t="s">
        <v>1125</v>
      </c>
      <c r="C88" s="192" t="s">
        <v>1132</v>
      </c>
      <c r="D88" s="192" t="str">
        <f>IF($C$4="Todos","Semana 2",IF(((DATE($C$4,11,1)+MOD(7-WEEKDAY(DATE($C$4,11,1),2),7)+1)+0)&gt;EOMONTH(DATE($C$4,11,1),0),"-",TEXT(((DATE($C$4,11,1)+MOD(7-WEEKDAY(DATE($C$4,11,1),2),7)+1)+0),"dd/mm")&amp;" - "&amp;TEXT(MIN(((DATE($C$4,11,1)+MOD(7-WEEKDAY(DATE($C$4,11,1),2),7)+1)+0)+6,EOMONTH(DATE($C$4,11,1),0)),"dd/mm")))</f>
        <v>02/11 - 08/11</v>
      </c>
      <c r="E88" s="186" cm="1">
        <f t="array" ref="E88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OPERACAO'!$H$2:$H$632),11,1),2)-2)/7)+1)=2),0))</f>
        <v>0</v>
      </c>
      <c r="F88" s="187" cm="1">
        <f t="array" ref="F88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OPERACAO'!$H$2:$H$632),11,1),2)-2)/7)+1)=2)*('GESTAO OPERACAO'!$P$2:$P$632*1),0))</f>
        <v>0</v>
      </c>
    </row>
    <row r="89" spans="2:6" x14ac:dyDescent="0.3">
      <c r="B89" s="180" t="s">
        <v>1125</v>
      </c>
      <c r="C89" s="192" t="s">
        <v>1133</v>
      </c>
      <c r="D89" s="192" t="str">
        <f>IF($C$4="Todos","Semana 3",IF(((DATE($C$4,11,1)+MOD(7-WEEKDAY(DATE($C$4,11,1),2),7)+1)+7)&gt;EOMONTH(DATE($C$4,11,1),0),"-",TEXT(((DATE($C$4,11,1)+MOD(7-WEEKDAY(DATE($C$4,11,1),2),7)+1)+7),"dd/mm")&amp;" - "&amp;TEXT(MIN(((DATE($C$4,11,1)+MOD(7-WEEKDAY(DATE($C$4,11,1),2),7)+1)+7)+6,EOMONTH(DATE($C$4,11,1),0)),"dd/mm")))</f>
        <v>09/11 - 15/11</v>
      </c>
      <c r="E89" s="186" cm="1">
        <f t="array" ref="E89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OPERACAO'!$H$2:$H$632),11,1),2)-2)/7)+1)=3),0))</f>
        <v>0</v>
      </c>
      <c r="F89" s="187" cm="1">
        <f t="array" ref="F89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OPERACAO'!$H$2:$H$632),11,1),2)-2)/7)+1)=3)*('GESTAO OPERACAO'!$P$2:$P$632*1),0))</f>
        <v>0</v>
      </c>
    </row>
    <row r="90" spans="2:6" x14ac:dyDescent="0.3">
      <c r="B90" s="180" t="s">
        <v>1125</v>
      </c>
      <c r="C90" s="192" t="s">
        <v>1134</v>
      </c>
      <c r="D90" s="192" t="str">
        <f>IF($C$4="Todos","Semana 4",IF(((DATE($C$4,11,1)+MOD(7-WEEKDAY(DATE($C$4,11,1),2),7)+1)+14)&gt;EOMONTH(DATE($C$4,11,1),0),"-",TEXT(((DATE($C$4,11,1)+MOD(7-WEEKDAY(DATE($C$4,11,1),2),7)+1)+14),"dd/mm")&amp;" - "&amp;TEXT(MIN(((DATE($C$4,11,1)+MOD(7-WEEKDAY(DATE($C$4,11,1),2),7)+1)+14)+6,EOMONTH(DATE($C$4,11,1),0)),"dd/mm")))</f>
        <v>16/11 - 22/11</v>
      </c>
      <c r="E90" s="186" cm="1">
        <f t="array" ref="E90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OPERACAO'!$H$2:$H$632),11,1),2)-2)/7)+1)=4),0))</f>
        <v>0</v>
      </c>
      <c r="F90" s="187" cm="1">
        <f t="array" ref="F90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OPERACAO'!$H$2:$H$632),11,1),2)-2)/7)+1)=4)*('GESTAO OPERACAO'!$P$2:$P$632*1),0))</f>
        <v>0</v>
      </c>
    </row>
    <row r="91" spans="2:6" x14ac:dyDescent="0.3">
      <c r="B91" s="180" t="s">
        <v>1125</v>
      </c>
      <c r="C91" s="192" t="s">
        <v>1135</v>
      </c>
      <c r="D91" s="192" t="str">
        <f>IF($C$4="Todos","Semana 5+",IF(((DATE($C$4,11,1)+MOD(7-WEEKDAY(DATE($C$4,11,1),2),7)+1)+21)&gt;EOMONTH(DATE($C$4,11,1),0),"-",TEXT(((DATE($C$4,11,1)+MOD(7-WEEKDAY(DATE($C$4,11,1),2),7)+1)+21),"dd/mm")&amp;" - "&amp;TEXT(EOMONTH(DATE($C$4,11,1),0),"dd/mm")))</f>
        <v>23/11 - 30/11</v>
      </c>
      <c r="E91" s="186" cm="1">
        <f t="array" ref="E91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OPERACAO'!$H$2:$H$632),11,1),2)-2)/7)+1)&gt;=5),0))</f>
        <v>0</v>
      </c>
      <c r="F91" s="187" cm="1">
        <f t="array" ref="F91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OPERACAO'!$H$2:$H$632),11,1),2)-2)/7)+1)&gt;=5)*('GESTAO OPERACAO'!$P$2:$P$632*1),0))</f>
        <v>0</v>
      </c>
    </row>
    <row r="92" spans="2:6" x14ac:dyDescent="0.3">
      <c r="B92" s="182" t="s">
        <v>1146</v>
      </c>
      <c r="C92" s="420"/>
      <c r="D92" s="420"/>
      <c r="E92" s="193">
        <f>SUM(E87:E91)</f>
        <v>0</v>
      </c>
      <c r="F92" s="194">
        <f>SUM(F87:F91)</f>
        <v>0</v>
      </c>
    </row>
    <row r="93" spans="2:6" x14ac:dyDescent="0.3">
      <c r="B93" s="180" t="s">
        <v>1126</v>
      </c>
      <c r="C93" s="192" t="s">
        <v>1131</v>
      </c>
      <c r="D93" s="192" t="str">
        <f>IF($C$4="Todos","Semana 1",TEXT(DATE($C$4,12,1),"dd/mm")&amp;" - "&amp;TEXT((DATE($C$4,12,1)+MOD(7-WEEKDAY(DATE($C$4,12,1),2),7)),"dd/mm"))</f>
        <v>01/12 - 06/12</v>
      </c>
      <c r="E93" s="186" cm="1">
        <f t="array" ref="E93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OPERACAO'!$H$2:$H$632),12,1),2)-2)/7)+1)=1),0))</f>
        <v>0</v>
      </c>
      <c r="F93" s="187" cm="1">
        <f t="array" ref="F93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OPERACAO'!$H$2:$H$632),12,1),2)-2)/7)+1)=1)*('GESTAO OPERACAO'!$P$2:$P$632*1),0))</f>
        <v>0</v>
      </c>
    </row>
    <row r="94" spans="2:6" x14ac:dyDescent="0.3">
      <c r="B94" s="180" t="s">
        <v>1126</v>
      </c>
      <c r="C94" s="192" t="s">
        <v>1132</v>
      </c>
      <c r="D94" s="192" t="str">
        <f>IF($C$4="Todos","Semana 2",IF(((DATE($C$4,12,1)+MOD(7-WEEKDAY(DATE($C$4,12,1),2),7)+1)+0)&gt;EOMONTH(DATE($C$4,12,1),0),"-",TEXT(((DATE($C$4,12,1)+MOD(7-WEEKDAY(DATE($C$4,12,1),2),7)+1)+0),"dd/mm")&amp;" - "&amp;TEXT(MIN(((DATE($C$4,12,1)+MOD(7-WEEKDAY(DATE($C$4,12,1),2),7)+1)+0)+6,EOMONTH(DATE($C$4,12,1),0)),"dd/mm")))</f>
        <v>07/12 - 13/12</v>
      </c>
      <c r="E94" s="186" cm="1">
        <f t="array" ref="E94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OPERACAO'!$H$2:$H$632),12,1),2)-2)/7)+1)=2),0))</f>
        <v>0</v>
      </c>
      <c r="F94" s="187" cm="1">
        <f t="array" ref="F94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OPERACAO'!$H$2:$H$632),12,1),2)-2)/7)+1)=2)*('GESTAO OPERACAO'!$P$2:$P$632*1),0))</f>
        <v>0</v>
      </c>
    </row>
    <row r="95" spans="2:6" x14ac:dyDescent="0.3">
      <c r="B95" s="180" t="s">
        <v>1126</v>
      </c>
      <c r="C95" s="192" t="s">
        <v>1133</v>
      </c>
      <c r="D95" s="192" t="str">
        <f>IF($C$4="Todos","Semana 3",IF(((DATE($C$4,12,1)+MOD(7-WEEKDAY(DATE($C$4,12,1),2),7)+1)+7)&gt;EOMONTH(DATE($C$4,12,1),0),"-",TEXT(((DATE($C$4,12,1)+MOD(7-WEEKDAY(DATE($C$4,12,1),2),7)+1)+7),"dd/mm")&amp;" - "&amp;TEXT(MIN(((DATE($C$4,12,1)+MOD(7-WEEKDAY(DATE($C$4,12,1),2),7)+1)+7)+6,EOMONTH(DATE($C$4,12,1),0)),"dd/mm")))</f>
        <v>14/12 - 20/12</v>
      </c>
      <c r="E95" s="186" cm="1">
        <f t="array" ref="E95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OPERACAO'!$H$2:$H$632),12,1),2)-2)/7)+1)=3),0))</f>
        <v>0</v>
      </c>
      <c r="F95" s="187" cm="1">
        <f t="array" ref="F95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OPERACAO'!$H$2:$H$632),12,1),2)-2)/7)+1)=3)*('GESTAO OPERACAO'!$P$2:$P$632*1),0))</f>
        <v>0</v>
      </c>
    </row>
    <row r="96" spans="2:6" x14ac:dyDescent="0.3">
      <c r="B96" s="180" t="s">
        <v>1126</v>
      </c>
      <c r="C96" s="192" t="s">
        <v>1134</v>
      </c>
      <c r="D96" s="192" t="str">
        <f>IF($C$4="Todos","Semana 4",IF(((DATE($C$4,12,1)+MOD(7-WEEKDAY(DATE($C$4,12,1),2),7)+1)+14)&gt;EOMONTH(DATE($C$4,12,1),0),"-",TEXT(((DATE($C$4,12,1)+MOD(7-WEEKDAY(DATE($C$4,12,1),2),7)+1)+14),"dd/mm")&amp;" - "&amp;TEXT(MIN(((DATE($C$4,12,1)+MOD(7-WEEKDAY(DATE($C$4,12,1),2),7)+1)+14)+6,EOMONTH(DATE($C$4,12,1),0)),"dd/mm")))</f>
        <v>21/12 - 27/12</v>
      </c>
      <c r="E96" s="186" cm="1">
        <f t="array" ref="E96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OPERACAO'!$H$2:$H$632),12,1),2)-2)/7)+1)=4),0))</f>
        <v>0</v>
      </c>
      <c r="F96" s="187" cm="1">
        <f t="array" ref="F96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OPERACAO'!$H$2:$H$632),12,1),2)-2)/7)+1)=4)*('GESTAO OPERACAO'!$P$2:$P$632*1),0))</f>
        <v>0</v>
      </c>
    </row>
    <row r="97" spans="1:6" x14ac:dyDescent="0.3">
      <c r="B97" s="180" t="s">
        <v>1126</v>
      </c>
      <c r="C97" s="192" t="s">
        <v>1135</v>
      </c>
      <c r="D97" s="192" t="str">
        <f>IF($C$4="Todos","Semana 5+",IF(((DATE($C$4,12,1)+MOD(7-WEEKDAY(DATE($C$4,12,1),2),7)+1)+21)&gt;EOMONTH(DATE($C$4,12,1),0),"-",TEXT(((DATE($C$4,12,1)+MOD(7-WEEKDAY(DATE($C$4,12,1),2),7)+1)+21),"dd/mm")&amp;" - "&amp;TEXT(EOMONTH(DATE($C$4,12,1),0),"dd/mm")))</f>
        <v>28/12 - 31/12</v>
      </c>
      <c r="E97" s="186" cm="1">
        <f t="array" ref="E97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OPERACAO'!$H$2:$H$632),12,1),2)-2)/7)+1)&gt;=5),0))</f>
        <v>0</v>
      </c>
      <c r="F97" s="187" cm="1">
        <f t="array" ref="F97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OPERACAO'!$H$2:$H$632),12,1),2)-2)/7)+1)&gt;=5)*('GESTAO OPERACAO'!$P$2:$P$632*1),0))</f>
        <v>0</v>
      </c>
    </row>
    <row r="98" spans="1:6" x14ac:dyDescent="0.3">
      <c r="B98" s="182" t="s">
        <v>1147</v>
      </c>
      <c r="C98" s="420"/>
      <c r="D98" s="420"/>
      <c r="E98" s="193">
        <f>SUM(E93:E97)</f>
        <v>0</v>
      </c>
      <c r="F98" s="194">
        <f>SUM(F93:F97)</f>
        <v>0</v>
      </c>
    </row>
    <row r="99" spans="1:6" x14ac:dyDescent="0.3">
      <c r="B99" s="188" t="s">
        <v>1127</v>
      </c>
      <c r="C99" s="433"/>
      <c r="D99" s="433"/>
      <c r="E99" s="189">
        <f>SUM(E32,E38,E44,E50,E56,E62,E68,E74,E80,E86,E92,E98)</f>
        <v>426</v>
      </c>
      <c r="F99" s="390">
        <f>SUM(F32,F38,F44,F50,F56,F62,F68,F74,F80,F86,F92,F98)</f>
        <v>15225526.7589</v>
      </c>
    </row>
    <row r="100" spans="1:6" s="203" customFormat="1" x14ac:dyDescent="0.3">
      <c r="B100" s="204"/>
      <c r="C100" s="205"/>
      <c r="D100" s="205"/>
      <c r="E100" s="206"/>
      <c r="F100" s="207"/>
    </row>
    <row r="101" spans="1:6" ht="15.6" x14ac:dyDescent="0.3">
      <c r="B101" s="424" t="s">
        <v>1148</v>
      </c>
      <c r="C101" s="425"/>
      <c r="D101" s="425"/>
      <c r="E101" s="426"/>
    </row>
    <row r="102" spans="1:6" x14ac:dyDescent="0.3">
      <c r="A102" s="198"/>
      <c r="B102" s="185" t="s">
        <v>1149</v>
      </c>
      <c r="C102" s="185" t="s">
        <v>1112</v>
      </c>
      <c r="D102" s="185" t="s">
        <v>1113</v>
      </c>
      <c r="E102" s="185" t="s">
        <v>1150</v>
      </c>
      <c r="F102" s="199"/>
    </row>
    <row r="103" spans="1:6" x14ac:dyDescent="0.3">
      <c r="A103" s="198"/>
      <c r="B103" s="202" t="e" cm="1" vm="1">
        <f t="array" aca="1" ref="B103" ca="1">IFERROR(_xlfn._xlws.SORT(_xlfn.UNIQUE(_xlfn._xlws.FILTER('GESTAO OPERACAO'!B2:B632,('GESTAO OPERACAO'!B2:B632&lt;&gt;"")*(($C$4="Todos")+(YEAR('GESTAO OPERACAO'!H2:H632)=$C$4)&gt;0)*(($E$4="Todos")+(MONTH('GESTAO OPERACAO'!H2:H632)=IFERROR(MATCH($E$4,{"Janeiro";"Fevereiro";"Março";"Abril";"Maio";"Junho";"Julho";"Agosto";"Setembro";"Outubro";"Novembro";"Dezembro"},0),0))&gt;0)))),"")</f>
        <v>#VALUE!</v>
      </c>
      <c r="C103" s="186" t="e" cm="1" vm="2">
        <f t="array" aca="1" ref="C103" ca="1">IF(OR(B103="",ISERROR(B103)),"",SUMPRODUCT(('GESTAO OPERACAO'!$B$2:$B$632=B103)*(($C$4="Todos")+(YEAR('GESTAO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#VALUE!</v>
      </c>
      <c r="D103" s="201" t="e" cm="1" vm="2">
        <f t="array" aca="1" ref="D103" ca="1">IF(OR(B103="",ISERROR(B103)),"",SUMPRODUCT(('GESTAO OPERACAO'!$B$2:$B$632=B103)*(($C$4="Todos")+(YEAR('GESTAO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#VALUE!</v>
      </c>
      <c r="E103" s="196" t="str">
        <f t="shared" ref="E103:E112" ca="1" si="1">IFERROR(C103/$C$7,"")</f>
        <v/>
      </c>
      <c r="F103" s="199"/>
    </row>
    <row r="104" spans="1:6" x14ac:dyDescent="0.3">
      <c r="A104" s="198"/>
      <c r="B104" s="202"/>
      <c r="C104" s="186" t="str" cm="1">
        <f t="array" ref="C104">IF(OR(B104="",ISERROR(B104)),"",SUMPRODUCT(('GESTAO OPERACAO'!$B$2:$B$632=B104)*(($C$4="Todos")+(YEAR('GESTAO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4" s="201" t="str" cm="1">
        <f t="array" ref="D104">IF(OR(B104="",ISERROR(B104)),"",SUMPRODUCT(('GESTAO OPERACAO'!$B$2:$B$632=B104)*(($C$4="Todos")+(YEAR('GESTAO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4" s="196" t="str">
        <f t="shared" si="1"/>
        <v/>
      </c>
      <c r="F104" s="199"/>
    </row>
    <row r="105" spans="1:6" x14ac:dyDescent="0.3">
      <c r="A105" s="198"/>
      <c r="B105" s="202"/>
      <c r="C105" s="186" t="str" cm="1">
        <f t="array" ref="C105">IF(OR(B105="",ISERROR(B105)),"",SUMPRODUCT(('GESTAO OPERACAO'!$B$2:$B$632=B105)*(($C$4="Todos")+(YEAR('GESTAO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5" s="201" t="str" cm="1">
        <f t="array" ref="D105">IF(OR(B105="",ISERROR(B105)),"",SUMPRODUCT(('GESTAO OPERACAO'!$B$2:$B$632=B105)*(($C$4="Todos")+(YEAR('GESTAO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5" s="196" t="str">
        <f t="shared" si="1"/>
        <v/>
      </c>
      <c r="F105" s="199"/>
    </row>
    <row r="106" spans="1:6" x14ac:dyDescent="0.3">
      <c r="A106" s="198"/>
      <c r="B106" s="202"/>
      <c r="C106" s="186" t="str" cm="1">
        <f t="array" ref="C106">IF(OR(B106="",ISERROR(B106)),"",SUMPRODUCT(('GESTAO OPERACAO'!$B$2:$B$632=B106)*(($C$4="Todos")+(YEAR('GESTAO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6" s="201" t="str" cm="1">
        <f t="array" ref="D106">IF(OR(B106="",ISERROR(B106)),"",SUMPRODUCT(('GESTAO OPERACAO'!$B$2:$B$632=B106)*(($C$4="Todos")+(YEAR('GESTAO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6" s="196" t="str">
        <f t="shared" si="1"/>
        <v/>
      </c>
      <c r="F106" s="199"/>
    </row>
    <row r="107" spans="1:6" x14ac:dyDescent="0.3">
      <c r="A107" s="198"/>
      <c r="B107" s="202"/>
      <c r="C107" s="186" t="str" cm="1">
        <f t="array" ref="C107">IF(OR(B107="",ISERROR(B107)),"",SUMPRODUCT(('GESTAO OPERACAO'!$B$2:$B$632=B107)*(($C$4="Todos")+(YEAR('GESTAO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7" s="201" t="str" cm="1">
        <f t="array" ref="D107">IF(OR(B107="",ISERROR(B107)),"",SUMPRODUCT(('GESTAO OPERACAO'!$B$2:$B$632=B107)*(($C$4="Todos")+(YEAR('GESTAO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7" s="196" t="str">
        <f t="shared" si="1"/>
        <v/>
      </c>
      <c r="F107" s="199"/>
    </row>
    <row r="108" spans="1:6" x14ac:dyDescent="0.3">
      <c r="A108" s="198"/>
      <c r="B108" s="202"/>
      <c r="C108" s="186" t="str" cm="1">
        <f t="array" ref="C108">IF(OR(B108="",ISERROR(B108)),"",SUMPRODUCT(('GESTAO OPERACAO'!$B$2:$B$632=B108)*(($C$4="Todos")+(YEAR('GESTAO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8" s="201" t="str" cm="1">
        <f t="array" ref="D108">IF(OR(B108="",ISERROR(B108)),"",SUMPRODUCT(('GESTAO OPERACAO'!$B$2:$B$632=B108)*(($C$4="Todos")+(YEAR('GESTAO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8" s="196" t="str">
        <f t="shared" si="1"/>
        <v/>
      </c>
      <c r="F108" s="199"/>
    </row>
    <row r="109" spans="1:6" x14ac:dyDescent="0.3">
      <c r="A109" s="198"/>
      <c r="B109" s="202"/>
      <c r="C109" s="186" t="str" cm="1">
        <f t="array" ref="C109">IF(OR(B109="",ISERROR(B109)),"",SUMPRODUCT(('GESTAO OPERACAO'!$B$2:$B$632=B109)*(($C$4="Todos")+(YEAR('GESTAO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9" s="201" t="str" cm="1">
        <f t="array" ref="D109">IF(OR(B109="",ISERROR(B109)),"",SUMPRODUCT(('GESTAO OPERACAO'!$B$2:$B$632=B109)*(($C$4="Todos")+(YEAR('GESTAO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9" s="196" t="str">
        <f t="shared" si="1"/>
        <v/>
      </c>
      <c r="F109" s="199"/>
    </row>
    <row r="110" spans="1:6" x14ac:dyDescent="0.3">
      <c r="A110" s="198"/>
      <c r="B110" s="202"/>
      <c r="C110" s="186" t="str" cm="1">
        <f t="array" ref="C110">IF(OR(B110="",ISERROR(B110)),"",SUMPRODUCT(('GESTAO OPERACAO'!$B$2:$B$632=B110)*(($C$4="Todos")+(YEAR('GESTAO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0" s="201" t="str" cm="1">
        <f t="array" ref="D110">IF(OR(B110="",ISERROR(B110)),"",SUMPRODUCT(('GESTAO OPERACAO'!$B$2:$B$632=B110)*(($C$4="Todos")+(YEAR('GESTAO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0" s="196" t="str">
        <f t="shared" si="1"/>
        <v/>
      </c>
      <c r="F110" s="199"/>
    </row>
    <row r="111" spans="1:6" x14ac:dyDescent="0.3">
      <c r="A111" s="198"/>
      <c r="B111" s="202"/>
      <c r="C111" s="186" t="str" cm="1">
        <f t="array" ref="C111">IF(OR(B111="",ISERROR(B111)),"",SUMPRODUCT(('GESTAO OPERACAO'!$B$2:$B$632=B111)*(($C$4="Todos")+(YEAR('GESTAO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1" s="201" t="str" cm="1">
        <f t="array" ref="D111">IF(OR(B111="",ISERROR(B111)),"",SUMPRODUCT(('GESTAO OPERACAO'!$B$2:$B$632=B111)*(($C$4="Todos")+(YEAR('GESTAO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1" s="196" t="str">
        <f>IFERROR(C111/$C$7,"")</f>
        <v/>
      </c>
      <c r="F111" s="199"/>
    </row>
    <row r="112" spans="1:6" x14ac:dyDescent="0.3">
      <c r="A112" s="198"/>
      <c r="B112" s="188" t="s">
        <v>1127</v>
      </c>
      <c r="C112" s="189" t="e" vm="2">
        <f ca="1">SUM(C103:C111)</f>
        <v>#VALUE!</v>
      </c>
      <c r="D112" s="190" t="e" vm="2">
        <f ca="1">SUM(D103:D111)</f>
        <v>#VALUE!</v>
      </c>
      <c r="E112" s="197" t="str">
        <f t="shared" ca="1" si="1"/>
        <v/>
      </c>
      <c r="F112" s="199"/>
    </row>
    <row r="113" spans="1:6" s="203" customFormat="1" x14ac:dyDescent="0.3">
      <c r="A113" s="208"/>
      <c r="B113" s="204"/>
      <c r="C113" s="209"/>
      <c r="D113" s="210"/>
      <c r="E113" s="211"/>
      <c r="F113" s="212"/>
    </row>
    <row r="114" spans="1:6" ht="15.6" x14ac:dyDescent="0.3">
      <c r="B114" s="424" t="s">
        <v>1151</v>
      </c>
      <c r="C114" s="425"/>
      <c r="D114" s="425"/>
      <c r="E114" s="426"/>
    </row>
    <row r="115" spans="1:6" x14ac:dyDescent="0.3">
      <c r="A115" s="198"/>
      <c r="B115" s="185" t="s">
        <v>1152</v>
      </c>
      <c r="C115" s="185" t="s">
        <v>1112</v>
      </c>
      <c r="D115" s="185" t="s">
        <v>1113</v>
      </c>
      <c r="E115" s="185" t="s">
        <v>1150</v>
      </c>
      <c r="F115" s="199"/>
    </row>
    <row r="116" spans="1:6" x14ac:dyDescent="0.3">
      <c r="A116" s="198"/>
      <c r="B116" s="180" t="e" cm="1" vm="3">
        <f t="array" aca="1" ref="B116" ca="1">IFERROR(_xlfn._xlws.SORT(_xlfn.UNIQUE(_xlfn._xlws.FILTER('GESTAO OPERACAO'!M2:M632,('GESTAO OPERACAO'!M2:M632&lt;&gt;"")*(($C$4="Todos")+(YEAR('GESTAO OPERACAO'!H2:H632)=$C$4)&gt;0)*(($E$4="Todos")+(MONTH('GESTAO OPERACAO'!H2:H632)=IFERROR(MATCH($E$4,{"Janeiro";"Fevereiro";"Março";"Abril";"Maio";"Junho";"Julho";"Agosto";"Setembro";"Outubro";"Novembro";"Dezembro"},0),0))&gt;0)))),"")</f>
        <v>#VALUE!</v>
      </c>
      <c r="C116" s="186" t="e" cm="1" vm="2">
        <f t="array" aca="1" ref="C116" ca="1">IF(OR(B116="",ISERROR(B116)),"",SUMPRODUCT(('GESTAO OPERACAO'!$M$2:$M$632=B116)*(($C$4="Todos")+(YEAR('GESTAO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#VALUE!</v>
      </c>
      <c r="D116" s="187" t="e" cm="1" vm="2">
        <f t="array" aca="1" ref="D116" ca="1">IF(OR(B116="",ISERROR(B116)),"",SUMPRODUCT(('GESTAO OPERACAO'!$M$2:$M$632=B116)*(($C$4="Todos")+(YEAR('GESTAO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#VALUE!</v>
      </c>
      <c r="E116" s="196" t="str">
        <f t="shared" ref="E116:E135" ca="1" si="2">IFERROR(C116/$C$7,"")</f>
        <v/>
      </c>
      <c r="F116" s="199"/>
    </row>
    <row r="117" spans="1:6" x14ac:dyDescent="0.3">
      <c r="A117" s="198"/>
      <c r="C117" s="186" t="str" cm="1">
        <f t="array" ref="C117">IF(OR(B117="",ISERROR(B117)),"",SUMPRODUCT(('GESTAO OPERACAO'!$M$2:$M$632=B117)*(($C$4="Todos")+(YEAR('GESTAO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7" s="187" t="str" cm="1">
        <f t="array" ref="D117">IF(OR(B117="",ISERROR(B117)),"",SUMPRODUCT(('GESTAO OPERACAO'!$M$2:$M$632=B117)*(($C$4="Todos")+(YEAR('GESTAO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7" s="196" t="str">
        <f t="shared" si="2"/>
        <v/>
      </c>
      <c r="F117" s="199"/>
    </row>
    <row r="118" spans="1:6" x14ac:dyDescent="0.3">
      <c r="A118" s="198"/>
      <c r="C118" s="186" t="str" cm="1">
        <f t="array" ref="C118">IF(OR(B118="",ISERROR(B118)),"",SUMPRODUCT(('GESTAO OPERACAO'!$M$2:$M$632=B118)*(($C$4="Todos")+(YEAR('GESTAO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8" s="187" t="str" cm="1">
        <f t="array" ref="D118">IF(OR(B118="",ISERROR(B118)),"",SUMPRODUCT(('GESTAO OPERACAO'!$M$2:$M$632=B118)*(($C$4="Todos")+(YEAR('GESTAO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8" s="196" t="str">
        <f t="shared" si="2"/>
        <v/>
      </c>
      <c r="F118" s="199"/>
    </row>
    <row r="119" spans="1:6" x14ac:dyDescent="0.3">
      <c r="A119" s="198"/>
      <c r="C119" s="186" t="str" cm="1">
        <f t="array" ref="C119">IF(OR(B119="",ISERROR(B119)),"",SUMPRODUCT(('GESTAO OPERACAO'!$M$2:$M$632=B119)*(($C$4="Todos")+(YEAR('GESTAO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9" s="187" t="str" cm="1">
        <f t="array" ref="D119">IF(OR(B119="",ISERROR(B119)),"",SUMPRODUCT(('GESTAO OPERACAO'!$M$2:$M$632=B119)*(($C$4="Todos")+(YEAR('GESTAO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9" s="196" t="str">
        <f t="shared" si="2"/>
        <v/>
      </c>
      <c r="F119" s="199"/>
    </row>
    <row r="120" spans="1:6" x14ac:dyDescent="0.3">
      <c r="A120" s="198"/>
      <c r="C120" s="186" t="str" cm="1">
        <f t="array" ref="C120">IF(OR(B120="",ISERROR(B120)),"",SUMPRODUCT(('GESTAO OPERACAO'!$M$2:$M$632=B120)*(($C$4="Todos")+(YEAR('GESTAO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0" s="187" t="str" cm="1">
        <f t="array" ref="D120">IF(OR(B120="",ISERROR(B120)),"",SUMPRODUCT(('GESTAO OPERACAO'!$M$2:$M$632=B120)*(($C$4="Todos")+(YEAR('GESTAO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0" s="196" t="str">
        <f t="shared" si="2"/>
        <v/>
      </c>
      <c r="F120" s="199"/>
    </row>
    <row r="121" spans="1:6" x14ac:dyDescent="0.3">
      <c r="A121" s="198"/>
      <c r="C121" s="186" t="str" cm="1">
        <f t="array" ref="C121">IF(OR(B121="",ISERROR(B121)),"",SUMPRODUCT(('GESTAO OPERACAO'!$M$2:$M$632=B121)*(($C$4="Todos")+(YEAR('GESTAO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1" s="187" t="str" cm="1">
        <f t="array" ref="D121">IF(OR(B121="",ISERROR(B121)),"",SUMPRODUCT(('GESTAO OPERACAO'!$M$2:$M$632=B121)*(($C$4="Todos")+(YEAR('GESTAO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1" s="196" t="str">
        <f t="shared" si="2"/>
        <v/>
      </c>
      <c r="F121" s="199"/>
    </row>
    <row r="122" spans="1:6" x14ac:dyDescent="0.3">
      <c r="A122" s="198"/>
      <c r="C122" s="186" t="str" cm="1">
        <f t="array" ref="C122">IF(OR(B122="",ISERROR(B122)),"",SUMPRODUCT(('GESTAO OPERACAO'!$M$2:$M$632=B122)*(($C$4="Todos")+(YEAR('GESTAO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2" s="187" t="str" cm="1">
        <f t="array" ref="D122">IF(OR(B122="",ISERROR(B122)),"",SUMPRODUCT(('GESTAO OPERACAO'!$M$2:$M$632=B122)*(($C$4="Todos")+(YEAR('GESTAO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2" s="196" t="str">
        <f t="shared" si="2"/>
        <v/>
      </c>
      <c r="F122" s="199"/>
    </row>
    <row r="123" spans="1:6" x14ac:dyDescent="0.3">
      <c r="A123" s="198"/>
      <c r="C123" s="186" t="str" cm="1">
        <f t="array" ref="C123">IF(OR(B123="",ISERROR(B123)),"",SUMPRODUCT(('GESTAO OPERACAO'!$M$2:$M$632=B123)*(($C$4="Todos")+(YEAR('GESTAO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3" s="187" t="str" cm="1">
        <f t="array" ref="D123">IF(OR(B123="",ISERROR(B123)),"",SUMPRODUCT(('GESTAO OPERACAO'!$M$2:$M$632=B123)*(($C$4="Todos")+(YEAR('GESTAO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3" s="196" t="str">
        <f t="shared" si="2"/>
        <v/>
      </c>
      <c r="F123" s="199"/>
    </row>
    <row r="124" spans="1:6" x14ac:dyDescent="0.3">
      <c r="A124" s="198"/>
      <c r="C124" s="186" t="str" cm="1">
        <f t="array" ref="C124">IF(OR(B124="",ISERROR(B124)),"",SUMPRODUCT(('GESTAO OPERACAO'!$M$2:$M$632=B124)*(($C$4="Todos")+(YEAR('GESTAO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4" s="187" t="str" cm="1">
        <f t="array" ref="D124">IF(OR(B124="",ISERROR(B124)),"",SUMPRODUCT(('GESTAO OPERACAO'!$M$2:$M$632=B124)*(($C$4="Todos")+(YEAR('GESTAO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4" s="196" t="str">
        <f t="shared" si="2"/>
        <v/>
      </c>
      <c r="F124" s="199"/>
    </row>
    <row r="125" spans="1:6" x14ac:dyDescent="0.3">
      <c r="A125" s="198"/>
      <c r="C125" s="186" t="str" cm="1">
        <f t="array" ref="C125">IF(OR(B125="",ISERROR(B125)),"",SUMPRODUCT(('GESTAO OPERACAO'!$M$2:$M$632=B125)*(($C$4="Todos")+(YEAR('GESTAO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5" s="187" t="str" cm="1">
        <f t="array" ref="D125">IF(OR(B125="",ISERROR(B125)),"",SUMPRODUCT(('GESTAO OPERACAO'!$M$2:$M$632=B125)*(($C$4="Todos")+(YEAR('GESTAO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5" s="196" t="str">
        <f t="shared" si="2"/>
        <v/>
      </c>
      <c r="F125" s="199"/>
    </row>
    <row r="126" spans="1:6" x14ac:dyDescent="0.3">
      <c r="A126" s="198"/>
      <c r="C126" s="186" t="str" cm="1">
        <f t="array" ref="C126">IF(OR(B126="",ISERROR(B126)),"",SUMPRODUCT(('GESTAO OPERACAO'!$M$2:$M$632=B126)*(($C$4="Todos")+(YEAR('GESTAO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6" s="187" t="str" cm="1">
        <f t="array" ref="D126">IF(OR(B126="",ISERROR(B126)),"",SUMPRODUCT(('GESTAO OPERACAO'!$M$2:$M$632=B126)*(($C$4="Todos")+(YEAR('GESTAO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6" s="196" t="str">
        <f t="shared" si="2"/>
        <v/>
      </c>
      <c r="F126" s="199"/>
    </row>
    <row r="127" spans="1:6" x14ac:dyDescent="0.3">
      <c r="A127" s="198"/>
      <c r="C127" s="186" t="str" cm="1">
        <f t="array" ref="C127">IF(OR(B127="",ISERROR(B127)),"",SUMPRODUCT(('GESTAO OPERACAO'!$M$2:$M$632=B127)*(($C$4="Todos")+(YEAR('GESTAO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7" s="187" t="str" cm="1">
        <f t="array" ref="D127">IF(OR(B127="",ISERROR(B127)),"",SUMPRODUCT(('GESTAO OPERACAO'!$M$2:$M$632=B127)*(($C$4="Todos")+(YEAR('GESTAO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7" s="196" t="str">
        <f t="shared" si="2"/>
        <v/>
      </c>
      <c r="F127" s="199"/>
    </row>
    <row r="128" spans="1:6" x14ac:dyDescent="0.3">
      <c r="A128" s="198"/>
      <c r="C128" s="186" t="str" cm="1">
        <f t="array" ref="C128">IF(OR(B128="",ISERROR(B128)),"",SUMPRODUCT(('GESTAO OPERACAO'!$M$2:$M$632=B128)*(($C$4="Todos")+(YEAR('GESTAO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8" s="187" t="str" cm="1">
        <f t="array" ref="D128">IF(OR(B128="",ISERROR(B128)),"",SUMPRODUCT(('GESTAO OPERACAO'!$M$2:$M$632=B128)*(($C$4="Todos")+(YEAR('GESTAO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8" s="196" t="str">
        <f t="shared" si="2"/>
        <v/>
      </c>
      <c r="F128" s="199"/>
    </row>
    <row r="129" spans="1:6" x14ac:dyDescent="0.3">
      <c r="A129" s="198"/>
      <c r="C129" s="186" t="str" cm="1">
        <f t="array" ref="C129">IF(OR(B129="",ISERROR(B129)),"",SUMPRODUCT(('GESTAO OPERACAO'!$M$2:$M$632=B129)*(($C$4="Todos")+(YEAR('GESTAO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9" s="187" t="str" cm="1">
        <f t="array" ref="D129">IF(OR(B129="",ISERROR(B129)),"",SUMPRODUCT(('GESTAO OPERACAO'!$M$2:$M$632=B129)*(($C$4="Todos")+(YEAR('GESTAO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9" s="196" t="str">
        <f t="shared" si="2"/>
        <v/>
      </c>
      <c r="F129" s="199"/>
    </row>
    <row r="130" spans="1:6" x14ac:dyDescent="0.3">
      <c r="A130" s="198"/>
      <c r="C130" s="186" t="str" cm="1">
        <f t="array" ref="C130">IF(OR(B130="",ISERROR(B130)),"",SUMPRODUCT(('GESTAO OPERACAO'!$M$2:$M$632=B130)*(($C$4="Todos")+(YEAR('GESTAO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0" s="187" t="str" cm="1">
        <f t="array" ref="D130">IF(OR(B130="",ISERROR(B130)),"",SUMPRODUCT(('GESTAO OPERACAO'!$M$2:$M$632=B130)*(($C$4="Todos")+(YEAR('GESTAO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0" s="196" t="str">
        <f t="shared" si="2"/>
        <v/>
      </c>
      <c r="F130" s="199"/>
    </row>
    <row r="131" spans="1:6" x14ac:dyDescent="0.3">
      <c r="A131" s="198"/>
      <c r="C131" s="186" t="str" cm="1">
        <f t="array" ref="C131">IF(OR(B131="",ISERROR(B131)),"",SUMPRODUCT(('GESTAO OPERACAO'!$M$2:$M$632=B131)*(($C$4="Todos")+(YEAR('GESTAO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1" s="187" t="str" cm="1">
        <f t="array" ref="D131">IF(OR(B131="",ISERROR(B131)),"",SUMPRODUCT(('GESTAO OPERACAO'!$M$2:$M$632=B131)*(($C$4="Todos")+(YEAR('GESTAO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1" s="196" t="str">
        <f t="shared" si="2"/>
        <v/>
      </c>
      <c r="F131" s="199"/>
    </row>
    <row r="132" spans="1:6" x14ac:dyDescent="0.3">
      <c r="A132" s="198"/>
      <c r="C132" s="186" t="str" cm="1">
        <f t="array" ref="C132">IF(OR(B132="",ISERROR(B132)),"",SUMPRODUCT(('GESTAO OPERACAO'!$M$2:$M$632=B132)*(($C$4="Todos")+(YEAR('GESTAO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2" s="187" t="str" cm="1">
        <f t="array" ref="D132">IF(OR(B132="",ISERROR(B132)),"",SUMPRODUCT(('GESTAO OPERACAO'!$M$2:$M$632=B132)*(($C$4="Todos")+(YEAR('GESTAO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2" s="196" t="str">
        <f t="shared" si="2"/>
        <v/>
      </c>
      <c r="F132" s="199"/>
    </row>
    <row r="133" spans="1:6" x14ac:dyDescent="0.3">
      <c r="A133" s="198"/>
      <c r="C133" s="186" t="str" cm="1">
        <f t="array" ref="C133">IF(OR(B133="",ISERROR(B133)),"",SUMPRODUCT(('GESTAO OPERACAO'!$M$2:$M$632=B133)*(($C$4="Todos")+(YEAR('GESTAO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3" s="187" t="str" cm="1">
        <f t="array" ref="D133">IF(OR(B133="",ISERROR(B133)),"",SUMPRODUCT(('GESTAO OPERACAO'!$M$2:$M$632=B133)*(($C$4="Todos")+(YEAR('GESTAO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3" s="196" t="str">
        <f t="shared" si="2"/>
        <v/>
      </c>
      <c r="F133" s="199"/>
    </row>
    <row r="134" spans="1:6" x14ac:dyDescent="0.3">
      <c r="A134" s="198"/>
      <c r="C134" s="186" t="str" cm="1">
        <f t="array" ref="C134">IF(OR(B134="",ISERROR(B134)),"",SUMPRODUCT(('GESTAO OPERACAO'!$M$2:$M$632=B134)*(($C$4="Todos")+(YEAR('GESTAO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4" s="187" t="str" cm="1">
        <f t="array" ref="D134">IF(OR(B134="",ISERROR(B134)),"",SUMPRODUCT(('GESTAO OPERACAO'!$M$2:$M$632=B134)*(($C$4="Todos")+(YEAR('GESTAO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4" s="196" t="str">
        <f t="shared" si="2"/>
        <v/>
      </c>
      <c r="F134" s="199"/>
    </row>
    <row r="135" spans="1:6" x14ac:dyDescent="0.3">
      <c r="A135" s="198"/>
      <c r="B135" s="188" t="s">
        <v>1127</v>
      </c>
      <c r="C135" s="189" t="e" vm="2">
        <f ca="1">SUM(C116:C134)</f>
        <v>#VALUE!</v>
      </c>
      <c r="D135" s="190" t="e" vm="2">
        <f ca="1">SUM(D116:D134)</f>
        <v>#VALUE!</v>
      </c>
      <c r="E135" s="197" t="str">
        <f t="shared" ca="1" si="2"/>
        <v/>
      </c>
      <c r="F135" s="199"/>
    </row>
    <row r="136" spans="1:6" x14ac:dyDescent="0.3">
      <c r="B136" s="200"/>
      <c r="C136" s="200"/>
      <c r="D136" s="200"/>
      <c r="E136" s="200"/>
    </row>
    <row r="137" spans="1:6" ht="15.6" x14ac:dyDescent="0.3">
      <c r="B137" s="424" t="s">
        <v>1153</v>
      </c>
      <c r="C137" s="425"/>
      <c r="D137" s="425"/>
      <c r="E137" s="426"/>
    </row>
    <row r="138" spans="1:6" x14ac:dyDescent="0.3">
      <c r="A138" s="198"/>
      <c r="B138" s="185" t="s">
        <v>1154</v>
      </c>
      <c r="C138" s="185" t="s">
        <v>1112</v>
      </c>
      <c r="D138" s="185" t="s">
        <v>1113</v>
      </c>
      <c r="E138" s="185" t="s">
        <v>1150</v>
      </c>
      <c r="F138" s="199"/>
    </row>
    <row r="139" spans="1:6" x14ac:dyDescent="0.3">
      <c r="A139" s="198"/>
      <c r="B139" s="180" t="str" cm="1">
        <f t="array" ref="B139:B145">IFERROR(_xlfn.TAKE(_xlfn._xlws.SORT(_xlfn.UNIQUE(_xlfn._xlws.FILTER('GESTAO OPERACAO'!L2:L632,('GESTAO OPERACAO'!L2:L632&lt;&gt;"")*(($C$4="Todos")+(YEAR('GESTAO OPERACAO'!H2:H632)=$C$4)&gt;0)*(($E$4="Todos")+(MONTH('GESTAO OPERACAO'!H2:H632)=IFERROR(MATCH($E$4,{"Janeiro";"Fevereiro";"Março";"Abril";"Maio";"Junho";"Julho";"Agosto";"Setembro";"Outubro";"Novembro";"Dezembro"},0),0))&gt;0)))),7),"")</f>
        <v>ARGENTINA</v>
      </c>
      <c r="C139" s="186" cm="1">
        <f t="array" ref="C139:C145">IF(_xlfn.ANCHORARRAY(B139)="","",_xlfn.MAP(_xlfn.ANCHORARRAY(B139),_xlfn.LAMBDA(_xlpm.p,SUMPRODUCT(('GESTAO OPERACAO'!$L$2:$L$632=_xlpm.p)*(($C$4="Todos")+(YEAR('GESTAO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OPERACAO'!$H$2:$H$632&gt;0)))))</f>
        <v>17</v>
      </c>
      <c r="D139" s="187" cm="1">
        <f t="array" ref="D139:D145">IF(_xlfn.ANCHORARRAY(B139)="","",_xlfn.MAP(_xlfn.ANCHORARRAY(B139),_xlfn.LAMBDA(_xlpm.p,SUMPRODUCT(('GESTAO OPERACAO'!$L$2:$L$632=_xlpm.p)*(($C$4="Todos")+(YEAR('GESTAO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OPERACAO'!$P$2:$P$632*1,0)))))</f>
        <v>795559.79</v>
      </c>
      <c r="E139" s="196" cm="1">
        <f t="array" ref="E139:E145">IFERROR(_xlfn.ANCHORARRAY(C139)/$C$7,"")</f>
        <v>3.9906103286384977E-2</v>
      </c>
      <c r="F139" s="199"/>
    </row>
    <row r="140" spans="1:6" x14ac:dyDescent="0.3">
      <c r="A140" s="198"/>
      <c r="B140" s="180" t="str">
        <v>BOLIVIA</v>
      </c>
      <c r="C140" s="186">
        <v>2</v>
      </c>
      <c r="D140" s="187">
        <v>1944.52</v>
      </c>
      <c r="E140" s="196">
        <v>4.6948356807511738E-3</v>
      </c>
      <c r="F140" s="199"/>
    </row>
    <row r="141" spans="1:6" x14ac:dyDescent="0.3">
      <c r="A141" s="198"/>
      <c r="B141" s="180" t="str">
        <v>BRASIL</v>
      </c>
      <c r="C141" s="186">
        <v>386</v>
      </c>
      <c r="D141" s="187">
        <v>13083808.698899999</v>
      </c>
      <c r="E141" s="196">
        <v>0.9061032863849765</v>
      </c>
      <c r="F141" s="199"/>
    </row>
    <row r="142" spans="1:6" x14ac:dyDescent="0.3">
      <c r="A142" s="198"/>
      <c r="B142" s="180" t="str">
        <v>CHILE</v>
      </c>
      <c r="C142" s="186">
        <v>9</v>
      </c>
      <c r="D142" s="187">
        <v>414323.97</v>
      </c>
      <c r="E142" s="196">
        <v>2.1126760563380281E-2</v>
      </c>
      <c r="F142" s="199"/>
    </row>
    <row r="143" spans="1:6" x14ac:dyDescent="0.3">
      <c r="A143" s="198"/>
      <c r="B143" s="180" t="str">
        <v>COLOMBIA</v>
      </c>
      <c r="C143" s="186">
        <v>1</v>
      </c>
      <c r="D143" s="187">
        <v>45658.09</v>
      </c>
      <c r="E143" s="196">
        <v>2.3474178403755869E-3</v>
      </c>
      <c r="F143" s="199"/>
    </row>
    <row r="144" spans="1:6" x14ac:dyDescent="0.3">
      <c r="A144" s="198"/>
      <c r="B144" s="180" t="str">
        <v>EMIRADOS ARABES</v>
      </c>
      <c r="C144" s="186">
        <v>1</v>
      </c>
      <c r="D144" s="187">
        <v>680</v>
      </c>
      <c r="E144" s="196">
        <v>2.3474178403755869E-3</v>
      </c>
      <c r="F144" s="199"/>
    </row>
    <row r="145" spans="1:7" x14ac:dyDescent="0.3">
      <c r="A145" s="198"/>
      <c r="B145" s="180" t="str">
        <v>EQUADOR</v>
      </c>
      <c r="C145" s="186">
        <v>2</v>
      </c>
      <c r="D145" s="187">
        <v>272861.31</v>
      </c>
      <c r="E145" s="196">
        <v>4.6948356807511738E-3</v>
      </c>
      <c r="F145" s="199"/>
    </row>
    <row r="146" spans="1:7" x14ac:dyDescent="0.3">
      <c r="A146" s="198"/>
      <c r="B146" s="188" t="s">
        <v>1127</v>
      </c>
      <c r="C146" s="189" cm="1">
        <f t="array" ref="C146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OPERACAO'!$H$2:$H$632&gt;0)*('GESTAO OPERACAO'!$L$2:$L$632&lt;&gt;""))</f>
        <v>425</v>
      </c>
      <c r="D146" s="190" cm="1">
        <f t="array" ref="D146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OPERACAO'!$H$2:$H$632&gt;0)*('GESTAO OPERACAO'!$L$2:$L$632&lt;&gt;"")*IFERROR('GESTAO OPERACAO'!$P$2:$P$632*1,0))</f>
        <v>15224485.878899999</v>
      </c>
      <c r="E146" s="197">
        <f>IFERROR(C146/$C$7,"")</f>
        <v>0.99765258215962438</v>
      </c>
      <c r="F146" s="199"/>
    </row>
    <row r="147" spans="1:7" s="203" customFormat="1" x14ac:dyDescent="0.3">
      <c r="A147" s="208"/>
      <c r="B147" s="234"/>
      <c r="C147" s="235"/>
      <c r="D147" s="236"/>
      <c r="E147" s="237"/>
      <c r="F147" s="212"/>
    </row>
    <row r="148" spans="1:7" x14ac:dyDescent="0.3">
      <c r="B148" s="248" t="s">
        <v>1155</v>
      </c>
      <c r="C148" s="233" t="s">
        <v>1120</v>
      </c>
      <c r="D148" s="200"/>
      <c r="E148" s="200"/>
    </row>
    <row r="149" spans="1:7" ht="15.6" x14ac:dyDescent="0.3">
      <c r="B149" s="430" t="s">
        <v>1156</v>
      </c>
      <c r="C149" s="431"/>
      <c r="D149" s="431"/>
      <c r="E149" s="431"/>
      <c r="F149" s="432"/>
      <c r="G149" s="203"/>
    </row>
    <row r="150" spans="1:7" x14ac:dyDescent="0.3">
      <c r="B150" s="249" t="s">
        <v>51</v>
      </c>
      <c r="C150" s="250"/>
      <c r="D150" s="250"/>
      <c r="E150" s="250"/>
      <c r="F150" s="250"/>
      <c r="G150" s="1"/>
    </row>
    <row r="151" spans="1:7" x14ac:dyDescent="0.3">
      <c r="B151" s="227" t="s">
        <v>1157</v>
      </c>
      <c r="C151" s="227" t="s">
        <v>1158</v>
      </c>
      <c r="D151" s="227" t="s">
        <v>1159</v>
      </c>
      <c r="E151" s="227" t="s">
        <v>1112</v>
      </c>
      <c r="F151" s="227" t="s">
        <v>1113</v>
      </c>
      <c r="G151" s="1"/>
    </row>
    <row r="152" spans="1:7" x14ac:dyDescent="0.3">
      <c r="B152" s="228">
        <v>1</v>
      </c>
      <c r="C152" s="229" t="str" cm="1">
        <f t="array" ref="C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SUBSEA7</v>
      </c>
      <c r="D152" s="230" t="str" cm="1">
        <f t="array" ref="D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661, 663, 666, 691</v>
      </c>
      <c r="E152" s="231" cm="1">
        <f t="array" ref="E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4</v>
      </c>
      <c r="F152" s="232" cm="1">
        <f t="array" ref="F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281456.15000000002</v>
      </c>
      <c r="G152" s="1"/>
    </row>
    <row r="153" spans="1:7" x14ac:dyDescent="0.3">
      <c r="B153" s="251">
        <v>2</v>
      </c>
      <c r="C153" s="229" t="str" cm="1">
        <f t="array" ref="C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BAKER HUGHES</v>
      </c>
      <c r="D153" s="230" t="str" cm="1">
        <f t="array" ref="D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641</v>
      </c>
      <c r="E153" s="231" cm="1">
        <f t="array" ref="E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53" s="232" cm="1">
        <f t="array" ref="F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59946.6</v>
      </c>
      <c r="G153" s="1"/>
    </row>
    <row r="154" spans="1:7" x14ac:dyDescent="0.3">
      <c r="B154" s="251">
        <v>3</v>
      </c>
      <c r="C154" s="229" t="str" cm="1">
        <f t="array" ref="C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IKM</v>
      </c>
      <c r="D154" s="230" t="str" cm="1">
        <f t="array" ref="D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653</v>
      </c>
      <c r="E154" s="231" cm="1">
        <f t="array" ref="E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54" s="232" cm="1">
        <f t="array" ref="F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43073.36</v>
      </c>
      <c r="G154" s="1"/>
    </row>
    <row r="155" spans="1:7" x14ac:dyDescent="0.3">
      <c r="B155" s="251">
        <v>4</v>
      </c>
      <c r="C155" s="229" t="str" cm="1">
        <f t="array" ref="C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OIL STATES</v>
      </c>
      <c r="D155" s="230" t="str" cm="1">
        <f t="array" ref="D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674, 674/1</v>
      </c>
      <c r="E155" s="231" cm="1">
        <f t="array" ref="E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2</v>
      </c>
      <c r="F155" s="232" cm="1">
        <f t="array" ref="F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13230.820000000002</v>
      </c>
      <c r="G155" s="1"/>
    </row>
    <row r="156" spans="1:7" x14ac:dyDescent="0.3">
      <c r="B156" s="251">
        <v>5</v>
      </c>
      <c r="C156" s="229" t="str" cm="1">
        <f t="array" ref="C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DRILLCON</v>
      </c>
      <c r="D156" s="230" t="str" cm="1">
        <f t="array" ref="D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671</v>
      </c>
      <c r="E156" s="231" cm="1">
        <f t="array" ref="E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56" s="232" cm="1">
        <f t="array" ref="F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5400</v>
      </c>
      <c r="G156" s="1"/>
    </row>
    <row r="157" spans="1:7" x14ac:dyDescent="0.3">
      <c r="B157"/>
      <c r="C157"/>
      <c r="D157"/>
      <c r="E157"/>
      <c r="F157"/>
      <c r="G157" s="1"/>
    </row>
    <row r="158" spans="1:7" x14ac:dyDescent="0.3">
      <c r="B158" s="249" t="s">
        <v>77</v>
      </c>
      <c r="C158" s="250"/>
      <c r="D158" s="250"/>
      <c r="E158" s="250"/>
      <c r="F158" s="250"/>
      <c r="G158" s="1"/>
    </row>
    <row r="159" spans="1:7" x14ac:dyDescent="0.3">
      <c r="B159" s="252" t="s">
        <v>1157</v>
      </c>
      <c r="C159" s="252" t="s">
        <v>1158</v>
      </c>
      <c r="D159" s="252" t="s">
        <v>1159</v>
      </c>
      <c r="E159" s="252" t="s">
        <v>1112</v>
      </c>
      <c r="F159" s="252" t="s">
        <v>1113</v>
      </c>
      <c r="G159" s="1"/>
    </row>
    <row r="160" spans="1:7" x14ac:dyDescent="0.3">
      <c r="B160" s="251">
        <v>1</v>
      </c>
      <c r="C160" s="229" t="str" cm="1">
        <f t="array" ref="C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PETROBRAS</v>
      </c>
      <c r="D160" s="230" t="str" cm="1">
        <f t="array" ref="D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647</v>
      </c>
      <c r="E160" s="231" cm="1">
        <f t="array" ref="E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1</v>
      </c>
      <c r="F160" s="232" cm="1">
        <f t="array" ref="F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46061.42</v>
      </c>
      <c r="G160" s="1"/>
    </row>
    <row r="161" spans="2:7" x14ac:dyDescent="0.3">
      <c r="B161" s="251">
        <v>2</v>
      </c>
      <c r="C161" s="229" t="str" cm="1">
        <f t="array" ref="C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ITP</v>
      </c>
      <c r="D161" s="230" t="str" cm="1">
        <f t="array" ref="D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658</v>
      </c>
      <c r="E161" s="231" cm="1">
        <f t="array" ref="E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61" s="232" cm="1">
        <f t="array" ref="F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37946.18</v>
      </c>
      <c r="G161" s="1"/>
    </row>
    <row r="162" spans="2:7" x14ac:dyDescent="0.3">
      <c r="B162" s="251">
        <v>3</v>
      </c>
      <c r="C162" s="229" t="str" cm="1">
        <f t="array" ref="C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TEC BRASIL</v>
      </c>
      <c r="D162" s="230" t="str" cm="1">
        <f t="array" ref="D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692</v>
      </c>
      <c r="E162" s="231" cm="1">
        <f t="array" ref="E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62" s="232" cm="1">
        <f t="array" ref="F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20299.63</v>
      </c>
      <c r="G162" s="1"/>
    </row>
    <row r="163" spans="2:7" x14ac:dyDescent="0.3">
      <c r="B163" s="251">
        <v>4</v>
      </c>
      <c r="C163" s="229" t="str" cm="1">
        <f t="array" ref="C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DIALISE</v>
      </c>
      <c r="D163" s="230" t="str" cm="1">
        <f t="array" ref="D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659</v>
      </c>
      <c r="E163" s="231" cm="1">
        <f t="array" ref="E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63" s="232" cm="1">
        <f t="array" ref="F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5573.38</v>
      </c>
      <c r="G163" s="1"/>
    </row>
    <row r="164" spans="2:7" x14ac:dyDescent="0.3">
      <c r="B164" s="251">
        <v>5</v>
      </c>
      <c r="C164" s="229" t="str" cm="1">
        <f t="array" ref="C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MINERAÇÃO CURIMBABA</v>
      </c>
      <c r="D164" s="230" t="str" cm="1">
        <f t="array" ref="D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636</v>
      </c>
      <c r="E164" s="231" cm="1">
        <f t="array" ref="E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64" s="232" cm="1">
        <f t="array" ref="F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2582.7600000000002</v>
      </c>
      <c r="G164" s="1"/>
    </row>
    <row r="165" spans="2:7" x14ac:dyDescent="0.3">
      <c r="B165"/>
      <c r="C165"/>
      <c r="D165"/>
      <c r="E165"/>
      <c r="F165"/>
      <c r="G165" s="1"/>
    </row>
    <row r="166" spans="2:7" x14ac:dyDescent="0.3">
      <c r="B166" s="249" t="s">
        <v>96</v>
      </c>
      <c r="C166" s="250"/>
      <c r="D166" s="250"/>
      <c r="E166" s="250"/>
      <c r="F166" s="250"/>
      <c r="G166" s="1"/>
    </row>
    <row r="167" spans="2:7" x14ac:dyDescent="0.3">
      <c r="B167" s="252" t="s">
        <v>1157</v>
      </c>
      <c r="C167" s="252" t="s">
        <v>1158</v>
      </c>
      <c r="D167" s="252" t="s">
        <v>1159</v>
      </c>
      <c r="E167" s="252" t="s">
        <v>1112</v>
      </c>
      <c r="F167" s="252" t="s">
        <v>1113</v>
      </c>
      <c r="G167" s="1"/>
    </row>
    <row r="168" spans="2:7" x14ac:dyDescent="0.3">
      <c r="B168" s="251">
        <v>1</v>
      </c>
      <c r="C168" s="229" t="str" cm="1">
        <f t="array" ref="C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AGR ENGENHARIA</v>
      </c>
      <c r="D168" s="230" t="str" cm="1">
        <f t="array" ref="D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670</v>
      </c>
      <c r="E168" s="231" cm="1">
        <f t="array" ref="E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1</v>
      </c>
      <c r="F168" s="232" cm="1">
        <f t="array" ref="F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6881.71</v>
      </c>
      <c r="G168" s="1"/>
    </row>
    <row r="169" spans="2:7" x14ac:dyDescent="0.3">
      <c r="B169" s="251">
        <v>2</v>
      </c>
      <c r="C169" s="229" t="str" cm="1">
        <f t="array" ref="C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CONSORCIO GASODUTO</v>
      </c>
      <c r="D169" s="230" t="str" cm="1">
        <f t="array" ref="D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676</v>
      </c>
      <c r="E169" s="231" cm="1">
        <f t="array" ref="E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69" s="232" cm="1">
        <f t="array" ref="F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6533.62</v>
      </c>
      <c r="G169" s="1"/>
    </row>
    <row r="170" spans="2:7" x14ac:dyDescent="0.3">
      <c r="B170" s="251">
        <v>3</v>
      </c>
      <c r="C170" s="229" t="str" cm="1">
        <f t="array" ref="C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BASTECK</v>
      </c>
      <c r="D170" s="230" t="str" cm="1">
        <f t="array" ref="D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637</v>
      </c>
      <c r="E170" s="231" cm="1">
        <f t="array" ref="E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70" s="232" cm="1">
        <f t="array" ref="F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5952.32</v>
      </c>
      <c r="G170" s="1"/>
    </row>
    <row r="171" spans="2:7" x14ac:dyDescent="0.3">
      <c r="B171" s="251">
        <v>4</v>
      </c>
      <c r="C171" s="229" t="str" cm="1">
        <f t="array" ref="C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CBL</v>
      </c>
      <c r="D171" s="230" t="str" cm="1">
        <f t="array" ref="D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701</v>
      </c>
      <c r="E171" s="231" cm="1">
        <f t="array" ref="E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71" s="232" cm="1">
        <f t="array" ref="F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5150.7</v>
      </c>
      <c r="G171" s="1"/>
    </row>
    <row r="172" spans="2:7" x14ac:dyDescent="0.3">
      <c r="B172" s="251">
        <v>5</v>
      </c>
      <c r="C172" s="229" t="str" cm="1">
        <f t="array" ref="C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TRANSPETRO</v>
      </c>
      <c r="D172" s="230" t="str" cm="1">
        <f t="array" ref="D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684</v>
      </c>
      <c r="E172" s="231" cm="1">
        <f t="array" ref="E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72" s="232" cm="1">
        <f t="array" ref="F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3653.75</v>
      </c>
      <c r="G172" s="1"/>
    </row>
    <row r="173" spans="2:7" x14ac:dyDescent="0.3">
      <c r="B173"/>
      <c r="C173"/>
      <c r="D173"/>
      <c r="E173"/>
      <c r="F173"/>
      <c r="G173" s="1"/>
    </row>
    <row r="174" spans="2:7" x14ac:dyDescent="0.3">
      <c r="B174" s="249" t="s">
        <v>91</v>
      </c>
      <c r="C174" s="250"/>
      <c r="D174" s="250"/>
      <c r="E174" s="250"/>
      <c r="F174" s="250"/>
      <c r="G174" s="1"/>
    </row>
    <row r="175" spans="2:7" x14ac:dyDescent="0.3">
      <c r="B175" s="252" t="s">
        <v>1157</v>
      </c>
      <c r="C175" s="252" t="s">
        <v>1158</v>
      </c>
      <c r="D175" s="252" t="s">
        <v>1159</v>
      </c>
      <c r="E175" s="252" t="s">
        <v>1112</v>
      </c>
      <c r="F175" s="252" t="s">
        <v>1113</v>
      </c>
      <c r="G175" s="1"/>
    </row>
    <row r="176" spans="2:7" x14ac:dyDescent="0.3">
      <c r="B176" s="251">
        <v>1</v>
      </c>
      <c r="C176" s="229" t="str" cm="1">
        <f t="array" ref="C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SYNGENTA</v>
      </c>
      <c r="D176" s="230" t="str" cm="1">
        <f t="array" ref="D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668, 668/1</v>
      </c>
      <c r="E176" s="231" cm="1">
        <f t="array" ref="E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2</v>
      </c>
      <c r="F176" s="232" cm="1">
        <f t="array" ref="F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35634</v>
      </c>
      <c r="G176" s="1"/>
    </row>
    <row r="177" spans="2:7" x14ac:dyDescent="0.3">
      <c r="B177" s="251">
        <v>2</v>
      </c>
      <c r="C177" s="229" t="str" cm="1">
        <f t="array" ref="C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TRANSPETRO</v>
      </c>
      <c r="D177" s="230" t="str" cm="1">
        <f t="array" ref="D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665, 678, 678/1</v>
      </c>
      <c r="E177" s="231" cm="1">
        <f t="array" ref="E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3</v>
      </c>
      <c r="F177" s="232" cm="1">
        <f t="array" ref="F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17684.96</v>
      </c>
      <c r="G177" s="1"/>
    </row>
    <row r="178" spans="2:7" x14ac:dyDescent="0.3">
      <c r="B178" s="251">
        <v>3</v>
      </c>
      <c r="C178" s="229" t="str" cm="1">
        <f t="array" ref="C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DANFOSS</v>
      </c>
      <c r="D178" s="230" t="str" cm="1">
        <f t="array" ref="D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640, 645, 645/1, 700</v>
      </c>
      <c r="E178" s="231" cm="1">
        <f t="array" ref="E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4</v>
      </c>
      <c r="F178" s="232" cm="1">
        <f t="array" ref="F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16847</v>
      </c>
      <c r="G178" s="1"/>
    </row>
    <row r="179" spans="2:7" x14ac:dyDescent="0.3">
      <c r="B179" s="251">
        <v>4</v>
      </c>
      <c r="C179" s="229" t="str" cm="1">
        <f t="array" ref="C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SACS</v>
      </c>
      <c r="D179" s="230" t="str" cm="1">
        <f t="array" ref="D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651</v>
      </c>
      <c r="E179" s="231" cm="1">
        <f t="array" ref="E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79" s="232" cm="1">
        <f t="array" ref="F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6920</v>
      </c>
      <c r="G179" s="1"/>
    </row>
    <row r="180" spans="2:7" x14ac:dyDescent="0.3">
      <c r="B180" s="251">
        <v>5</v>
      </c>
      <c r="C180" s="229" t="str" cm="1">
        <f t="array" ref="C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PROINOX</v>
      </c>
      <c r="D180" s="230" t="str" cm="1">
        <f t="array" ref="D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680</v>
      </c>
      <c r="E180" s="231" cm="1">
        <f t="array" ref="E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80" s="232" cm="1">
        <f t="array" ref="F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2376.13</v>
      </c>
      <c r="G180" s="1"/>
    </row>
    <row r="181" spans="2:7" x14ac:dyDescent="0.3">
      <c r="B181"/>
      <c r="C181"/>
      <c r="D181"/>
      <c r="E181"/>
      <c r="F181"/>
      <c r="G181" s="1"/>
    </row>
    <row r="182" spans="2:7" x14ac:dyDescent="0.3">
      <c r="B182" s="249" t="s">
        <v>67</v>
      </c>
      <c r="C182" s="250"/>
      <c r="D182" s="250"/>
      <c r="E182" s="250"/>
      <c r="F182" s="250"/>
      <c r="G182" s="1"/>
    </row>
    <row r="183" spans="2:7" x14ac:dyDescent="0.3">
      <c r="B183" s="252" t="s">
        <v>1157</v>
      </c>
      <c r="C183" s="252" t="s">
        <v>1158</v>
      </c>
      <c r="D183" s="252" t="s">
        <v>1159</v>
      </c>
      <c r="E183" s="252" t="s">
        <v>1112</v>
      </c>
      <c r="F183" s="252" t="s">
        <v>1113</v>
      </c>
      <c r="G183" s="1"/>
    </row>
    <row r="184" spans="2:7" x14ac:dyDescent="0.3">
      <c r="B184" s="251">
        <v>1</v>
      </c>
      <c r="C184" s="229" t="str" cm="1">
        <f t="array" ref="C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ERAM</v>
      </c>
      <c r="D184" s="230" t="str" cm="1">
        <f t="array" ref="D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>649, 652, 681</v>
      </c>
      <c r="E184" s="231" cm="1">
        <f t="array" ref="E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3</v>
      </c>
      <c r="F184" s="232" cm="1">
        <f t="array" ref="F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88595.5</v>
      </c>
      <c r="G184" s="1"/>
    </row>
    <row r="185" spans="2:7" x14ac:dyDescent="0.3">
      <c r="B185" s="251">
        <v>2</v>
      </c>
      <c r="C185" s="229" t="str" cm="1">
        <f t="array" ref="C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ANDEAN</v>
      </c>
      <c r="D185" s="230" t="str" cm="1">
        <f t="array" ref="D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>682</v>
      </c>
      <c r="E185" s="231" cm="1">
        <f t="array" ref="E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85" s="232" cm="1">
        <f t="array" ref="F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30762.95</v>
      </c>
      <c r="G185" s="1"/>
    </row>
    <row r="186" spans="2:7" x14ac:dyDescent="0.3">
      <c r="B186" s="251">
        <v>3</v>
      </c>
      <c r="C186" s="229" t="str" cm="1">
        <f t="array" ref="C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/>
      </c>
      <c r="D186" s="230" t="str" cm="1">
        <f t="array" ref="D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/>
      </c>
      <c r="E186" s="231" t="str" cm="1">
        <f t="array" ref="E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/>
      </c>
      <c r="F186" s="232" t="str" cm="1">
        <f t="array" ref="F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/>
      </c>
      <c r="G186" s="1"/>
    </row>
    <row r="187" spans="2:7" x14ac:dyDescent="0.3">
      <c r="B187" s="251">
        <v>4</v>
      </c>
      <c r="C187" s="229" t="str" cm="1">
        <f t="array" ref="C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/>
      </c>
      <c r="D187" s="230" t="str" cm="1">
        <f t="array" ref="D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/>
      </c>
      <c r="E187" s="231" t="str" cm="1">
        <f t="array" ref="E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/>
      </c>
      <c r="F187" s="232" t="str" cm="1">
        <f t="array" ref="F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/>
      </c>
      <c r="G187" s="1"/>
    </row>
    <row r="188" spans="2:7" x14ac:dyDescent="0.3">
      <c r="B188" s="251">
        <v>5</v>
      </c>
      <c r="C188" s="229" t="str" cm="1">
        <f t="array" ref="C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188" s="230" t="str" cm="1">
        <f t="array" ref="D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/>
      </c>
      <c r="E188" s="231" t="str" cm="1">
        <f t="array" ref="E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188" s="232" t="str" cm="1">
        <f t="array" ref="F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188" s="1"/>
    </row>
    <row r="189" spans="2:7" x14ac:dyDescent="0.3">
      <c r="B189"/>
      <c r="C189"/>
      <c r="D189"/>
      <c r="E189"/>
      <c r="F189"/>
      <c r="G189" s="1"/>
    </row>
    <row r="190" spans="2:7" x14ac:dyDescent="0.3">
      <c r="B190" s="249" t="s">
        <v>171</v>
      </c>
      <c r="C190" s="250"/>
      <c r="D190" s="250"/>
      <c r="E190" s="250"/>
      <c r="F190" s="250"/>
      <c r="G190" s="1"/>
    </row>
    <row r="191" spans="2:7" x14ac:dyDescent="0.3">
      <c r="B191" s="252" t="s">
        <v>1157</v>
      </c>
      <c r="C191" s="252" t="s">
        <v>1158</v>
      </c>
      <c r="D191" s="252" t="s">
        <v>1159</v>
      </c>
      <c r="E191" s="252" t="s">
        <v>1112</v>
      </c>
      <c r="F191" s="252" t="s">
        <v>1113</v>
      </c>
      <c r="G191" s="1"/>
    </row>
    <row r="192" spans="2:7" x14ac:dyDescent="0.3">
      <c r="B192" s="251">
        <v>1</v>
      </c>
      <c r="C192" s="229" t="str" cm="1">
        <f t="array" ref="C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PETRORECONCAVO</v>
      </c>
      <c r="D192" s="230" t="str" cm="1">
        <f t="array" ref="D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667, 687</v>
      </c>
      <c r="E192" s="231" cm="1">
        <f t="array" ref="E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2</v>
      </c>
      <c r="F192" s="232" cm="1">
        <f t="array" ref="F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40700.69</v>
      </c>
      <c r="G192" s="1"/>
    </row>
    <row r="193" spans="2:7" x14ac:dyDescent="0.3">
      <c r="B193" s="251">
        <v>2</v>
      </c>
      <c r="C193" s="229" t="str" cm="1">
        <f t="array" ref="C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DOW BRASIL</v>
      </c>
      <c r="D193" s="230" t="str" cm="1">
        <f t="array" ref="D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638, 642</v>
      </c>
      <c r="E193" s="231" cm="1">
        <f t="array" ref="E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2</v>
      </c>
      <c r="F193" s="232" cm="1">
        <f t="array" ref="F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19538</v>
      </c>
      <c r="G193" s="1"/>
    </row>
    <row r="194" spans="2:7" x14ac:dyDescent="0.3">
      <c r="B194" s="251">
        <v>3</v>
      </c>
      <c r="C194" s="229" t="str" cm="1">
        <f t="array" ref="C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BRASKEM</v>
      </c>
      <c r="D194" s="230" t="str" cm="1">
        <f t="array" ref="D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693</v>
      </c>
      <c r="E194" s="231" cm="1">
        <f t="array" ref="E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94" s="232" cm="1">
        <f t="array" ref="F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3931.72</v>
      </c>
      <c r="G194" s="1"/>
    </row>
    <row r="195" spans="2:7" x14ac:dyDescent="0.3">
      <c r="B195" s="251">
        <v>4</v>
      </c>
      <c r="C195" s="229" t="str" cm="1">
        <f t="array" ref="C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VOPAK</v>
      </c>
      <c r="D195" s="230" t="str" cm="1">
        <f t="array" ref="D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673</v>
      </c>
      <c r="E195" s="231" cm="1">
        <f t="array" ref="E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95" s="232" cm="1">
        <f t="array" ref="F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3697.22</v>
      </c>
      <c r="G195" s="1"/>
    </row>
    <row r="196" spans="2:7" x14ac:dyDescent="0.3">
      <c r="B196" s="251">
        <v>5</v>
      </c>
      <c r="C196" s="229" t="str" cm="1">
        <f t="array" ref="C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196" s="230" t="str" cm="1">
        <f t="array" ref="D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/>
      </c>
      <c r="E196" s="231" t="str" cm="1">
        <f t="array" ref="E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196" s="232" t="str" cm="1">
        <f t="array" ref="F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196" s="1"/>
    </row>
    <row r="197" spans="2:7" x14ac:dyDescent="0.3">
      <c r="B197"/>
      <c r="C197"/>
      <c r="D197"/>
      <c r="E197"/>
      <c r="F197"/>
      <c r="G197" s="1"/>
    </row>
    <row r="198" spans="2:7" x14ac:dyDescent="0.3">
      <c r="B198" s="249" t="s">
        <v>163</v>
      </c>
      <c r="C198" s="250"/>
      <c r="D198" s="250"/>
      <c r="E198" s="250"/>
      <c r="F198" s="250"/>
      <c r="G198" s="1"/>
    </row>
    <row r="199" spans="2:7" x14ac:dyDescent="0.3">
      <c r="B199" s="252" t="s">
        <v>1157</v>
      </c>
      <c r="C199" s="252" t="s">
        <v>1158</v>
      </c>
      <c r="D199" s="252" t="s">
        <v>1159</v>
      </c>
      <c r="E199" s="252" t="s">
        <v>1112</v>
      </c>
      <c r="F199" s="252" t="s">
        <v>1113</v>
      </c>
      <c r="G199" s="1"/>
    </row>
    <row r="200" spans="2:7" x14ac:dyDescent="0.3">
      <c r="B200" s="251">
        <v>1</v>
      </c>
      <c r="C200" s="229" t="str" cm="1">
        <f t="array" ref="C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PANDENOR</v>
      </c>
      <c r="D200" s="230" t="str" cm="1">
        <f t="array" ref="D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657, 688</v>
      </c>
      <c r="E200" s="231" cm="1">
        <f t="array" ref="E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2</v>
      </c>
      <c r="F200" s="232" cm="1">
        <f t="array" ref="F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16191.95</v>
      </c>
      <c r="G200" s="1"/>
    </row>
    <row r="201" spans="2:7" x14ac:dyDescent="0.3">
      <c r="B201" s="251">
        <v>2</v>
      </c>
      <c r="C201" s="229" t="str" cm="1">
        <f t="array" ref="C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ULTRACARGO</v>
      </c>
      <c r="D201" s="230" t="str" cm="1">
        <f t="array" ref="D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672</v>
      </c>
      <c r="E201" s="231" cm="1">
        <f t="array" ref="E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201" s="232" cm="1">
        <f t="array" ref="F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7014</v>
      </c>
      <c r="G201" s="1"/>
    </row>
    <row r="202" spans="2:7" x14ac:dyDescent="0.3">
      <c r="B202" s="251">
        <v>3</v>
      </c>
      <c r="C202" s="229" t="str" cm="1">
        <f t="array" ref="C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FHS CONSTRUTORA</v>
      </c>
      <c r="D202" s="230" t="str" cm="1">
        <f t="array" ref="D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646, 650</v>
      </c>
      <c r="E202" s="231" cm="1">
        <f t="array" ref="E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2</v>
      </c>
      <c r="F202" s="232" cm="1">
        <f t="array" ref="F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5720.9</v>
      </c>
      <c r="G202" s="1"/>
    </row>
    <row r="203" spans="2:7" x14ac:dyDescent="0.3">
      <c r="B203" s="251">
        <v>4</v>
      </c>
      <c r="C203" s="229" t="str" cm="1">
        <f t="array" ref="C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SUVINIL</v>
      </c>
      <c r="D203" s="230" t="str" cm="1">
        <f t="array" ref="D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664</v>
      </c>
      <c r="E203" s="231" cm="1">
        <f t="array" ref="E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203" s="232" cm="1">
        <f t="array" ref="F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3791.58</v>
      </c>
      <c r="G203" s="1"/>
    </row>
    <row r="204" spans="2:7" x14ac:dyDescent="0.3">
      <c r="B204" s="251">
        <v>5</v>
      </c>
      <c r="C204" s="229" t="str" cm="1">
        <f t="array" ref="C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204" s="230" t="str" cm="1">
        <f t="array" ref="D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/>
      </c>
      <c r="E204" s="231" t="str" cm="1">
        <f t="array" ref="E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204" s="232" t="str" cm="1">
        <f t="array" ref="F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204" s="1"/>
    </row>
    <row r="205" spans="2:7" x14ac:dyDescent="0.3">
      <c r="B205"/>
      <c r="C205"/>
      <c r="D205"/>
      <c r="E205"/>
      <c r="F205"/>
      <c r="G205" s="1"/>
    </row>
    <row r="206" spans="2:7" x14ac:dyDescent="0.3">
      <c r="B206" s="249" t="s">
        <v>292</v>
      </c>
      <c r="C206" s="250"/>
      <c r="D206" s="250"/>
      <c r="E206" s="250"/>
      <c r="F206" s="250"/>
      <c r="G206" s="1"/>
    </row>
    <row r="207" spans="2:7" x14ac:dyDescent="0.3">
      <c r="B207" s="252" t="s">
        <v>1157</v>
      </c>
      <c r="C207" s="252" t="s">
        <v>1158</v>
      </c>
      <c r="D207" s="252" t="s">
        <v>1159</v>
      </c>
      <c r="E207" s="252" t="s">
        <v>1112</v>
      </c>
      <c r="F207" s="252" t="s">
        <v>1113</v>
      </c>
      <c r="G207" s="1"/>
    </row>
    <row r="208" spans="2:7" x14ac:dyDescent="0.3">
      <c r="B208" s="251">
        <v>1</v>
      </c>
      <c r="C208" s="229" t="str" cm="1">
        <f t="array" ref="C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/>
      </c>
      <c r="D208" s="230" t="str" cm="1">
        <f t="array" ref="D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08" s="231" t="str" cm="1">
        <f t="array" ref="E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/>
      </c>
      <c r="F208" s="232" t="str" cm="1">
        <f t="array" ref="F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/>
      </c>
      <c r="G208" s="1"/>
    </row>
    <row r="209" spans="1:26" x14ac:dyDescent="0.3">
      <c r="B209" s="251">
        <v>2</v>
      </c>
      <c r="C209" s="229" t="str" cm="1">
        <f t="array" ref="C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/>
      </c>
      <c r="D209" s="230" t="str" cm="1">
        <f t="array" ref="D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09" s="231" t="str" cm="1">
        <f t="array" ref="E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/>
      </c>
      <c r="F209" s="232" t="str" cm="1">
        <f t="array" ref="F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/>
      </c>
      <c r="G209" s="1"/>
    </row>
    <row r="210" spans="1:26" x14ac:dyDescent="0.3">
      <c r="B210" s="251">
        <v>3</v>
      </c>
      <c r="C210" s="229" t="str" cm="1">
        <f t="array" ref="C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/>
      </c>
      <c r="D210" s="230" t="str" cm="1">
        <f t="array" ref="D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10" s="231" t="str" cm="1">
        <f t="array" ref="E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/>
      </c>
      <c r="F210" s="232" t="str" cm="1">
        <f t="array" ref="F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/>
      </c>
      <c r="G210" s="1"/>
    </row>
    <row r="211" spans="1:26" x14ac:dyDescent="0.3">
      <c r="B211" s="251">
        <v>4</v>
      </c>
      <c r="C211" s="229" t="str" cm="1">
        <f t="array" ref="C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/>
      </c>
      <c r="D211" s="230" t="str" cm="1">
        <f t="array" ref="D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11" s="231" t="str" cm="1">
        <f t="array" ref="E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/>
      </c>
      <c r="F211" s="232" t="str" cm="1">
        <f t="array" ref="F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/>
      </c>
      <c r="G211" s="1"/>
    </row>
    <row r="212" spans="1:26" x14ac:dyDescent="0.3">
      <c r="B212" s="251">
        <v>5</v>
      </c>
      <c r="C212" s="229" t="str" cm="1">
        <f t="array" ref="C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212" s="230" t="str" cm="1">
        <f t="array" ref="D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12" s="231" t="str" cm="1">
        <f t="array" ref="E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212" s="232" t="str" cm="1">
        <f t="array" ref="F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212" s="1"/>
    </row>
    <row r="213" spans="1:26" s="203" customFormat="1" x14ac:dyDescent="0.3">
      <c r="B213" s="1"/>
      <c r="C213" s="1"/>
      <c r="D213" s="1"/>
      <c r="E213" s="1"/>
      <c r="F213" s="1"/>
      <c r="G213" s="1"/>
    </row>
    <row r="214" spans="1:26" s="203" customFormat="1" x14ac:dyDescent="0.3">
      <c r="B214" s="1"/>
      <c r="C214" s="1"/>
      <c r="D214" s="1"/>
      <c r="E214" s="1"/>
      <c r="F214" s="1"/>
      <c r="G214" s="1"/>
    </row>
    <row r="215" spans="1:26" s="203" customFormat="1" x14ac:dyDescent="0.3">
      <c r="B215" s="1"/>
      <c r="C215" s="1"/>
      <c r="D215" s="1"/>
      <c r="E215" s="1"/>
      <c r="F215" s="1"/>
      <c r="G215" s="1"/>
      <c r="H215" s="262"/>
      <c r="I215" s="262"/>
      <c r="J215" s="262"/>
      <c r="K215" s="262"/>
      <c r="L215" s="262"/>
      <c r="M215" s="262"/>
      <c r="N215" s="262"/>
      <c r="O215" s="262"/>
      <c r="P215" s="262"/>
    </row>
    <row r="216" spans="1:26" s="203" customFormat="1" ht="18" x14ac:dyDescent="0.35">
      <c r="A216" s="208"/>
      <c r="B216" s="423" t="s">
        <v>1160</v>
      </c>
      <c r="C216" s="423"/>
      <c r="D216" s="423"/>
      <c r="E216" s="423"/>
      <c r="F216" s="423"/>
      <c r="G216" s="423"/>
      <c r="H216" s="423"/>
      <c r="I216" s="423"/>
      <c r="J216" s="423"/>
      <c r="K216" s="423"/>
      <c r="L216" s="423"/>
      <c r="M216" s="423"/>
      <c r="N216" s="423"/>
      <c r="O216" s="423"/>
      <c r="P216" s="423"/>
      <c r="Q216" s="212"/>
    </row>
    <row r="217" spans="1:26" s="203" customFormat="1" hidden="1" x14ac:dyDescent="0.3">
      <c r="A217" s="208"/>
      <c r="B217" s="264" t="s">
        <v>1161</v>
      </c>
      <c r="Q217" s="212"/>
    </row>
    <row r="218" spans="1:26" s="203" customFormat="1" hidden="1" x14ac:dyDescent="0.3">
      <c r="A218" s="208"/>
      <c r="Q218" s="212"/>
    </row>
    <row r="219" spans="1:26" s="203" customFormat="1" hidden="1" x14ac:dyDescent="0.3">
      <c r="A219" s="208"/>
      <c r="B219" s="264" t="s">
        <v>1162</v>
      </c>
      <c r="C219" s="203" cm="1">
        <f t="array" ref="C219:M219">IFERROR(TRANSPOSE(_xlfn._xlws.SORT(_xlfn.UNIQUE(_xlfn._xlws.FILTER(_xlfn.BYROW('GESTAO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 (_xlfn.BYROW('GESTAO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_xlpm.fullIdx))))&gt;0)*(('GESTAO OPERACAO'!$S$2:$S$632="EM PRODUÇÃO")+('GESTAO OPERACAO'!$S$2:$S$632="PENDENTE")+('GESTAO OPERACAO'!$S$2:$S$632="FINALIZADO")&gt;0)*(($C$4="Todos")+(IFERROR(VALUE(RIGHT('GESTAO OPERACAO'!$AA$2:$AA$632,4)),0)=$C$4)&gt;0)*('GESTAO OPERACAO'!$B$2:$B$632&lt;&gt;"")*(IFERROR('GESTAO OPERACAO'!$P$2:$P$632*1,0)&gt;0))))), "")</f>
        <v>1</v>
      </c>
      <c r="D219" s="203">
        <v>2</v>
      </c>
      <c r="E219" s="203">
        <v>3</v>
      </c>
      <c r="F219" s="203">
        <v>4</v>
      </c>
      <c r="G219" s="203">
        <v>5</v>
      </c>
      <c r="H219" s="203">
        <v>6</v>
      </c>
      <c r="I219" s="203">
        <v>7</v>
      </c>
      <c r="J219" s="203">
        <v>8</v>
      </c>
      <c r="K219" s="203">
        <v>9</v>
      </c>
      <c r="L219" s="203">
        <v>11</v>
      </c>
      <c r="M219" s="203">
        <v>12</v>
      </c>
      <c r="Q219" s="212"/>
    </row>
    <row r="220" spans="1:26" s="203" customFormat="1" hidden="1" x14ac:dyDescent="0.3">
      <c r="A220" s="208"/>
      <c r="Q220" s="212"/>
    </row>
    <row r="221" spans="1:26" s="203" customFormat="1" ht="30" customHeight="1" x14ac:dyDescent="0.3">
      <c r="A221" s="208"/>
      <c r="B221" s="254" t="s">
        <v>1149</v>
      </c>
      <c r="C221" s="257" t="str" cm="1">
        <f t="array" ref="C221:Z221">IFERROR(_xlfn.LET(_xlpm.mList,_xlfn.ANCHORARRAY( C219), _xlpm.nMes, COLUMNS(_xlpm.mList), _xlfn.MAKEARRAY(1, 2*(_xlpm.nMes+1), _xlfn.LAMBDA(_xlpm.r,_xlpm.c, _xlfn.LET(_xlpm.slot, INT((_xlpm.c-1)/2)+1, _xlpm.isFat, MOD(_xlpm.c,2)=1, _xlpm.isTot, _xlpm.slot&gt;_xlpm.nMes, IF(_xlpm.isTot, IF(_xlpm.isFat,"TOTAL"&amp;CHAR(10)&amp;"A Faturar","TOTAL"&amp;CHAR(10)&amp;"Finalizado"), INDEX({"Janeiro";"Fevereiro";"Março";"Abril";"Maio";"Junho";"Julho";"Agosto";"Setembro";"Outubro";"Novembro";"Dezembro"},INDEX(_xlpm.mList,1,_xlpm.slot))&amp;CHAR(10)&amp;IF(_xlpm.isFat,"A Faturar","Finalizado")))))), "")</f>
        <v>Janeiro
A Faturar</v>
      </c>
      <c r="D221" s="257" t="str">
        <v>Janeiro
Finalizado</v>
      </c>
      <c r="E221" s="257" t="str">
        <v>Fevereiro
A Faturar</v>
      </c>
      <c r="F221" s="257" t="str">
        <v>Fevereiro
Finalizado</v>
      </c>
      <c r="G221" s="257" t="str">
        <v>Março
A Faturar</v>
      </c>
      <c r="H221" s="257" t="str">
        <v>Março
Finalizado</v>
      </c>
      <c r="I221" s="257" t="str">
        <v>Abril
A Faturar</v>
      </c>
      <c r="J221" s="257" t="str">
        <v>Abril
Finalizado</v>
      </c>
      <c r="K221" s="257" t="str">
        <v>Maio
A Faturar</v>
      </c>
      <c r="L221" s="257" t="str">
        <v>Maio
Finalizado</v>
      </c>
      <c r="M221" s="257" t="str">
        <v>Junho
A Faturar</v>
      </c>
      <c r="N221" s="257" t="str">
        <v>Junho
Finalizado</v>
      </c>
      <c r="O221" s="257" t="str">
        <v>Julho
A Faturar</v>
      </c>
      <c r="P221" s="257" t="str">
        <v>Julho
Finalizado</v>
      </c>
      <c r="Q221" s="212" t="str">
        <v>Agosto
A Faturar</v>
      </c>
      <c r="R221" s="203" t="str">
        <v>Agosto
Finalizado</v>
      </c>
      <c r="S221" s="203" t="str">
        <v>Setembro
A Faturar</v>
      </c>
      <c r="T221" s="203" t="str">
        <v>Setembro
Finalizado</v>
      </c>
      <c r="U221" s="203" t="str">
        <v>Novembro
A Faturar</v>
      </c>
      <c r="V221" s="203" t="str">
        <v>Novembro
Finalizado</v>
      </c>
      <c r="W221" s="203" t="str">
        <v>Dezembro
A Faturar</v>
      </c>
      <c r="X221" s="203" t="str">
        <v>Dezembro
Finalizado</v>
      </c>
      <c r="Y221" s="203" t="str">
        <v>TOTAL
A Faturar</v>
      </c>
      <c r="Z221" s="203" t="str">
        <v>TOTAL
Finalizado</v>
      </c>
    </row>
    <row r="222" spans="1:26" s="203" customFormat="1" x14ac:dyDescent="0.3">
      <c r="B222" s="256" t="e" cm="1" vm="1">
        <f t="array" aca="1" ref="B222" ca="1">IFERROR(_xlfn._xlws.SORT(_xlfn.UNIQUE(_xlfn._xlws.FILTER('GESTAO OPERACAO'!$B$2:$B$632, (('GESTAO OPERACAO'!$S$2:$S$632="EM PRODUÇÃO")+('GESTAO OPERACAO'!$S$2:$S$632="PENDENTE")+('GESTAO OPERACAO'!$S$2:$S$632="FINALIZADO")&gt;0)*(($C$4="Todos")+(IFERROR(VALUE(RIGHT('GESTAO OPERACAO'!$AA$2:$AA$632,4)),0)=$C$4)&gt;0)*('GESTAO OPERACAO'!$B$2:$B$632&lt;&gt;"")))), "")</f>
        <v>#VALUE!</v>
      </c>
      <c r="C222" s="259" t="str" cm="1">
        <f t="array" aca="1" ref="C222:Z222" ca="1">IFERROR(_xlfn.LET(_xlpm.vList,_xlfn.ANCHORARRAY(B222),_xlpm.mList,_xlfn.ANCHORARRAY(C219),_xlpm.nVend,ROWS(_xlpm.vList),_xlpm.nMes,COLUMNS(_xlpm.mList),_xlpm.nCol,_xlpm.nMes*2+2,_xlpm.perMonth,_xlfn.BYROW('GESTAO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_xlpm.fullIdx)))),_xlpm.vendArr,'GESTAO OPERACAO'!$B$2:$B$632,_xlpm.statArr,'GESTAO OPERACAO'!$S$2:$S$632,_xlpm.valArr,'GESTAO OPERACAO'!$P$2:$P$632,_xlpm.yrOk,IF(($C$4="Todos")+(IFERROR(VALUE(RIGHT('GESTAO OPERACAO'!$AA$2:$AA$632,4)),0)=$C$4)&gt;0,1,0),_xlpm.isAFat,IF((_xlpm.statArr="EM PRODUÇÃO")+(_xlpm.statArr="PENDENTE")&gt;0,1,0),_xlpm.isFin,IF(_xlpm.statArr="FINALIZADO",1,0),_xlpm.valNum,IFERROR(_xlpm.valArr*1,0),_xlfn.MAKEARRAY(_xlpm.nVend,_xlpm.nCol,_xlfn.LAMBDA(_xlpm.r,_xlpm.c,_xlfn.LET(_xlpm.v,INDEX(_xlpm.vList,_xlpm.r),_xlpm.isTotal,_xlpm.c&gt;_xlpm.nMes*2,_xlpm.slot,IF(_xlpm.isTotal,0,INT((_xlpm.c-1)/2)+1),_xlpm.mIdx,IF(_xlpm.isTotal,0,INDEX(_xlpm.mList,1,_xlpm.slot)),_xlpm.isFatCol,MOD(_xlpm.c,2)=1,_xlpm.sumCond,(_xlpm.vendArr=_xlpm.v)*_xlpm.yrOk*_xlpm.valNum*IF(_xlpm.isFatCol,_xlpm.isAFat,_xlpm.isFin)*IF(_xlpm.isTotal,1,(_xlpm.perMonth=_xlpm.mIdx)),SUMPRODUCT(_xlpm.sumCond))))), "")</f>
        <v/>
      </c>
      <c r="D222" s="259" t="str">
        <f ca="1"/>
        <v/>
      </c>
      <c r="E222" s="259" t="str">
        <f ca="1"/>
        <v/>
      </c>
      <c r="F222" s="259" t="str">
        <f ca="1"/>
        <v/>
      </c>
      <c r="G222" s="259" t="str">
        <f ca="1"/>
        <v/>
      </c>
      <c r="H222" s="263" t="str">
        <f ca="1"/>
        <v/>
      </c>
      <c r="I222" s="263" t="str">
        <f ca="1"/>
        <v/>
      </c>
      <c r="J222" s="263" t="str">
        <f ca="1"/>
        <v/>
      </c>
      <c r="K222" s="298" t="str">
        <f ca="1"/>
        <v/>
      </c>
      <c r="L222" s="298" t="str">
        <f ca="1"/>
        <v/>
      </c>
      <c r="M222" s="298" t="str">
        <f ca="1"/>
        <v/>
      </c>
      <c r="N222" s="298" t="str">
        <f ca="1"/>
        <v/>
      </c>
      <c r="O222" s="298" t="str">
        <f ca="1"/>
        <v/>
      </c>
      <c r="P222" s="298" t="str">
        <f ca="1"/>
        <v/>
      </c>
      <c r="Q222" s="299" t="str">
        <f ca="1"/>
        <v/>
      </c>
      <c r="R222" s="299" t="str">
        <f ca="1"/>
        <v/>
      </c>
      <c r="S222" s="203" t="str">
        <f ca="1"/>
        <v/>
      </c>
      <c r="T222" s="203" t="str">
        <f ca="1"/>
        <v/>
      </c>
      <c r="U222" s="203" t="str">
        <f ca="1"/>
        <v/>
      </c>
      <c r="V222" s="203" t="str">
        <f ca="1"/>
        <v/>
      </c>
      <c r="W222" s="203" t="str">
        <f ca="1"/>
        <v/>
      </c>
      <c r="X222" s="203" t="str">
        <f ca="1"/>
        <v/>
      </c>
      <c r="Y222" s="203" t="str">
        <f ca="1"/>
        <v/>
      </c>
      <c r="Z222" s="203" t="str">
        <f ca="1"/>
        <v/>
      </c>
    </row>
    <row r="223" spans="1:26" s="203" customFormat="1" x14ac:dyDescent="0.3">
      <c r="B223" s="258"/>
      <c r="C223" s="260"/>
      <c r="D223" s="260"/>
      <c r="E223" s="260"/>
      <c r="F223" s="260"/>
      <c r="G223" s="260"/>
      <c r="H223" s="260"/>
      <c r="I223" s="260"/>
      <c r="J223" s="260"/>
      <c r="K223" s="299"/>
      <c r="L223" s="299"/>
      <c r="M223" s="299"/>
      <c r="N223" s="299"/>
      <c r="O223" s="299"/>
      <c r="P223" s="299"/>
      <c r="Q223" s="299"/>
      <c r="R223" s="299"/>
    </row>
    <row r="224" spans="1:26" x14ac:dyDescent="0.3">
      <c r="B224" s="258"/>
      <c r="C224" s="261"/>
      <c r="D224" s="261"/>
      <c r="E224" s="261"/>
      <c r="F224" s="261"/>
      <c r="G224" s="261"/>
      <c r="H224" s="261"/>
      <c r="I224" s="261"/>
      <c r="J224" s="261"/>
      <c r="K224" s="297"/>
      <c r="L224" s="297"/>
      <c r="M224" s="297"/>
      <c r="N224" s="297"/>
      <c r="O224" s="297"/>
      <c r="P224" s="297"/>
      <c r="Q224" s="297"/>
      <c r="R224" s="297"/>
    </row>
    <row r="225" spans="2:18" x14ac:dyDescent="0.3">
      <c r="B225" s="258"/>
      <c r="C225" s="261"/>
      <c r="D225" s="261"/>
      <c r="E225" s="261"/>
      <c r="F225" s="261"/>
      <c r="G225" s="261"/>
      <c r="H225" s="261"/>
      <c r="I225" s="261"/>
      <c r="J225" s="261"/>
      <c r="K225" s="297"/>
      <c r="L225" s="297"/>
      <c r="M225" s="297"/>
      <c r="N225" s="297"/>
      <c r="O225" s="297"/>
      <c r="P225" s="297"/>
      <c r="Q225" s="297"/>
      <c r="R225" s="297"/>
    </row>
    <row r="226" spans="2:18" x14ac:dyDescent="0.3">
      <c r="B226" s="258"/>
      <c r="C226" s="261"/>
      <c r="D226" s="261"/>
      <c r="E226" s="261"/>
      <c r="F226" s="261"/>
      <c r="G226" s="261"/>
      <c r="H226" s="261"/>
      <c r="I226" s="261"/>
      <c r="J226" s="261"/>
      <c r="K226" s="297"/>
      <c r="L226" s="297"/>
      <c r="M226" s="297"/>
      <c r="N226" s="297"/>
      <c r="O226" s="297"/>
      <c r="P226" s="297"/>
      <c r="Q226" s="297"/>
      <c r="R226" s="297"/>
    </row>
    <row r="227" spans="2:18" x14ac:dyDescent="0.3">
      <c r="B227" s="258"/>
      <c r="C227" s="261"/>
      <c r="D227" s="261"/>
      <c r="E227" s="261"/>
      <c r="F227" s="261"/>
      <c r="G227" s="261"/>
      <c r="H227" s="261"/>
      <c r="I227" s="261"/>
      <c r="J227" s="261"/>
      <c r="K227" s="297"/>
      <c r="L227" s="297"/>
      <c r="M227" s="297"/>
      <c r="N227" s="297"/>
      <c r="O227" s="297"/>
      <c r="P227" s="297"/>
      <c r="Q227" s="297"/>
      <c r="R227" s="297"/>
    </row>
    <row r="228" spans="2:18" x14ac:dyDescent="0.3">
      <c r="B228" s="258"/>
      <c r="C228" s="261"/>
      <c r="D228" s="261"/>
      <c r="E228" s="261"/>
      <c r="F228" s="261"/>
      <c r="G228" s="261"/>
      <c r="H228" s="261"/>
      <c r="I228" s="261"/>
      <c r="J228" s="261"/>
      <c r="K228" s="297"/>
      <c r="L228" s="297"/>
      <c r="M228" s="297"/>
      <c r="N228" s="297"/>
      <c r="O228" s="297"/>
      <c r="P228" s="297"/>
      <c r="Q228" s="297"/>
      <c r="R228" s="297"/>
    </row>
    <row r="229" spans="2:18" x14ac:dyDescent="0.3">
      <c r="B229" s="258"/>
      <c r="C229" s="261"/>
      <c r="D229" s="261"/>
      <c r="E229" s="261"/>
      <c r="F229" s="261"/>
      <c r="G229" s="261"/>
      <c r="H229" s="261"/>
      <c r="I229" s="261"/>
      <c r="J229" s="261"/>
      <c r="K229" s="297"/>
      <c r="L229" s="297"/>
      <c r="M229" s="297"/>
      <c r="N229" s="297"/>
      <c r="O229" s="297"/>
      <c r="P229" s="297"/>
      <c r="Q229" s="297"/>
      <c r="R229" s="297"/>
    </row>
    <row r="230" spans="2:18" x14ac:dyDescent="0.3">
      <c r="B230" s="300"/>
      <c r="K230" s="297"/>
      <c r="L230" s="297"/>
      <c r="M230" s="297"/>
      <c r="N230" s="297"/>
      <c r="O230" s="297"/>
      <c r="P230" s="297"/>
      <c r="Q230" s="297"/>
      <c r="R230" s="297"/>
    </row>
    <row r="231" spans="2:18" x14ac:dyDescent="0.3">
      <c r="B231" s="250" t="s">
        <v>1127</v>
      </c>
      <c r="C231" s="376">
        <f t="shared" ref="C231:P231" ca="1" si="3">SUM(C222:C230)</f>
        <v>0</v>
      </c>
      <c r="D231" s="376">
        <f t="shared" ca="1" si="3"/>
        <v>0</v>
      </c>
      <c r="E231" s="376">
        <f t="shared" ca="1" si="3"/>
        <v>0</v>
      </c>
      <c r="F231" s="376">
        <f t="shared" ca="1" si="3"/>
        <v>0</v>
      </c>
      <c r="G231" s="376">
        <f t="shared" ca="1" si="3"/>
        <v>0</v>
      </c>
      <c r="H231" s="376">
        <f t="shared" ca="1" si="3"/>
        <v>0</v>
      </c>
      <c r="I231" s="376">
        <f t="shared" ca="1" si="3"/>
        <v>0</v>
      </c>
      <c r="J231" s="376">
        <f t="shared" ca="1" si="3"/>
        <v>0</v>
      </c>
      <c r="K231" s="376">
        <f t="shared" ca="1" si="3"/>
        <v>0</v>
      </c>
      <c r="L231" s="376">
        <f t="shared" ca="1" si="3"/>
        <v>0</v>
      </c>
      <c r="M231" s="376">
        <f t="shared" ca="1" si="3"/>
        <v>0</v>
      </c>
      <c r="N231" s="376">
        <f t="shared" ca="1" si="3"/>
        <v>0</v>
      </c>
      <c r="O231" s="376">
        <f t="shared" ca="1" si="3"/>
        <v>0</v>
      </c>
      <c r="P231" s="376">
        <f t="shared" ca="1" si="3"/>
        <v>0</v>
      </c>
    </row>
    <row r="233" spans="2:18" ht="18" x14ac:dyDescent="0.3">
      <c r="B233" s="414" t="s">
        <v>1163</v>
      </c>
      <c r="C233" s="415"/>
      <c r="D233" s="415"/>
      <c r="E233" s="415"/>
      <c r="F233" s="415"/>
      <c r="G233" s="415"/>
      <c r="H233" s="415"/>
      <c r="I233" s="415"/>
      <c r="J233" s="415"/>
      <c r="K233" s="415"/>
      <c r="L233" s="415"/>
      <c r="M233" s="415"/>
      <c r="N233" s="415"/>
      <c r="O233" s="415"/>
      <c r="P233" s="416"/>
    </row>
    <row r="234" spans="2:18" hidden="1" x14ac:dyDescent="0.3">
      <c r="B234" s="417" t="s">
        <v>1164</v>
      </c>
      <c r="C234" s="418"/>
      <c r="D234" s="418"/>
      <c r="E234" s="418"/>
      <c r="F234" s="418"/>
      <c r="G234" s="418"/>
      <c r="H234" s="418"/>
      <c r="I234" s="418"/>
      <c r="J234" s="418"/>
      <c r="K234" s="418"/>
      <c r="L234" s="418"/>
      <c r="M234" s="418"/>
      <c r="N234" s="418"/>
      <c r="O234" s="418"/>
      <c r="P234" s="419"/>
    </row>
    <row r="235" spans="2:18" hidden="1" x14ac:dyDescent="0.3">
      <c r="B235" s="325" t="s">
        <v>1165</v>
      </c>
      <c r="C235" s="325">
        <v>7</v>
      </c>
      <c r="D235" s="325">
        <v>7</v>
      </c>
      <c r="E235" s="325">
        <v>8</v>
      </c>
      <c r="F235" s="325">
        <v>8</v>
      </c>
      <c r="G235" s="325">
        <v>9</v>
      </c>
      <c r="H235" s="325">
        <v>9</v>
      </c>
      <c r="I235" s="325">
        <v>10</v>
      </c>
      <c r="J235" s="325">
        <v>10</v>
      </c>
      <c r="K235" s="325">
        <v>11</v>
      </c>
      <c r="L235" s="325">
        <v>11</v>
      </c>
      <c r="M235" s="325">
        <v>12</v>
      </c>
      <c r="N235" s="325">
        <v>12</v>
      </c>
      <c r="O235" s="325">
        <v>0</v>
      </c>
      <c r="P235" s="325">
        <v>0</v>
      </c>
    </row>
    <row r="236" spans="2:18" ht="32.1" customHeight="1" x14ac:dyDescent="0.3">
      <c r="B236" s="322" t="s">
        <v>1149</v>
      </c>
      <c r="C236" s="323" t="s">
        <v>1166</v>
      </c>
      <c r="D236" s="323" t="s">
        <v>1167</v>
      </c>
      <c r="E236" s="323" t="s">
        <v>1168</v>
      </c>
      <c r="F236" s="323" t="s">
        <v>1169</v>
      </c>
      <c r="G236" s="323" t="s">
        <v>1170</v>
      </c>
      <c r="H236" s="323" t="s">
        <v>1171</v>
      </c>
      <c r="I236" s="323" t="s">
        <v>1172</v>
      </c>
      <c r="J236" s="323" t="s">
        <v>1173</v>
      </c>
      <c r="K236" s="323" t="s">
        <v>1174</v>
      </c>
      <c r="L236" s="323" t="s">
        <v>1175</v>
      </c>
      <c r="M236" s="323" t="s">
        <v>1176</v>
      </c>
      <c r="N236" s="323" t="s">
        <v>1177</v>
      </c>
      <c r="O236" s="323" t="s">
        <v>1178</v>
      </c>
      <c r="P236" s="323" t="s">
        <v>1179</v>
      </c>
      <c r="Q236"/>
      <c r="R236"/>
    </row>
    <row r="237" spans="2:18" x14ac:dyDescent="0.3">
      <c r="B237" t="s">
        <v>51</v>
      </c>
      <c r="C237" s="324" cm="1">
        <f t="array" ref="C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37" s="324" cm="1">
        <f t="array" ref="D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489826.00999999995</v>
      </c>
      <c r="E237" s="324">
        <v>215463.83</v>
      </c>
      <c r="F237" s="324" cm="1">
        <f t="array" ref="F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164440.34</v>
      </c>
      <c r="G237" s="324" cm="1">
        <f t="array" ref="G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81400</v>
      </c>
      <c r="H237" s="324" cm="1">
        <f t="array" ref="H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16330.81</v>
      </c>
      <c r="I237" s="324" cm="1">
        <f t="array" ref="I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37" s="324" cm="1">
        <f t="array" ref="J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37" s="324" cm="1">
        <f t="array" ref="K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37" s="324" cm="1">
        <f t="array" ref="L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37" s="324" cm="1">
        <f t="array" ref="M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37" s="324" cm="1">
        <f t="array" ref="N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37" s="324" cm="1">
        <f t="array" ref="O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161363.12</v>
      </c>
      <c r="P237" s="324" cm="1">
        <f t="array" ref="P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670597.16</v>
      </c>
      <c r="Q237"/>
      <c r="R237"/>
    </row>
    <row r="238" spans="2:18" x14ac:dyDescent="0.3">
      <c r="B238" t="s">
        <v>77</v>
      </c>
      <c r="C238" s="324" cm="1">
        <f t="array" ref="C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38" s="324" cm="1">
        <f t="array" ref="D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27163.63</v>
      </c>
      <c r="E238" s="324" cm="1">
        <f t="array" ref="E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3540.64</v>
      </c>
      <c r="F238" s="324" cm="1">
        <f t="array" ref="F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29550.03</v>
      </c>
      <c r="G238" s="324" cm="1">
        <f t="array" ref="G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38" s="324" cm="1">
        <f t="array" ref="H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38" s="324" cm="1">
        <f t="array" ref="I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38" s="324" cm="1">
        <f t="array" ref="J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38" s="324" cm="1">
        <f t="array" ref="K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38" s="324" cm="1">
        <f t="array" ref="L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38" s="324" cm="1">
        <f t="array" ref="M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38" s="324" cm="1">
        <f t="array" ref="N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38" s="324" cm="1">
        <f t="array" ref="O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3540.64</v>
      </c>
      <c r="P238" s="324" cm="1">
        <f t="array" ref="P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56713.66</v>
      </c>
      <c r="Q238"/>
      <c r="R238"/>
    </row>
    <row r="239" spans="2:18" x14ac:dyDescent="0.3">
      <c r="B239" t="s">
        <v>96</v>
      </c>
      <c r="C239" s="324" cm="1">
        <f t="array" ref="C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39" s="324" cm="1">
        <f t="array" ref="D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19779.48</v>
      </c>
      <c r="E239" s="324" cm="1">
        <f t="array" ref="E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1093.31</v>
      </c>
      <c r="F239" s="324" cm="1">
        <f t="array" ref="F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15168.57</v>
      </c>
      <c r="G239" s="324" cm="1">
        <f t="array" ref="G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39" s="324" cm="1">
        <f t="array" ref="H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39" s="324" cm="1">
        <f t="array" ref="I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39" s="324" cm="1">
        <f t="array" ref="J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39" s="324" cm="1">
        <f t="array" ref="K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39" s="324" cm="1">
        <f t="array" ref="L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39" s="324" cm="1">
        <f t="array" ref="M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39" s="324" cm="1">
        <f t="array" ref="N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39" s="324" cm="1">
        <f t="array" ref="O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1093.31</v>
      </c>
      <c r="P239" s="324" cm="1">
        <f t="array" ref="P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34948.049999999996</v>
      </c>
      <c r="Q239"/>
      <c r="R239"/>
    </row>
    <row r="240" spans="2:18" x14ac:dyDescent="0.3">
      <c r="B240" t="s">
        <v>91</v>
      </c>
      <c r="C240" s="324" cm="1">
        <f t="array" ref="C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0" s="324" cm="1">
        <f t="array" ref="D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118882.21</v>
      </c>
      <c r="E240" s="324" cm="1">
        <f t="array" ref="E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0</v>
      </c>
      <c r="F240" s="324" cm="1">
        <f t="array" ref="F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101438.61</v>
      </c>
      <c r="G240" s="324" cm="1">
        <f t="array" ref="G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222308.59999999998</v>
      </c>
      <c r="H240" s="324" cm="1">
        <f t="array" ref="H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0" s="324" cm="1">
        <f t="array" ref="I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0" s="324" cm="1">
        <f t="array" ref="J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0" s="324" cm="1">
        <f t="array" ref="K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0" s="324" cm="1">
        <f t="array" ref="L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0" s="324" cm="1">
        <f t="array" ref="M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0" s="324" cm="1">
        <f t="array" ref="N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0" s="324" cm="1">
        <f t="array" ref="O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222308.59999999998</v>
      </c>
      <c r="P240" s="324" cm="1">
        <f t="array" ref="P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220320.82</v>
      </c>
      <c r="Q240"/>
      <c r="R240"/>
    </row>
    <row r="241" spans="2:18" x14ac:dyDescent="0.3">
      <c r="B241" t="s">
        <v>67</v>
      </c>
      <c r="C241" s="324" cm="1">
        <f t="array" ref="C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1" s="324" cm="1">
        <f t="array" ref="D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167431.598</v>
      </c>
      <c r="E241" s="324" cm="1">
        <f t="array" ref="E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175816.47999999998</v>
      </c>
      <c r="F241" s="324" cm="1">
        <f t="array" ref="F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24860</v>
      </c>
      <c r="G241" s="324" cm="1">
        <f t="array" ref="G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1" s="324" cm="1">
        <f t="array" ref="H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1" s="324" cm="1">
        <f t="array" ref="I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1" s="324" cm="1">
        <f t="array" ref="J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1" s="324" cm="1">
        <f t="array" ref="K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182457.35</v>
      </c>
      <c r="L241" s="324" cm="1">
        <f t="array" ref="L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1" s="324" cm="1">
        <f t="array" ref="M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4543190.08</v>
      </c>
      <c r="N241" s="324" cm="1">
        <f t="array" ref="N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1" s="324" cm="1">
        <f t="array" ref="O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4901463.91</v>
      </c>
      <c r="P241" s="324" cm="1">
        <f t="array" ref="P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192291.598</v>
      </c>
      <c r="Q241"/>
      <c r="R241"/>
    </row>
    <row r="242" spans="2:18" x14ac:dyDescent="0.3">
      <c r="B242" t="s">
        <v>171</v>
      </c>
      <c r="C242" s="324" cm="1">
        <f t="array" ref="C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2" s="324" cm="1">
        <f t="array" ref="D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47296.53</v>
      </c>
      <c r="E242" s="324" cm="1">
        <f t="array" ref="E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10203.060000000001</v>
      </c>
      <c r="F242" s="324" cm="1">
        <f t="array" ref="F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41675.870000000003</v>
      </c>
      <c r="G242" s="324" cm="1">
        <f t="array" ref="G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2" s="324" cm="1">
        <f t="array" ref="H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2" s="324" cm="1">
        <f t="array" ref="I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2" s="324" cm="1">
        <f t="array" ref="J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2" s="324" cm="1">
        <f t="array" ref="K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2" s="324" cm="1">
        <f t="array" ref="L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2" s="324" cm="1">
        <f t="array" ref="M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2" s="324" cm="1">
        <f t="array" ref="N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2" s="324" cm="1">
        <f t="array" ref="O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10203.060000000001</v>
      </c>
      <c r="P242" s="324" cm="1">
        <f t="array" ref="P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88972.4</v>
      </c>
      <c r="Q242"/>
      <c r="R242"/>
    </row>
    <row r="243" spans="2:18" x14ac:dyDescent="0.3">
      <c r="B243" t="s">
        <v>163</v>
      </c>
      <c r="C243" s="324" cm="1">
        <f t="array" ref="C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3" s="324" cm="1">
        <f t="array" ref="D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14197</v>
      </c>
      <c r="E243" s="324" cm="1">
        <f t="array" ref="E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99224.6</v>
      </c>
      <c r="F243" s="324" cm="1">
        <f t="array" ref="F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6326.8099999999995</v>
      </c>
      <c r="G243" s="324" cm="1">
        <f t="array" ref="G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3" s="324" cm="1">
        <f t="array" ref="H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3" s="324" cm="1">
        <f t="array" ref="I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3" s="324" cm="1">
        <f t="array" ref="J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3" s="324" cm="1">
        <f t="array" ref="K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3" s="324" cm="1">
        <f t="array" ref="L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3" s="324" cm="1">
        <f t="array" ref="M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3" s="324" cm="1">
        <f t="array" ref="N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3" s="324" cm="1">
        <f t="array" ref="O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99224.6</v>
      </c>
      <c r="P243" s="324" cm="1">
        <f t="array" ref="P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20523.810000000001</v>
      </c>
      <c r="Q243"/>
      <c r="R243"/>
    </row>
    <row r="244" spans="2:18" x14ac:dyDescent="0.3">
      <c r="B244" t="s">
        <v>292</v>
      </c>
      <c r="C244" s="324" cm="1">
        <f t="array" ref="C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4" s="324" cm="1">
        <f t="array" ref="D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36019.519999999997</v>
      </c>
      <c r="E244" s="324" cm="1">
        <f t="array" ref="E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0</v>
      </c>
      <c r="F244" s="324" cm="1">
        <f t="array" ref="F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36629.979999999996</v>
      </c>
      <c r="G244" s="324" cm="1">
        <f t="array" ref="G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4" s="324" cm="1">
        <f t="array" ref="H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4" s="324" cm="1">
        <f t="array" ref="I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4" s="324" cm="1">
        <f t="array" ref="J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4" s="324" cm="1">
        <f t="array" ref="K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4" s="324" cm="1">
        <f t="array" ref="L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4" s="324" cm="1">
        <f t="array" ref="M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4" s="324" cm="1">
        <f t="array" ref="N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4" s="324" cm="1">
        <f t="array" ref="O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0</v>
      </c>
      <c r="P244" s="324" cm="1">
        <f t="array" ref="P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72649.5</v>
      </c>
      <c r="Q244"/>
      <c r="R244"/>
    </row>
    <row r="245" spans="2:18" x14ac:dyDescent="0.3">
      <c r="B245" t="s">
        <v>619</v>
      </c>
      <c r="C245" s="324" cm="1">
        <f t="array" ref="C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5" s="324" cm="1">
        <f t="array" ref="D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0</v>
      </c>
      <c r="E245" s="324" cm="1">
        <f t="array" ref="E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0</v>
      </c>
      <c r="F245" s="324" cm="1">
        <f t="array" ref="F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0</v>
      </c>
      <c r="G245" s="324" cm="1">
        <f t="array" ref="G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5" s="324" cm="1">
        <f t="array" ref="H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5" s="324" cm="1">
        <f t="array" ref="I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5" s="324" cm="1">
        <f t="array" ref="J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5" s="324" cm="1">
        <f t="array" ref="K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5" s="324" cm="1">
        <f t="array" ref="L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5" s="324" cm="1">
        <f t="array" ref="M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5" s="324" cm="1">
        <f t="array" ref="N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5" s="324" cm="1">
        <f t="array" ref="O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0</v>
      </c>
      <c r="P245" s="324" cm="1">
        <f t="array" ref="P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0</v>
      </c>
      <c r="Q245"/>
      <c r="R245"/>
    </row>
    <row r="246" spans="2:18" x14ac:dyDescent="0.3">
      <c r="B246" s="250" t="s">
        <v>1127</v>
      </c>
      <c r="C246" s="326">
        <f>SUM(C237:C245)</f>
        <v>0</v>
      </c>
      <c r="D246" s="326">
        <f t="shared" ref="D246:P246" si="4">SUM(D237:D245)</f>
        <v>920595.978</v>
      </c>
      <c r="E246" s="326">
        <f>SUM(E237:E245)</f>
        <v>505341.92000000004</v>
      </c>
      <c r="F246" s="326">
        <f t="shared" si="4"/>
        <v>420090.20999999996</v>
      </c>
      <c r="G246" s="326">
        <f t="shared" si="4"/>
        <v>303708.59999999998</v>
      </c>
      <c r="H246" s="326">
        <f t="shared" si="4"/>
        <v>16330.81</v>
      </c>
      <c r="I246" s="326">
        <f t="shared" si="4"/>
        <v>0</v>
      </c>
      <c r="J246" s="326">
        <f t="shared" si="4"/>
        <v>0</v>
      </c>
      <c r="K246" s="326">
        <f t="shared" si="4"/>
        <v>182457.35</v>
      </c>
      <c r="L246" s="326">
        <f t="shared" si="4"/>
        <v>0</v>
      </c>
      <c r="M246" s="326">
        <f t="shared" si="4"/>
        <v>4543190.08</v>
      </c>
      <c r="N246" s="326">
        <f t="shared" si="4"/>
        <v>0</v>
      </c>
      <c r="O246" s="326">
        <f t="shared" si="4"/>
        <v>5399197.2399999993</v>
      </c>
      <c r="P246" s="326">
        <f t="shared" si="4"/>
        <v>1357016.9980000001</v>
      </c>
      <c r="Q246"/>
      <c r="R246"/>
    </row>
  </sheetData>
  <mergeCells count="24">
    <mergeCell ref="B2:J2"/>
    <mergeCell ref="B149:F149"/>
    <mergeCell ref="C92:D92"/>
    <mergeCell ref="C98:D98"/>
    <mergeCell ref="C99:D99"/>
    <mergeCell ref="B9:E9"/>
    <mergeCell ref="B6:G6"/>
    <mergeCell ref="C56:D56"/>
    <mergeCell ref="C62:D62"/>
    <mergeCell ref="C68:D68"/>
    <mergeCell ref="C74:D74"/>
    <mergeCell ref="C80:D80"/>
    <mergeCell ref="B233:P233"/>
    <mergeCell ref="B234:P234"/>
    <mergeCell ref="C86:D86"/>
    <mergeCell ref="B25:F25"/>
    <mergeCell ref="C32:D32"/>
    <mergeCell ref="C38:D38"/>
    <mergeCell ref="C44:D44"/>
    <mergeCell ref="C50:D50"/>
    <mergeCell ref="B216:P216"/>
    <mergeCell ref="B101:E101"/>
    <mergeCell ref="B114:E114"/>
    <mergeCell ref="B137:E137"/>
  </mergeCells>
  <dataValidations count="3">
    <dataValidation type="list" allowBlank="1" showInputMessage="1" showErrorMessage="1" sqref="C4" xr:uid="{9044BF78-3303-4212-B9AC-6F52982EA878}">
      <formula1>"Todos,2025,2026"</formula1>
    </dataValidation>
    <dataValidation type="list" allowBlank="1" showInputMessage="1" showErrorMessage="1" sqref="E4" xr:uid="{F208B7D2-255D-4E69-A615-7079BAB4E3A0}">
      <formula1>"Todos,Janeiro,Fevereiro,Março,Abril,Maio,Junho,Julho,Agosto,Setembro,Outubro,Novembro,Dezembro"</formula1>
    </dataValidation>
    <dataValidation type="list" allowBlank="1" showInputMessage="1" showErrorMessage="1" promptTitle="Filtro Top 5" prompt="Selecione o mês para o ranking Top 5 Clientes" sqref="C148" xr:uid="{53CE3CFC-F21C-41CE-97FC-FCD0DE9E134B}">
      <formula1>"Todos,Janeiro,Fevereiro,Março,Abril,Maio,Junho,Julho,Agosto,Setembro,Outubro,Novembro,Dezembro"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B97-4D3D-4695-B321-949AF5A6B362}">
  <sheetPr>
    <tabColor rgb="FF548235"/>
  </sheetPr>
  <dimension ref="A1:J191"/>
  <sheetViews>
    <sheetView topLeftCell="A39" workbookViewId="0">
      <selection activeCell="F59" sqref="F59"/>
    </sheetView>
  </sheetViews>
  <sheetFormatPr defaultColWidth="8.88671875" defaultRowHeight="14.4" x14ac:dyDescent="0.3"/>
  <cols>
    <col min="1" max="1" width="1.88671875" style="180" customWidth="1"/>
    <col min="2" max="2" width="12" style="180" customWidth="1"/>
    <col min="3" max="3" width="20" style="180" customWidth="1"/>
    <col min="4" max="4" width="20.44140625" style="180" customWidth="1"/>
    <col min="5" max="5" width="20.5546875" style="180" customWidth="1"/>
    <col min="6" max="6" width="22" style="180" customWidth="1"/>
    <col min="7" max="7" width="19" style="180" customWidth="1"/>
    <col min="8" max="8" width="24.6640625" style="180" customWidth="1"/>
    <col min="9" max="10" width="21" style="180" customWidth="1"/>
    <col min="11" max="16384" width="8.88671875" style="180"/>
  </cols>
  <sheetData>
    <row r="1" spans="1:10" x14ac:dyDescent="0.3">
      <c r="J1" s="180" cm="1">
        <f t="array" ref="J1">SUMPRODUCT(('GESTAO OPERACAO'!$AA$2:$AA$632="SEMANA 02 / JAN / 2026")*('GESTAO OPERACAO'!$U$2:$U$632&gt;0)*IFERROR('GESTAO OPERACAO'!$P$2:$P$632*1,0))</f>
        <v>256887.03999999998</v>
      </c>
    </row>
    <row r="2" spans="1:10" ht="32.1" customHeight="1" x14ac:dyDescent="0.3">
      <c r="B2" s="222" t="s">
        <v>1180</v>
      </c>
      <c r="C2" s="223"/>
      <c r="D2" s="223"/>
      <c r="E2" s="223"/>
      <c r="F2" s="223"/>
      <c r="G2" s="223"/>
      <c r="H2" s="223"/>
      <c r="I2" s="223"/>
      <c r="J2" s="224" cm="1">
        <f t="array" ref="J2">SUMPRODUCT(('GESTAO OPERACAO'!$AA$2:$AA$632="SEMANA 02 / JAN / 2026")*('GESTAO OPERACAO'!$U$2:$U$632&gt;0))</f>
        <v>15</v>
      </c>
    </row>
    <row r="3" spans="1:10" x14ac:dyDescent="0.3">
      <c r="J3" s="180">
        <f>'GESTAO OPERACAO'!P13</f>
        <v>5253</v>
      </c>
    </row>
    <row r="4" spans="1:10" x14ac:dyDescent="0.3">
      <c r="B4" s="181" t="s">
        <v>1103</v>
      </c>
      <c r="C4" s="213">
        <v>2026</v>
      </c>
      <c r="D4" s="181" t="s">
        <v>1104</v>
      </c>
      <c r="E4" s="213" t="s">
        <v>1105</v>
      </c>
      <c r="J4" s="180" t="str">
        <f>'GESTAO OPERACAO'!AA13</f>
        <v>DEZEMBRO/2025</v>
      </c>
    </row>
    <row r="5" spans="1:10" x14ac:dyDescent="0.3">
      <c r="J5" s="180">
        <f>'GESTAO OPERACAO'!U13</f>
        <v>46009</v>
      </c>
    </row>
    <row r="6" spans="1:10" ht="15.6" x14ac:dyDescent="0.3">
      <c r="B6" s="435" t="s">
        <v>1106</v>
      </c>
      <c r="C6" s="435"/>
      <c r="D6" s="435"/>
      <c r="E6" s="435"/>
      <c r="F6" s="435"/>
      <c r="G6" s="435"/>
      <c r="H6" s="435"/>
      <c r="I6" s="435"/>
      <c r="J6" s="435"/>
    </row>
    <row r="7" spans="1:10" ht="18" x14ac:dyDescent="0.35">
      <c r="B7" s="214" t="s">
        <v>1181</v>
      </c>
      <c r="C7" s="183" cm="1">
        <f t="array" ref="C7">SUMPRODUCT((($C$4="Todos")+(YEAR('GESTAO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</f>
        <v>419</v>
      </c>
      <c r="D7" s="214" t="s">
        <v>1182</v>
      </c>
      <c r="E7" s="184" cm="1">
        <f t="array" ref="E7">SUMPRODUCT((($C$4="Todos")+(YEAR('GESTAO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OPERACAO'!$U$2:$U$632&gt;0)*IFERROR('GESTAO OPERACAO'!$P$2:$P$632*1,0))</f>
        <v>11263509.268899996</v>
      </c>
      <c r="F7" s="214" t="s">
        <v>1183</v>
      </c>
      <c r="G7" s="442" cm="1">
        <f t="array" ref="G7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OPERACAO'!$AS$2:$AS$632&lt;=365)*IFERROR('GESTAO OPERACAO'!$AS$2:$AS$632*1,0))/SUMPRODUCT((($C$4="Todos")+(YEAR('GESTAO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OPERACAO'!$AS$2:$AS$632&lt;=365)),0)</f>
        <v>25.434782608695652</v>
      </c>
      <c r="H7" s="443"/>
      <c r="I7" s="214" t="s">
        <v>1184</v>
      </c>
      <c r="J7" s="215" cm="1">
        <f t="array" ref="J7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OPERACAO'!$AO$2:$AO$632="SIM"))/SUMPRODUCT((($C$4="Todos")+(YEAR('GESTAO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OPERACAO'!$AB$2:$AB$632&gt;0)*(('GESTAO OPERACAO'!$AO$2:$AO$632="SIM")+('GESTAO OPERACAO'!$AO$2:$AO$632="NÃO")+('GESTAO OPERACAO'!$AO$2:$AO$632="NAO"))),0)</f>
        <v>0.8936170212765957</v>
      </c>
    </row>
    <row r="8" spans="1:10" ht="18" x14ac:dyDescent="0.35">
      <c r="B8" s="292" t="s">
        <v>1185</v>
      </c>
      <c r="C8" s="293" cm="1">
        <f t="array" ref="C8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OPERACAO'!$AB$2:$AB$632&gt;0))</f>
        <v>411</v>
      </c>
      <c r="D8" s="292" t="s">
        <v>1186</v>
      </c>
      <c r="E8" s="294" cm="1">
        <f t="array" ref="E8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OPERACAO'!$AB$2:$AB$632&gt;0)*IFERROR('GESTAO OPERACAO'!$AC$2:$AC$632*1,0))</f>
        <v>11101964.879999995</v>
      </c>
      <c r="F8" s="292" t="s">
        <v>1183</v>
      </c>
      <c r="G8" s="444">
        <f>G7</f>
        <v>25.434782608695652</v>
      </c>
      <c r="H8" s="445"/>
      <c r="I8" s="295"/>
      <c r="J8" s="296"/>
    </row>
    <row r="9" spans="1:10" x14ac:dyDescent="0.3">
      <c r="B9" s="265"/>
      <c r="C9" s="265"/>
      <c r="D9" s="265"/>
      <c r="E9" s="265"/>
      <c r="F9" s="265"/>
      <c r="G9" s="265"/>
      <c r="H9" s="265"/>
    </row>
    <row r="10" spans="1:10" ht="15.6" x14ac:dyDescent="0.3">
      <c r="A10" s="198"/>
      <c r="B10" s="439" t="s">
        <v>1187</v>
      </c>
      <c r="C10" s="440"/>
      <c r="D10" s="440"/>
      <c r="E10" s="440"/>
      <c r="F10" s="440"/>
      <c r="G10" s="440"/>
      <c r="H10" s="441"/>
      <c r="I10" s="199"/>
    </row>
    <row r="11" spans="1:10" x14ac:dyDescent="0.3">
      <c r="A11" s="198"/>
      <c r="B11" s="266" t="s">
        <v>1111</v>
      </c>
      <c r="C11" s="267" t="s">
        <v>1129</v>
      </c>
      <c r="D11" s="267" t="s">
        <v>1130</v>
      </c>
      <c r="E11" s="267" t="s">
        <v>1188</v>
      </c>
      <c r="F11" s="267" t="s">
        <v>1189</v>
      </c>
      <c r="G11" s="284" t="s">
        <v>1190</v>
      </c>
      <c r="H11" s="268" t="s">
        <v>1191</v>
      </c>
      <c r="I11" s="199"/>
    </row>
    <row r="12" spans="1:10" x14ac:dyDescent="0.3">
      <c r="A12" s="198"/>
      <c r="B12" s="269" t="s">
        <v>1115</v>
      </c>
      <c r="C12" s="270" t="s">
        <v>1131</v>
      </c>
      <c r="D12" s="270" t="str">
        <f>IF(((DATE(IF($C$4="Todos",2026,$C$4),1,1)+MOD(8-WEEKDAY(DATE(IF($C$4="Todos",2026,$C$4),1,1),2),7))+(1-1)*7)&gt;EOMONTH(DATE(IF($C$4="Todos",2026,$C$4),1,1),0),"",TEXT(((DATE(IF($C$4="Todos",2026,$C$4),1,1)+MOD(8-WEEKDAY(DATE(IF($C$4="Todos",2026,$C$4),1,1),2),7))+(1-1)*7),"dd/mm")&amp;" - "&amp;TEXT(MIN((((DATE(IF($C$4="Todos",2026,$C$4),1,1)+MOD(8-WEEKDAY(DATE(IF($C$4="Todos",2026,$C$4),1,1),2),7))+(1-1)*7)+6),EOMONTH(DATE(IF($C$4="Todos",2026,$C$4),1,1),0)),"dd/mm"))</f>
        <v>05/01 - 11/01</v>
      </c>
      <c r="E12" s="271" cm="1">
        <f t="array" ref="E12">(($E$4="Todos")+($E$4="Janeiro")&gt;0)*SUMPRODUCT(('GESTAO OPERACAO'!$AA$2:$AA$632="SEMANA 01 / JAN / "&amp;IF($C$4="Todos","",$C$4))*('GESTAO OPERACAO'!$U$2:$U$632&gt;0)*(($C$4="Todos")+(YEAR('GESTAO OPERACAO'!$U$2:$U$632)=$C$4)&gt;0))</f>
        <v>8</v>
      </c>
      <c r="F12" s="272" cm="1">
        <f t="array" ref="F12">(($E$4="Todos")+($E$4="Janeiro")&gt;0)*SUMPRODUCT(('GESTAO OPERACAO'!$AA$2:$AA$632="SEMANA 01 / JAN / "&amp;IF($C$4="Todos","",$C$4))*('GESTAO OPERACAO'!$U$2:$U$632&gt;0)*(($C$4="Todos")+(YEAR('GESTAO OPERACAO'!$U$2:$U$632)=$C$4)&gt;0)*IFERROR('GESTAO OPERACAO'!$P$2:$P$632*1,0))</f>
        <v>47590.039999999994</v>
      </c>
      <c r="G12" s="285" cm="1">
        <f t="array" ref="G12">(($E$4="Todos")+($E$4="Janeiro")&gt;0)*SUMPRODUCT(('GESTAO OPERACAO'!$AA$2:$AA$632="SEMANA 01 / JAN / "&amp;IF($C$4="Todos","",$C$4))*IFERROR('GESTAO OPERACAO'!$AC$2:$AC$632*1,0)*(($C$4="Todos")+(IFERROR(YEAR('GESTAO OPERACAO'!$AB$2:$AB$632),0)=$C$4)+(IFERROR(YEAR('GESTAO OPERACAO'!$AB$2:$AB$632),0)=0)&gt;0))</f>
        <v>47590.06</v>
      </c>
      <c r="H12" s="273" cm="1">
        <f t="array" ref="H12">IFERROR((($E$4="Todos")+($E$4="Janeiro")&gt;0)*SUMPRODUCT(('GESTAO OPERACAO'!$AA$2:$AA$632="SEMANA 01 / JAN / "&amp;IF($C$4="Todos","",$C$4))*('GESTAO OPERACAO'!$U$2:$U$632&gt;0)*(($C$4="Todos")+(YEAR('GESTAO OPERACAO'!$U$2:$U$632)=$C$4)&gt;0)*IFERROR('GESTAO OPERACAO'!$X$2:$X$632*1,0))/SUMPRODUCT(('GESTAO OPERACAO'!$AA$2:$AA$632="SEMANA 01 / JAN / "&amp;IF($C$4="Todos","",$C$4))*('GESTAO OPERACAO'!$U$2:$U$632&gt;0)*(($C$4="Todos")+(YEAR('GESTAO OPERACAO'!$U$2:$U$632)=$C$4)&gt;0)*ISNUMBER('GESTAO OPERACAO'!$X$2:$X$632)*1),0)</f>
        <v>19.625</v>
      </c>
      <c r="I12" s="199"/>
    </row>
    <row r="13" spans="1:10" x14ac:dyDescent="0.3">
      <c r="A13" s="198"/>
      <c r="B13" s="269" t="s">
        <v>1115</v>
      </c>
      <c r="C13" s="270" t="s">
        <v>1132</v>
      </c>
      <c r="D13" s="270" t="str">
        <f>IF(((DATE(IF($C$4="Todos",2026,$C$4),1,1)+MOD(8-WEEKDAY(DATE(IF($C$4="Todos",2026,$C$4),1,1),2),7))+(2-1)*7)&gt;EOMONTH(DATE(IF($C$4="Todos",2026,$C$4),1,1),0),"",TEXT(((DATE(IF($C$4="Todos",2026,$C$4),1,1)+MOD(8-WEEKDAY(DATE(IF($C$4="Todos",2026,$C$4),1,1),2),7))+(2-1)*7),"dd/mm")&amp;" - "&amp;TEXT(MIN((((DATE(IF($C$4="Todos",2026,$C$4),1,1)+MOD(8-WEEKDAY(DATE(IF($C$4="Todos",2026,$C$4),1,1),2),7))+(2-1)*7)+6),EOMONTH(DATE(IF($C$4="Todos",2026,$C$4),1,1),0)),"dd/mm"))</f>
        <v>12/01 - 18/01</v>
      </c>
      <c r="E13" s="271" cm="1">
        <f t="array" ref="E13">(($E$4="Todos")+($E$4="Janeiro")&gt;0)*SUMPRODUCT(('GESTAO OPERACAO'!$AA$2:$AA$632="SEMANA 02 / JAN / "&amp;IF($C$4="Todos","",$C$4))*('GESTAO OPERACAO'!$U$2:$U$632&gt;0)*(($C$4="Todos")+(YEAR('GESTAO OPERACAO'!$U$2:$U$632)=$C$4)&gt;0))</f>
        <v>15</v>
      </c>
      <c r="F13" s="272" cm="1">
        <f t="array" ref="F13">(($E$4="Todos")+($E$4="Janeiro")&gt;0)*SUMPRODUCT(('GESTAO OPERACAO'!$AA$2:$AA$632="SEMANA 02 / JAN / "&amp;IF($C$4="Todos","",$C$4))*('GESTAO OPERACAO'!$U$2:$U$632&gt;0)*(($C$4="Todos")+(YEAR('GESTAO OPERACAO'!$U$2:$U$632)=$C$4)&gt;0)*IFERROR('GESTAO OPERACAO'!$P$2:$P$632*1,0))</f>
        <v>256887.03999999998</v>
      </c>
      <c r="G13" s="285" cm="1">
        <f t="array" ref="G13">(($E$4="Todos")+($E$4="Janeiro")&gt;0)*SUMPRODUCT(('GESTAO OPERACAO'!$AA$2:$AA$632="SEMANA 02 / JAN / "&amp;IF($C$4="Todos","",$C$4))*IFERROR('GESTAO OPERACAO'!$AC$2:$AC$632*1,0)*(($C$4="Todos")+(IFERROR(YEAR('GESTAO OPERACAO'!$AB$2:$AB$632),0)=$C$4)+(IFERROR(YEAR('GESTAO OPERACAO'!$AB$2:$AB$632),0)=0)&gt;0))</f>
        <v>259422.61999999997</v>
      </c>
      <c r="H13" s="273" cm="1">
        <f t="array" ref="H13">IFERROR((($E$4="Todos")+($E$4="Janeiro")&gt;0)*SUMPRODUCT(('GESTAO OPERACAO'!$AA$2:$AA$632="SEMANA 02 / JAN / "&amp;IF($C$4="Todos","",$C$4))*('GESTAO OPERACAO'!$U$2:$U$632&gt;0)*(($C$4="Todos")+(YEAR('GESTAO OPERACAO'!$U$2:$U$632)=$C$4)&gt;0)*IFERROR('GESTAO OPERACAO'!$X$2:$X$632*1,0))/SUMPRODUCT(('GESTAO OPERACAO'!$AA$2:$AA$632="SEMANA 02 / JAN / "&amp;IF($C$4="Todos","",$C$4))*('GESTAO OPERACAO'!$U$2:$U$632&gt;0)*(($C$4="Todos")+(YEAR('GESTAO OPERACAO'!$U$2:$U$632)=$C$4)&gt;0)*ISNUMBER('GESTAO OPERACAO'!$X$2:$X$632)*1),0)</f>
        <v>17.600000000000001</v>
      </c>
      <c r="I13" s="199"/>
    </row>
    <row r="14" spans="1:10" x14ac:dyDescent="0.3">
      <c r="A14" s="198"/>
      <c r="B14" s="269" t="s">
        <v>1115</v>
      </c>
      <c r="C14" s="270" t="s">
        <v>1133</v>
      </c>
      <c r="D14" s="270" t="str">
        <f>IF(((DATE(IF($C$4="Todos",2026,$C$4),1,1)+MOD(8-WEEKDAY(DATE(IF($C$4="Todos",2026,$C$4),1,1),2),7))+(3-1)*7)&gt;EOMONTH(DATE(IF($C$4="Todos",2026,$C$4),1,1),0),"",TEXT(((DATE(IF($C$4="Todos",2026,$C$4),1,1)+MOD(8-WEEKDAY(DATE(IF($C$4="Todos",2026,$C$4),1,1),2),7))+(3-1)*7),"dd/mm")&amp;" - "&amp;TEXT(MIN((((DATE(IF($C$4="Todos",2026,$C$4),1,1)+MOD(8-WEEKDAY(DATE(IF($C$4="Todos",2026,$C$4),1,1),2),7))+(3-1)*7)+6),EOMONTH(DATE(IF($C$4="Todos",2026,$C$4),1,1),0)),"dd/mm"))</f>
        <v>19/01 - 25/01</v>
      </c>
      <c r="E14" s="271" cm="1">
        <f t="array" ref="E14">(($E$4="Todos")+($E$4="Janeiro")&gt;0)*SUMPRODUCT(('GESTAO OPERACAO'!$AA$2:$AA$632="SEMANA 03 / JAN / "&amp;IF($C$4="Todos","",$C$4))*('GESTAO OPERACAO'!$U$2:$U$632&gt;0)*(($C$4="Todos")+(YEAR('GESTAO OPERACAO'!$U$2:$U$632)=$C$4)&gt;0))</f>
        <v>11</v>
      </c>
      <c r="F14" s="272" cm="1">
        <f t="array" ref="F14">(($E$4="Todos")+($E$4="Janeiro")&gt;0)*SUMPRODUCT(('GESTAO OPERACAO'!$AA$2:$AA$632="SEMANA 03 / JAN / "&amp;IF($C$4="Todos","",$C$4))*('GESTAO OPERACAO'!$U$2:$U$632&gt;0)*(($C$4="Todos")+(YEAR('GESTAO OPERACAO'!$U$2:$U$632)=$C$4)&gt;0)*IFERROR('GESTAO OPERACAO'!$P$2:$P$632*1,0))</f>
        <v>353433.19</v>
      </c>
      <c r="G14" s="285" cm="1">
        <f t="array" ref="G14">(($E$4="Todos")+($E$4="Janeiro")&gt;0)*SUMPRODUCT(('GESTAO OPERACAO'!$AA$2:$AA$632="SEMANA 03 / JAN / "&amp;IF($C$4="Todos","",$C$4))*IFERROR('GESTAO OPERACAO'!$AC$2:$AC$632*1,0)*(($C$4="Todos")+(IFERROR(YEAR('GESTAO OPERACAO'!$AB$2:$AB$632),0)=$C$4)+(IFERROR(YEAR('GESTAO OPERACAO'!$AB$2:$AB$632),0)=0)&gt;0))</f>
        <v>353480.91</v>
      </c>
      <c r="H14" s="273" cm="1">
        <f t="array" ref="H14">IFERROR((($E$4="Todos")+($E$4="Janeiro")&gt;0)*SUMPRODUCT(('GESTAO OPERACAO'!$AA$2:$AA$632="SEMANA 03 / JAN / "&amp;IF($C$4="Todos","",$C$4))*('GESTAO OPERACAO'!$U$2:$U$632&gt;0)*(($C$4="Todos")+(YEAR('GESTAO OPERACAO'!$U$2:$U$632)=$C$4)&gt;0)*IFERROR('GESTAO OPERACAO'!$X$2:$X$632*1,0))/SUMPRODUCT(('GESTAO OPERACAO'!$AA$2:$AA$632="SEMANA 03 / JAN / "&amp;IF($C$4="Todos","",$C$4))*('GESTAO OPERACAO'!$U$2:$U$632&gt;0)*(($C$4="Todos")+(YEAR('GESTAO OPERACAO'!$U$2:$U$632)=$C$4)&gt;0)*ISNUMBER('GESTAO OPERACAO'!$X$2:$X$632)*1),0)</f>
        <v>22.272727272727273</v>
      </c>
      <c r="I14" s="199"/>
    </row>
    <row r="15" spans="1:10" x14ac:dyDescent="0.3">
      <c r="A15" s="198"/>
      <c r="B15" s="269" t="s">
        <v>1115</v>
      </c>
      <c r="C15" s="270" t="s">
        <v>1134</v>
      </c>
      <c r="D15" s="270" t="str">
        <f>IF(((DATE(IF($C$4="Todos",2026,$C$4),1,1)+MOD(8-WEEKDAY(DATE(IF($C$4="Todos",2026,$C$4),1,1),2),7))+(4-1)*7)&gt;EOMONTH(DATE(IF($C$4="Todos",2026,$C$4),1,1),0),"",TEXT(((DATE(IF($C$4="Todos",2026,$C$4),1,1)+MOD(8-WEEKDAY(DATE(IF($C$4="Todos",2026,$C$4),1,1),2),7))+(4-1)*7),"dd/mm")&amp;" - "&amp;TEXT(MIN((((DATE(IF($C$4="Todos",2026,$C$4),1,1)+MOD(8-WEEKDAY(DATE(IF($C$4="Todos",2026,$C$4),1,1),2),7))+(4-1)*7)+6),EOMONTH(DATE(IF($C$4="Todos",2026,$C$4),1,1),0)),"dd/mm"))</f>
        <v>26/01 - 31/01</v>
      </c>
      <c r="E15" s="271" cm="1">
        <f t="array" ref="E15">(($E$4="Todos")+($E$4="Janeiro")&gt;0)*SUMPRODUCT(('GESTAO OPERACAO'!$AA$2:$AA$632="SEMANA 04 / JAN / "&amp;IF($C$4="Todos","",$C$4))*('GESTAO OPERACAO'!$U$2:$U$632&gt;0)*(($C$4="Todos")+(YEAR('GESTAO OPERACAO'!$U$2:$U$632)=$C$4)&gt;0))</f>
        <v>5</v>
      </c>
      <c r="F15" s="272" cm="1">
        <f t="array" ref="F15">(($E$4="Todos")+($E$4="Janeiro")&gt;0)*SUMPRODUCT(('GESTAO OPERACAO'!$AA$2:$AA$632="SEMANA 04 / JAN / "&amp;IF($C$4="Todos","",$C$4))*('GESTAO OPERACAO'!$U$2:$U$632&gt;0)*(($C$4="Todos")+(YEAR('GESTAO OPERACAO'!$U$2:$U$632)=$C$4)&gt;0)*IFERROR('GESTAO OPERACAO'!$P$2:$P$632*1,0))</f>
        <v>750494.52</v>
      </c>
      <c r="G15" s="285" cm="1">
        <f t="array" ref="G15">(($E$4="Todos")+($E$4="Janeiro")&gt;0)*SUMPRODUCT(('GESTAO OPERACAO'!$AA$2:$AA$632="SEMANA 04 / JAN / "&amp;IF($C$4="Todos","",$C$4))*IFERROR('GESTAO OPERACAO'!$AC$2:$AC$632*1,0)*(($C$4="Todos")+(IFERROR(YEAR('GESTAO OPERACAO'!$AB$2:$AB$632),0)=$C$4)+(IFERROR(YEAR('GESTAO OPERACAO'!$AB$2:$AB$632),0)=0)&gt;0))</f>
        <v>750555.88</v>
      </c>
      <c r="H15" s="273" cm="1">
        <f t="array" ref="H15">IFERROR((($E$4="Todos")+($E$4="Janeiro")&gt;0)*SUMPRODUCT(('GESTAO OPERACAO'!$AA$2:$AA$632="SEMANA 04 / JAN / "&amp;IF($C$4="Todos","",$C$4))*('GESTAO OPERACAO'!$U$2:$U$632&gt;0)*(($C$4="Todos")+(YEAR('GESTAO OPERACAO'!$U$2:$U$632)=$C$4)&gt;0)*IFERROR('GESTAO OPERACAO'!$X$2:$X$632*1,0))/SUMPRODUCT(('GESTAO OPERACAO'!$AA$2:$AA$632="SEMANA 04 / JAN / "&amp;IF($C$4="Todos","",$C$4))*('GESTAO OPERACAO'!$U$2:$U$632&gt;0)*(($C$4="Todos")+(YEAR('GESTAO OPERACAO'!$U$2:$U$632)=$C$4)&gt;0)*ISNUMBER('GESTAO OPERACAO'!$X$2:$X$632)*1),0)</f>
        <v>86.6</v>
      </c>
      <c r="I15" s="199"/>
    </row>
    <row r="16" spans="1:10" x14ac:dyDescent="0.3">
      <c r="A16" s="198"/>
      <c r="B16" s="269" t="s">
        <v>1115</v>
      </c>
      <c r="C16" s="270" t="s">
        <v>1135</v>
      </c>
      <c r="D16" s="270" t="str">
        <f>IF(((DATE(IF($C$4="Todos",2026,$C$4),1,1)+MOD(8-WEEKDAY(DATE(IF($C$4="Todos",2026,$C$4),1,1),2),7))+(5-1)*7)&gt;EOMONTH(DATE(IF($C$4="Todos",2026,$C$4),1,1),0),"",TEXT(((DATE(IF($C$4="Todos",2026,$C$4),1,1)+MOD(8-WEEKDAY(DATE(IF($C$4="Todos",2026,$C$4),1,1),2),7))+(5-1)*7),"dd/mm")&amp;" - "&amp;TEXT(MIN((((DATE(IF($C$4="Todos",2026,$C$4),1,1)+MOD(8-WEEKDAY(DATE(IF($C$4="Todos",2026,$C$4),1,1),2),7))+(5-1)*7)+6),EOMONTH(DATE(IF($C$4="Todos",2026,$C$4),1,1),0)),"dd/mm"))</f>
        <v/>
      </c>
      <c r="E16" s="271" cm="1">
        <f t="array" ref="E16">(($E$4="Todos")+($E$4="Janeiro")&gt;0)*SUMPRODUCT(('GESTAO OPERACAO'!$AA$2:$AA$632="SEMANA 05 / JAN / "&amp;IF($C$4="Todos","",$C$4))*('GESTAO OPERACAO'!$U$2:$U$632&gt;0)*(($C$4="Todos")+(YEAR('GESTAO OPERACAO'!$U$2:$U$632)=$C$4)&gt;0))</f>
        <v>0</v>
      </c>
      <c r="F16" s="272" cm="1">
        <f t="array" ref="F16">(($E$4="Todos")+($E$4="Janeiro")&gt;0)*SUMPRODUCT(('GESTAO OPERACAO'!$AA$2:$AA$632="SEMANA 05 / JAN / "&amp;IF($C$4="Todos","",$C$4))*('GESTAO OPERACAO'!$U$2:$U$632&gt;0)*(($C$4="Todos")+(YEAR('GESTAO OPERACAO'!$U$2:$U$632)=$C$4)&gt;0)*IFERROR('GESTAO OPERACAO'!$P$2:$P$632*1,0))</f>
        <v>0</v>
      </c>
      <c r="G16" s="285" cm="1">
        <f t="array" ref="G16">(($E$4="Todos")+($E$4="Janeiro")&gt;0)*SUMPRODUCT(('GESTAO OPERACAO'!$AA$2:$AA$632="SEMANA 05 / JAN / "&amp;IF($C$4="Todos","",$C$4))*IFERROR('GESTAO OPERACAO'!$AC$2:$AC$632*1,0)*(($C$4="Todos")+(IFERROR(YEAR('GESTAO OPERACAO'!$AB$2:$AB$632),0)=$C$4)+(IFERROR(YEAR('GESTAO OPERACAO'!$AB$2:$AB$632),0)=0)&gt;0))</f>
        <v>0</v>
      </c>
      <c r="H16" s="273" cm="1">
        <f t="array" ref="H16">IFERROR((($E$4="Todos")+($E$4="Janeiro")&gt;0)*SUMPRODUCT(('GESTAO OPERACAO'!$AA$2:$AA$632="SEMANA 05 / JAN / "&amp;IF($C$4="Todos","",$C$4))*('GESTAO OPERACAO'!$U$2:$U$632&gt;0)*(($C$4="Todos")+(YEAR('GESTAO OPERACAO'!$U$2:$U$632)=$C$4)&gt;0)*IFERROR('GESTAO OPERACAO'!$X$2:$X$632*1,0))/SUMPRODUCT(('GESTAO OPERACAO'!$AA$2:$AA$632="SEMANA 05 / JAN / "&amp;IF($C$4="Todos","",$C$4))*('GESTAO OPERACAO'!$U$2:$U$632&gt;0)*(($C$4="Todos")+(YEAR('GESTAO OPERACAO'!$U$2:$U$632)=$C$4)&gt;0)*ISNUMBER('GESTAO OPERACAO'!$X$2:$X$632)*1),0)</f>
        <v>0</v>
      </c>
      <c r="I16" s="199"/>
    </row>
    <row r="17" spans="1:9" x14ac:dyDescent="0.3">
      <c r="A17" s="198"/>
      <c r="B17" s="274" t="s">
        <v>1136</v>
      </c>
      <c r="C17" s="275"/>
      <c r="D17" s="275"/>
      <c r="E17" s="276">
        <f>SUM(E12:E16)</f>
        <v>39</v>
      </c>
      <c r="F17" s="277">
        <f>SUM(F12:F16)</f>
        <v>1408404.79</v>
      </c>
      <c r="G17" s="286">
        <f>SUM(G12:G16)</f>
        <v>1411049.4699999997</v>
      </c>
      <c r="H17" s="278">
        <f>IFERROR(SUMPRODUCT(E12:E16,H12:H16)/SUM(E12:E16),0)</f>
        <v>28.179487179487179</v>
      </c>
      <c r="I17" s="199"/>
    </row>
    <row r="18" spans="1:9" x14ac:dyDescent="0.3">
      <c r="A18" s="198"/>
      <c r="B18" s="269" t="s">
        <v>1116</v>
      </c>
      <c r="C18" s="270" t="s">
        <v>1131</v>
      </c>
      <c r="D18" s="270" t="str">
        <f>IF(((DATE(IF($C$4="Todos",2026,$C$4),2,1)+MOD(8-WEEKDAY(DATE(IF($C$4="Todos",2026,$C$4),2,1),2),7))+(1-1)*7)&gt;EOMONTH(DATE(IF($C$4="Todos",2026,$C$4),2,1),0),"",TEXT(((DATE(IF($C$4="Todos",2026,$C$4),2,1)+MOD(8-WEEKDAY(DATE(IF($C$4="Todos",2026,$C$4),2,1),2),7))+(1-1)*7),"dd/mm")&amp;" - "&amp;TEXT(MIN((((DATE(IF($C$4="Todos",2026,$C$4),2,1)+MOD(8-WEEKDAY(DATE(IF($C$4="Todos",2026,$C$4),2,1),2),7))+(1-1)*7)+6),EOMONTH(DATE(IF($C$4="Todos",2026,$C$4),2,1),0)),"dd/mm"))</f>
        <v>02/02 - 08/02</v>
      </c>
      <c r="E18" s="271" cm="1">
        <f t="array" ref="E18">(($E$4="Todos")+($E$4="Fevereiro")&gt;0)*SUMPRODUCT(('GESTAO OPERACAO'!$AA$2:$AA$632="SEMANA 01 / FEV / "&amp;IF($C$4="Todos","",$C$4))*('GESTAO OPERACAO'!$U$2:$U$632&gt;0)*(($C$4="Todos")+(YEAR('GESTAO OPERACAO'!$U$2:$U$632)=$C$4)&gt;0))</f>
        <v>16</v>
      </c>
      <c r="F18" s="272" cm="1">
        <f t="array" ref="F18">(($E$4="Todos")+($E$4="Fevereiro")&gt;0)*SUMPRODUCT(('GESTAO OPERACAO'!$AA$2:$AA$632="SEMANA 01 / FEV / "&amp;IF($C$4="Todos","",$C$4))*('GESTAO OPERACAO'!$U$2:$U$632&gt;0)*(($C$4="Todos")+(YEAR('GESTAO OPERACAO'!$U$2:$U$632)=$C$4)&gt;0)*IFERROR('GESTAO OPERACAO'!$P$2:$P$632*1,0))</f>
        <v>179828.65999999997</v>
      </c>
      <c r="G18" s="285" cm="1">
        <f t="array" ref="G18">(($E$4="Todos")+($E$4="Fevereiro")&gt;0)*SUMPRODUCT(('GESTAO OPERACAO'!$AA$2:$AA$632="SEMANA 01 / FEV / "&amp;IF($C$4="Todos","",$C$4))*IFERROR('GESTAO OPERACAO'!$AC$2:$AC$632*1,0)*(($C$4="Todos")+(IFERROR(YEAR('GESTAO OPERACAO'!$AB$2:$AB$632),0)=$C$4)+(IFERROR(YEAR('GESTAO OPERACAO'!$AB$2:$AB$632),0)=0)&gt;0))</f>
        <v>184711</v>
      </c>
      <c r="H18" s="273" cm="1">
        <f t="array" ref="H18">IFERROR((($E$4="Todos")+($E$4="Fevereiro")&gt;0)*SUMPRODUCT(('GESTAO OPERACAO'!$AA$2:$AA$632="SEMANA 01 / FEV / "&amp;IF($C$4="Todos","",$C$4))*('GESTAO OPERACAO'!$U$2:$U$632&gt;0)*(($C$4="Todos")+(YEAR('GESTAO OPERACAO'!$U$2:$U$632)=$C$4)&gt;0)*IFERROR('GESTAO OPERACAO'!$X$2:$X$632*1,0))/SUMPRODUCT(('GESTAO OPERACAO'!$AA$2:$AA$632="SEMANA 01 / FEV / "&amp;IF($C$4="Todos","",$C$4))*('GESTAO OPERACAO'!$U$2:$U$632&gt;0)*(($C$4="Todos")+(YEAR('GESTAO OPERACAO'!$U$2:$U$632)=$C$4)&gt;0)*ISNUMBER('GESTAO OPERACAO'!$X$2:$X$632)*1),0)</f>
        <v>12.875</v>
      </c>
      <c r="I18" s="199"/>
    </row>
    <row r="19" spans="1:9" x14ac:dyDescent="0.3">
      <c r="A19" s="198"/>
      <c r="B19" s="269" t="s">
        <v>1116</v>
      </c>
      <c r="C19" s="270" t="s">
        <v>1132</v>
      </c>
      <c r="D19" s="270" t="str">
        <f>IF(((DATE(IF($C$4="Todos",2026,$C$4),2,1)+MOD(8-WEEKDAY(DATE(IF($C$4="Todos",2026,$C$4),2,1),2),7))+(2-1)*7)&gt;EOMONTH(DATE(IF($C$4="Todos",2026,$C$4),2,1),0),"",TEXT(((DATE(IF($C$4="Todos",2026,$C$4),2,1)+MOD(8-WEEKDAY(DATE(IF($C$4="Todos",2026,$C$4),2,1),2),7))+(2-1)*7),"dd/mm")&amp;" - "&amp;TEXT(MIN((((DATE(IF($C$4="Todos",2026,$C$4),2,1)+MOD(8-WEEKDAY(DATE(IF($C$4="Todos",2026,$C$4),2,1),2),7))+(2-1)*7)+6),EOMONTH(DATE(IF($C$4="Todos",2026,$C$4),2,1),0)),"dd/mm"))</f>
        <v>09/02 - 15/02</v>
      </c>
      <c r="E19" s="271" cm="1">
        <f t="array" ref="E19">(($E$4="Todos")+($E$4="Fevereiro")&gt;0)*SUMPRODUCT(('GESTAO OPERACAO'!$AA$2:$AA$632="SEMANA 02 / FEV / "&amp;IF($C$4="Todos","",$C$4))*('GESTAO OPERACAO'!$U$2:$U$632&gt;0)*(($C$4="Todos")+(YEAR('GESTAO OPERACAO'!$U$2:$U$632)=$C$4)&gt;0))</f>
        <v>12</v>
      </c>
      <c r="F19" s="272" cm="1">
        <f t="array" ref="F19">(($E$4="Todos")+($E$4="Fevereiro")&gt;0)*SUMPRODUCT(('GESTAO OPERACAO'!$AA$2:$AA$632="SEMANA 02 / FEV / "&amp;IF($C$4="Todos","",$C$4))*('GESTAO OPERACAO'!$U$2:$U$632&gt;0)*(($C$4="Todos")+(YEAR('GESTAO OPERACAO'!$U$2:$U$632)=$C$4)&gt;0)*IFERROR('GESTAO OPERACAO'!$P$2:$P$632*1,0))</f>
        <v>59329.410000000011</v>
      </c>
      <c r="G19" s="285" cm="1">
        <f t="array" ref="G19">(($E$4="Todos")+($E$4="Fevereiro")&gt;0)*SUMPRODUCT(('GESTAO OPERACAO'!$AA$2:$AA$632="SEMANA 02 / FEV / "&amp;IF($C$4="Todos","",$C$4))*IFERROR('GESTAO OPERACAO'!$AC$2:$AC$632*1,0)*(($C$4="Todos")+(IFERROR(YEAR('GESTAO OPERACAO'!$AB$2:$AB$632),0)=$C$4)+(IFERROR(YEAR('GESTAO OPERACAO'!$AB$2:$AB$632),0)=0)&gt;0))</f>
        <v>59329.410000000011</v>
      </c>
      <c r="H19" s="273" cm="1">
        <f t="array" ref="H19">IFERROR((($E$4="Todos")+($E$4="Fevereiro")&gt;0)*SUMPRODUCT(('GESTAO OPERACAO'!$AA$2:$AA$632="SEMANA 02 / FEV / "&amp;IF($C$4="Todos","",$C$4))*('GESTAO OPERACAO'!$U$2:$U$632&gt;0)*(($C$4="Todos")+(YEAR('GESTAO OPERACAO'!$U$2:$U$632)=$C$4)&gt;0)*IFERROR('GESTAO OPERACAO'!$X$2:$X$632*1,0))/SUMPRODUCT(('GESTAO OPERACAO'!$AA$2:$AA$632="SEMANA 02 / FEV / "&amp;IF($C$4="Todos","",$C$4))*('GESTAO OPERACAO'!$U$2:$U$632&gt;0)*(($C$4="Todos")+(YEAR('GESTAO OPERACAO'!$U$2:$U$632)=$C$4)&gt;0)*ISNUMBER('GESTAO OPERACAO'!$X$2:$X$632)*1),0)</f>
        <v>12.083333333333334</v>
      </c>
      <c r="I19" s="199"/>
    </row>
    <row r="20" spans="1:9" x14ac:dyDescent="0.3">
      <c r="A20" s="198"/>
      <c r="B20" s="269" t="s">
        <v>1116</v>
      </c>
      <c r="C20" s="270" t="s">
        <v>1133</v>
      </c>
      <c r="D20" s="270" t="str">
        <f>IF(((DATE(IF($C$4="Todos",2026,$C$4),2,1)+MOD(8-WEEKDAY(DATE(IF($C$4="Todos",2026,$C$4),2,1),2),7))+(3-1)*7)&gt;EOMONTH(DATE(IF($C$4="Todos",2026,$C$4),2,1),0),"",TEXT(((DATE(IF($C$4="Todos",2026,$C$4),2,1)+MOD(8-WEEKDAY(DATE(IF($C$4="Todos",2026,$C$4),2,1),2),7))+(3-1)*7),"dd/mm")&amp;" - "&amp;TEXT(MIN((((DATE(IF($C$4="Todos",2026,$C$4),2,1)+MOD(8-WEEKDAY(DATE(IF($C$4="Todos",2026,$C$4),2,1),2),7))+(3-1)*7)+6),EOMONTH(DATE(IF($C$4="Todos",2026,$C$4),2,1),0)),"dd/mm"))</f>
        <v>16/02 - 22/02</v>
      </c>
      <c r="E20" s="271" cm="1">
        <f t="array" ref="E20">(($E$4="Todos")+($E$4="Fevereiro")&gt;0)*SUMPRODUCT(('GESTAO OPERACAO'!$AA$2:$AA$632="SEMANA 03 / FEV / "&amp;IF($C$4="Todos","",$C$4))*('GESTAO OPERACAO'!$U$2:$U$632&gt;0)*(($C$4="Todos")+(YEAR('GESTAO OPERACAO'!$U$2:$U$632)=$C$4)&gt;0))</f>
        <v>7</v>
      </c>
      <c r="F20" s="272" cm="1">
        <f t="array" ref="F20">(($E$4="Todos")+($E$4="Fevereiro")&gt;0)*SUMPRODUCT(('GESTAO OPERACAO'!$AA$2:$AA$632="SEMANA 03 / FEV / "&amp;IF($C$4="Todos","",$C$4))*('GESTAO OPERACAO'!$U$2:$U$632&gt;0)*(($C$4="Todos")+(YEAR('GESTAO OPERACAO'!$U$2:$U$632)=$C$4)&gt;0)*IFERROR('GESTAO OPERACAO'!$P$2:$P$632*1,0))</f>
        <v>165898.68</v>
      </c>
      <c r="G20" s="285" cm="1">
        <f t="array" ref="G20">(($E$4="Todos")+($E$4="Fevereiro")&gt;0)*SUMPRODUCT(('GESTAO OPERACAO'!$AA$2:$AA$632="SEMANA 03 / FEV / "&amp;IF($C$4="Todos","",$C$4))*IFERROR('GESTAO OPERACAO'!$AC$2:$AC$632*1,0)*(($C$4="Todos")+(IFERROR(YEAR('GESTAO OPERACAO'!$AB$2:$AB$632),0)=$C$4)+(IFERROR(YEAR('GESTAO OPERACAO'!$AB$2:$AB$632),0)=0)&gt;0))</f>
        <v>165898.68</v>
      </c>
      <c r="H20" s="273" cm="1">
        <f t="array" ref="H20">IFERROR((($E$4="Todos")+($E$4="Fevereiro")&gt;0)*SUMPRODUCT(('GESTAO OPERACAO'!$AA$2:$AA$632="SEMANA 03 / FEV / "&amp;IF($C$4="Todos","",$C$4))*('GESTAO OPERACAO'!$U$2:$U$632&gt;0)*(($C$4="Todos")+(YEAR('GESTAO OPERACAO'!$U$2:$U$632)=$C$4)&gt;0)*IFERROR('GESTAO OPERACAO'!$X$2:$X$632*1,0))/SUMPRODUCT(('GESTAO OPERACAO'!$AA$2:$AA$632="SEMANA 03 / FEV / "&amp;IF($C$4="Todos","",$C$4))*('GESTAO OPERACAO'!$U$2:$U$632&gt;0)*(($C$4="Todos")+(YEAR('GESTAO OPERACAO'!$U$2:$U$632)=$C$4)&gt;0)*ISNUMBER('GESTAO OPERACAO'!$X$2:$X$632)*1),0)</f>
        <v>20.857142857142858</v>
      </c>
      <c r="I20" s="199"/>
    </row>
    <row r="21" spans="1:9" x14ac:dyDescent="0.3">
      <c r="A21" s="198"/>
      <c r="B21" s="269" t="s">
        <v>1116</v>
      </c>
      <c r="C21" s="270" t="s">
        <v>1134</v>
      </c>
      <c r="D21" s="270" t="str">
        <f>IF(((DATE(IF($C$4="Todos",2026,$C$4),2,1)+MOD(8-WEEKDAY(DATE(IF($C$4="Todos",2026,$C$4),2,1),2),7))+(4-1)*7)&gt;EOMONTH(DATE(IF($C$4="Todos",2026,$C$4),2,1),0),"",TEXT(((DATE(IF($C$4="Todos",2026,$C$4),2,1)+MOD(8-WEEKDAY(DATE(IF($C$4="Todos",2026,$C$4),2,1),2),7))+(4-1)*7),"dd/mm")&amp;" - "&amp;TEXT(MIN((((DATE(IF($C$4="Todos",2026,$C$4),2,1)+MOD(8-WEEKDAY(DATE(IF($C$4="Todos",2026,$C$4),2,1),2),7))+(4-1)*7)+6),EOMONTH(DATE(IF($C$4="Todos",2026,$C$4),2,1),0)),"dd/mm"))</f>
        <v>23/02 - 28/02</v>
      </c>
      <c r="E21" s="271" cm="1">
        <f t="array" ref="E21">(($E$4="Todos")+($E$4="Fevereiro")&gt;0)*SUMPRODUCT(('GESTAO OPERACAO'!$AA$2:$AA$632="SEMANA 04 / FEV / "&amp;IF($C$4="Todos","",$C$4))*('GESTAO OPERACAO'!$U$2:$U$632&gt;0)*(($C$4="Todos")+(YEAR('GESTAO OPERACAO'!$U$2:$U$632)=$C$4)&gt;0))</f>
        <v>16</v>
      </c>
      <c r="F21" s="272" cm="1">
        <f t="array" ref="F21">(($E$4="Todos")+($E$4="Fevereiro")&gt;0)*SUMPRODUCT(('GESTAO OPERACAO'!$AA$2:$AA$632="SEMANA 04 / FEV / "&amp;IF($C$4="Todos","",$C$4))*('GESTAO OPERACAO'!$U$2:$U$632&gt;0)*(($C$4="Todos")+(YEAR('GESTAO OPERACAO'!$U$2:$U$632)=$C$4)&gt;0)*IFERROR('GESTAO OPERACAO'!$P$2:$P$632*1,0))</f>
        <v>446553.84890000004</v>
      </c>
      <c r="G21" s="285" cm="1">
        <f t="array" ref="G21">(($E$4="Todos")+($E$4="Fevereiro")&gt;0)*SUMPRODUCT(('GESTAO OPERACAO'!$AA$2:$AA$632="SEMANA 04 / FEV / "&amp;IF($C$4="Todos","",$C$4))*IFERROR('GESTAO OPERACAO'!$AC$2:$AC$632*1,0)*(($C$4="Todos")+(IFERROR(YEAR('GESTAO OPERACAO'!$AB$2:$AB$632),0)=$C$4)+(IFERROR(YEAR('GESTAO OPERACAO'!$AB$2:$AB$632),0)=0)&gt;0))</f>
        <v>450145.10000000009</v>
      </c>
      <c r="H21" s="273" cm="1">
        <f t="array" ref="H21">IFERROR((($E$4="Todos")+($E$4="Fevereiro")&gt;0)*SUMPRODUCT(('GESTAO OPERACAO'!$AA$2:$AA$632="SEMANA 04 / FEV / "&amp;IF($C$4="Todos","",$C$4))*('GESTAO OPERACAO'!$U$2:$U$632&gt;0)*(($C$4="Todos")+(YEAR('GESTAO OPERACAO'!$U$2:$U$632)=$C$4)&gt;0)*IFERROR('GESTAO OPERACAO'!$X$2:$X$632*1,0))/SUMPRODUCT(('GESTAO OPERACAO'!$AA$2:$AA$632="SEMANA 04 / FEV / "&amp;IF($C$4="Todos","",$C$4))*('GESTAO OPERACAO'!$U$2:$U$632&gt;0)*(($C$4="Todos")+(YEAR('GESTAO OPERACAO'!$U$2:$U$632)=$C$4)&gt;0)*ISNUMBER('GESTAO OPERACAO'!$X$2:$X$632)*1),0)</f>
        <v>24.875</v>
      </c>
      <c r="I21" s="199"/>
    </row>
    <row r="22" spans="1:9" x14ac:dyDescent="0.3">
      <c r="A22" s="198"/>
      <c r="B22" s="269" t="s">
        <v>1116</v>
      </c>
      <c r="C22" s="270" t="s">
        <v>1135</v>
      </c>
      <c r="D22" s="270" t="str">
        <f>IF(((DATE(IF($C$4="Todos",2026,$C$4),2,1)+MOD(8-WEEKDAY(DATE(IF($C$4="Todos",2026,$C$4),2,1),2),7))+(5-1)*7)&gt;EOMONTH(DATE(IF($C$4="Todos",2026,$C$4),2,1),0),"",TEXT(((DATE(IF($C$4="Todos",2026,$C$4),2,1)+MOD(8-WEEKDAY(DATE(IF($C$4="Todos",2026,$C$4),2,1),2),7))+(5-1)*7),"dd/mm")&amp;" - "&amp;TEXT(MIN((((DATE(IF($C$4="Todos",2026,$C$4),2,1)+MOD(8-WEEKDAY(DATE(IF($C$4="Todos",2026,$C$4),2,1),2),7))+(5-1)*7)+6),EOMONTH(DATE(IF($C$4="Todos",2026,$C$4),2,1),0)),"dd/mm"))</f>
        <v/>
      </c>
      <c r="E22" s="271" cm="1">
        <f t="array" ref="E22">(($E$4="Todos")+($E$4="Fevereiro")&gt;0)*SUMPRODUCT(('GESTAO OPERACAO'!$AA$2:$AA$632="SEMANA 05 / FEV / "&amp;IF($C$4="Todos","",$C$4))*('GESTAO OPERACAO'!$U$2:$U$632&gt;0)*(($C$4="Todos")+(YEAR('GESTAO OPERACAO'!$U$2:$U$632)=$C$4)&gt;0))</f>
        <v>0</v>
      </c>
      <c r="F22" s="272" cm="1">
        <f t="array" ref="F22">(($E$4="Todos")+($E$4="Fevereiro")&gt;0)*SUMPRODUCT(('GESTAO OPERACAO'!$AA$2:$AA$632="SEMANA 05 / FEV / "&amp;IF($C$4="Todos","",$C$4))*('GESTAO OPERACAO'!$U$2:$U$632&gt;0)*(($C$4="Todos")+(YEAR('GESTAO OPERACAO'!$U$2:$U$632)=$C$4)&gt;0)*IFERROR('GESTAO OPERACAO'!$P$2:$P$632*1,0))</f>
        <v>0</v>
      </c>
      <c r="G22" s="285" cm="1">
        <f t="array" ref="G22">(($E$4="Todos")+($E$4="Fevereiro")&gt;0)*SUMPRODUCT(('GESTAO OPERACAO'!$AA$2:$AA$632="SEMANA 05 / FEV / "&amp;IF($C$4="Todos","",$C$4))*IFERROR('GESTAO OPERACAO'!$AC$2:$AC$632*1,0)*(($C$4="Todos")+(IFERROR(YEAR('GESTAO OPERACAO'!$AB$2:$AB$632),0)=$C$4)+(IFERROR(YEAR('GESTAO OPERACAO'!$AB$2:$AB$632),0)=0)&gt;0))</f>
        <v>0</v>
      </c>
      <c r="H22" s="273" cm="1">
        <f t="array" ref="H22">IFERROR((($E$4="Todos")+($E$4="Fevereiro")&gt;0)*SUMPRODUCT(('GESTAO OPERACAO'!$AA$2:$AA$632="SEMANA 05 / FEV / "&amp;IF($C$4="Todos","",$C$4))*('GESTAO OPERACAO'!$U$2:$U$632&gt;0)*(($C$4="Todos")+(YEAR('GESTAO OPERACAO'!$U$2:$U$632)=$C$4)&gt;0)*IFERROR('GESTAO OPERACAO'!$X$2:$X$632*1,0))/SUMPRODUCT(('GESTAO OPERACAO'!$AA$2:$AA$632="SEMANA 05 / FEV / "&amp;IF($C$4="Todos","",$C$4))*('GESTAO OPERACAO'!$U$2:$U$632&gt;0)*(($C$4="Todos")+(YEAR('GESTAO OPERACAO'!$U$2:$U$632)=$C$4)&gt;0)*ISNUMBER('GESTAO OPERACAO'!$X$2:$X$632)*1),0)</f>
        <v>0</v>
      </c>
      <c r="I22" s="199"/>
    </row>
    <row r="23" spans="1:9" x14ac:dyDescent="0.3">
      <c r="A23" s="198"/>
      <c r="B23" s="274" t="s">
        <v>1137</v>
      </c>
      <c r="C23" s="275"/>
      <c r="D23" s="275"/>
      <c r="E23" s="276">
        <f>SUM(E18:E22)</f>
        <v>51</v>
      </c>
      <c r="F23" s="277">
        <f>SUM(F18:F22)</f>
        <v>851610.5989000001</v>
      </c>
      <c r="G23" s="286">
        <f>SUM(G18:G22)</f>
        <v>860084.19000000006</v>
      </c>
      <c r="H23" s="278">
        <f>IFERROR(SUMPRODUCT(E18:E22,H18:H22)/SUM(E18:E22),0)</f>
        <v>17.549019607843139</v>
      </c>
      <c r="I23" s="199"/>
    </row>
    <row r="24" spans="1:9" x14ac:dyDescent="0.3">
      <c r="A24" s="198"/>
      <c r="B24" s="269" t="s">
        <v>1117</v>
      </c>
      <c r="C24" s="270" t="s">
        <v>1131</v>
      </c>
      <c r="D24" s="270" t="str">
        <f>IF(((DATE(IF($C$4="Todos",2026,$C$4),3,1)+MOD(8-WEEKDAY(DATE(IF($C$4="Todos",2026,$C$4),3,1),2),7))+(1-1)*7)&gt;EOMONTH(DATE(IF($C$4="Todos",2026,$C$4),3,1),0),"",TEXT(((DATE(IF($C$4="Todos",2026,$C$4),3,1)+MOD(8-WEEKDAY(DATE(IF($C$4="Todos",2026,$C$4),3,1),2),7))+(1-1)*7),"dd/mm")&amp;" - "&amp;TEXT(MIN((((DATE(IF($C$4="Todos",2026,$C$4),3,1)+MOD(8-WEEKDAY(DATE(IF($C$4="Todos",2026,$C$4),3,1),2),7))+(1-1)*7)+6),EOMONTH(DATE(IF($C$4="Todos",2026,$C$4),3,1),0)),"dd/mm"))</f>
        <v>02/03 - 08/03</v>
      </c>
      <c r="E24" s="271" cm="1">
        <f t="array" ref="E24">(($E$4="Todos")+($E$4="Março")&gt;0)*SUMPRODUCT(('GESTAO OPERACAO'!$AA$2:$AA$632="SEMANA 01 / MAR / "&amp;IF($C$4="Todos","",$C$4))*('GESTAO OPERACAO'!$U$2:$U$632&gt;0)*(($C$4="Todos")+(YEAR('GESTAO OPERACAO'!$U$2:$U$632)=$C$4)&gt;0))</f>
        <v>9</v>
      </c>
      <c r="F24" s="272" cm="1">
        <f t="array" ref="F24">(($E$4="Todos")+($E$4="Março")&gt;0)*SUMPRODUCT(('GESTAO OPERACAO'!$AA$2:$AA$632="SEMANA 01 / MAR / "&amp;IF($C$4="Todos","",$C$4))*('GESTAO OPERACAO'!$U$2:$U$632&gt;0)*(($C$4="Todos")+(YEAR('GESTAO OPERACAO'!$U$2:$U$632)=$C$4)&gt;0)*IFERROR('GESTAO OPERACAO'!$P$2:$P$632*1,0))</f>
        <v>41183.619999999995</v>
      </c>
      <c r="G24" s="285" cm="1">
        <f t="array" ref="G24">(($E$4="Todos")+($E$4="Março")&gt;0)*SUMPRODUCT(('GESTAO OPERACAO'!$AA$2:$AA$632="SEMANA 01 / MAR / "&amp;IF($C$4="Todos","",$C$4))*IFERROR('GESTAO OPERACAO'!$AC$2:$AC$632*1,0)*(($C$4="Todos")+(IFERROR(YEAR('GESTAO OPERACAO'!$AB$2:$AB$632),0)=$C$4)+(IFERROR(YEAR('GESTAO OPERACAO'!$AB$2:$AB$632),0)=0)&gt;0))</f>
        <v>44127.92</v>
      </c>
      <c r="H24" s="273" cm="1">
        <f t="array" ref="H24">IFERROR((($E$4="Todos")+($E$4="Março")&gt;0)*SUMPRODUCT(('GESTAO OPERACAO'!$AA$2:$AA$632="SEMANA 01 / MAR / "&amp;IF($C$4="Todos","",$C$4))*('GESTAO OPERACAO'!$U$2:$U$632&gt;0)*(($C$4="Todos")+(YEAR('GESTAO OPERACAO'!$U$2:$U$632)=$C$4)&gt;0)*IFERROR('GESTAO OPERACAO'!$X$2:$X$632*1,0))/SUMPRODUCT(('GESTAO OPERACAO'!$AA$2:$AA$632="SEMANA 01 / MAR / "&amp;IF($C$4="Todos","",$C$4))*('GESTAO OPERACAO'!$U$2:$U$632&gt;0)*(($C$4="Todos")+(YEAR('GESTAO OPERACAO'!$U$2:$U$632)=$C$4)&gt;0)*ISNUMBER('GESTAO OPERACAO'!$X$2:$X$632)*1),0)</f>
        <v>11.333333333333334</v>
      </c>
      <c r="I24" s="199"/>
    </row>
    <row r="25" spans="1:9" x14ac:dyDescent="0.3">
      <c r="A25" s="198"/>
      <c r="B25" s="269" t="s">
        <v>1117</v>
      </c>
      <c r="C25" s="270" t="s">
        <v>1132</v>
      </c>
      <c r="D25" s="270" t="str">
        <f>IF(((DATE(IF($C$4="Todos",2026,$C$4),3,1)+MOD(8-WEEKDAY(DATE(IF($C$4="Todos",2026,$C$4),3,1),2),7))+(2-1)*7)&gt;EOMONTH(DATE(IF($C$4="Todos",2026,$C$4),3,1),0),"",TEXT(((DATE(IF($C$4="Todos",2026,$C$4),3,1)+MOD(8-WEEKDAY(DATE(IF($C$4="Todos",2026,$C$4),3,1),2),7))+(2-1)*7),"dd/mm")&amp;" - "&amp;TEXT(MIN((((DATE(IF($C$4="Todos",2026,$C$4),3,1)+MOD(8-WEEKDAY(DATE(IF($C$4="Todos",2026,$C$4),3,1),2),7))+(2-1)*7)+6),EOMONTH(DATE(IF($C$4="Todos",2026,$C$4),3,1),0)),"dd/mm"))</f>
        <v>09/03 - 15/03</v>
      </c>
      <c r="E25" s="271" cm="1">
        <f t="array" ref="E25">(($E$4="Todos")+($E$4="Março")&gt;0)*SUMPRODUCT(('GESTAO OPERACAO'!$AA$2:$AA$632="SEMANA 02 / MAR / "&amp;IF($C$4="Todos","",$C$4))*('GESTAO OPERACAO'!$U$2:$U$632&gt;0)*(($C$4="Todos")+(YEAR('GESTAO OPERACAO'!$U$2:$U$632)=$C$4)&gt;0))</f>
        <v>10</v>
      </c>
      <c r="F25" s="272" cm="1">
        <f t="array" ref="F25">(($E$4="Todos")+($E$4="Março")&gt;0)*SUMPRODUCT(('GESTAO OPERACAO'!$AA$2:$AA$632="SEMANA 02 / MAR / "&amp;IF($C$4="Todos","",$C$4))*('GESTAO OPERACAO'!$U$2:$U$632&gt;0)*(($C$4="Todos")+(YEAR('GESTAO OPERACAO'!$U$2:$U$632)=$C$4)&gt;0)*IFERROR('GESTAO OPERACAO'!$P$2:$P$632*1,0))</f>
        <v>171658.40999999997</v>
      </c>
      <c r="G25" s="285" cm="1">
        <f t="array" ref="G25">(($E$4="Todos")+($E$4="Março")&gt;0)*SUMPRODUCT(('GESTAO OPERACAO'!$AA$2:$AA$632="SEMANA 02 / MAR / "&amp;IF($C$4="Todos","",$C$4))*IFERROR('GESTAO OPERACAO'!$AC$2:$AC$632*1,0)*(($C$4="Todos")+(IFERROR(YEAR('GESTAO OPERACAO'!$AB$2:$AB$632),0)=$C$4)+(IFERROR(YEAR('GESTAO OPERACAO'!$AB$2:$AB$632),0)=0)&gt;0))</f>
        <v>172465.72999999998</v>
      </c>
      <c r="H25" s="273" cm="1">
        <f t="array" ref="H25">IFERROR((($E$4="Todos")+($E$4="Março")&gt;0)*SUMPRODUCT(('GESTAO OPERACAO'!$AA$2:$AA$632="SEMANA 02 / MAR / "&amp;IF($C$4="Todos","",$C$4))*('GESTAO OPERACAO'!$U$2:$U$632&gt;0)*(($C$4="Todos")+(YEAR('GESTAO OPERACAO'!$U$2:$U$632)=$C$4)&gt;0)*IFERROR('GESTAO OPERACAO'!$X$2:$X$632*1,0))/SUMPRODUCT(('GESTAO OPERACAO'!$AA$2:$AA$632="SEMANA 02 / MAR / "&amp;IF($C$4="Todos","",$C$4))*('GESTAO OPERACAO'!$U$2:$U$632&gt;0)*(($C$4="Todos")+(YEAR('GESTAO OPERACAO'!$U$2:$U$632)=$C$4)&gt;0)*ISNUMBER('GESTAO OPERACAO'!$X$2:$X$632)*1),0)</f>
        <v>18.8</v>
      </c>
      <c r="I25" s="199"/>
    </row>
    <row r="26" spans="1:9" x14ac:dyDescent="0.3">
      <c r="A26" s="198"/>
      <c r="B26" s="269" t="s">
        <v>1117</v>
      </c>
      <c r="C26" s="270" t="s">
        <v>1133</v>
      </c>
      <c r="D26" s="270" t="str">
        <f>IF(((DATE(IF($C$4="Todos",2026,$C$4),3,1)+MOD(8-WEEKDAY(DATE(IF($C$4="Todos",2026,$C$4),3,1),2),7))+(3-1)*7)&gt;EOMONTH(DATE(IF($C$4="Todos",2026,$C$4),3,1),0),"",TEXT(((DATE(IF($C$4="Todos",2026,$C$4),3,1)+MOD(8-WEEKDAY(DATE(IF($C$4="Todos",2026,$C$4),3,1),2),7))+(3-1)*7),"dd/mm")&amp;" - "&amp;TEXT(MIN((((DATE(IF($C$4="Todos",2026,$C$4),3,1)+MOD(8-WEEKDAY(DATE(IF($C$4="Todos",2026,$C$4),3,1),2),7))+(3-1)*7)+6),EOMONTH(DATE(IF($C$4="Todos",2026,$C$4),3,1),0)),"dd/mm"))</f>
        <v>16/03 - 22/03</v>
      </c>
      <c r="E26" s="271" cm="1">
        <f t="array" ref="E26">(($E$4="Todos")+($E$4="Março")&gt;0)*SUMPRODUCT(('GESTAO OPERACAO'!$AA$2:$AA$632="SEMANA 03 / MAR / "&amp;IF($C$4="Todos","",$C$4))*('GESTAO OPERACAO'!$U$2:$U$632&gt;0)*(($C$4="Todos")+(YEAR('GESTAO OPERACAO'!$U$2:$U$632)=$C$4)&gt;0))</f>
        <v>16</v>
      </c>
      <c r="F26" s="272" cm="1">
        <f t="array" ref="F26">(($E$4="Todos")+($E$4="Março")&gt;0)*SUMPRODUCT(('GESTAO OPERACAO'!$AA$2:$AA$632="SEMANA 03 / MAR / "&amp;IF($C$4="Todos","",$C$4))*('GESTAO OPERACAO'!$U$2:$U$632&gt;0)*(($C$4="Todos")+(YEAR('GESTAO OPERACAO'!$U$2:$U$632)=$C$4)&gt;0)*IFERROR('GESTAO OPERACAO'!$P$2:$P$632*1,0))</f>
        <v>343212.48</v>
      </c>
      <c r="G26" s="285" cm="1">
        <f t="array" ref="G26">(($E$4="Todos")+($E$4="Março")&gt;0)*SUMPRODUCT(('GESTAO OPERACAO'!$AA$2:$AA$632="SEMANA 03 / MAR / "&amp;IF($C$4="Todos","",$C$4))*IFERROR('GESTAO OPERACAO'!$AC$2:$AC$632*1,0)*(($C$4="Todos")+(IFERROR(YEAR('GESTAO OPERACAO'!$AB$2:$AB$632),0)=$C$4)+(IFERROR(YEAR('GESTAO OPERACAO'!$AB$2:$AB$632),0)=0)&gt;0))</f>
        <v>330570.57999999996</v>
      </c>
      <c r="H26" s="273" cm="1">
        <f t="array" ref="H26">IFERROR((($E$4="Todos")+($E$4="Março")&gt;0)*SUMPRODUCT(('GESTAO OPERACAO'!$AA$2:$AA$632="SEMANA 03 / MAR / "&amp;IF($C$4="Todos","",$C$4))*('GESTAO OPERACAO'!$U$2:$U$632&gt;0)*(($C$4="Todos")+(YEAR('GESTAO OPERACAO'!$U$2:$U$632)=$C$4)&gt;0)*IFERROR('GESTAO OPERACAO'!$X$2:$X$632*1,0))/SUMPRODUCT(('GESTAO OPERACAO'!$AA$2:$AA$632="SEMANA 03 / MAR / "&amp;IF($C$4="Todos","",$C$4))*('GESTAO OPERACAO'!$U$2:$U$632&gt;0)*(($C$4="Todos")+(YEAR('GESTAO OPERACAO'!$U$2:$U$632)=$C$4)&gt;0)*ISNUMBER('GESTAO OPERACAO'!$X$2:$X$632)*1),0)</f>
        <v>15.3125</v>
      </c>
      <c r="I26" s="199"/>
    </row>
    <row r="27" spans="1:9" x14ac:dyDescent="0.3">
      <c r="A27" s="198"/>
      <c r="B27" s="269" t="s">
        <v>1117</v>
      </c>
      <c r="C27" s="270" t="s">
        <v>1134</v>
      </c>
      <c r="D27" s="270" t="str">
        <f>IF(((DATE(IF($C$4="Todos",2026,$C$4),3,1)+MOD(8-WEEKDAY(DATE(IF($C$4="Todos",2026,$C$4),3,1),2),7))+(4-1)*7)&gt;EOMONTH(DATE(IF($C$4="Todos",2026,$C$4),3,1),0),"",TEXT(((DATE(IF($C$4="Todos",2026,$C$4),3,1)+MOD(8-WEEKDAY(DATE(IF($C$4="Todos",2026,$C$4),3,1),2),7))+(4-1)*7),"dd/mm")&amp;" - "&amp;TEXT(MIN((((DATE(IF($C$4="Todos",2026,$C$4),3,1)+MOD(8-WEEKDAY(DATE(IF($C$4="Todos",2026,$C$4),3,1),2),7))+(4-1)*7)+6),EOMONTH(DATE(IF($C$4="Todos",2026,$C$4),3,1),0)),"dd/mm"))</f>
        <v>23/03 - 29/03</v>
      </c>
      <c r="E27" s="271" cm="1">
        <f t="array" ref="E27">(($E$4="Todos")+($E$4="Março")&gt;0)*SUMPRODUCT(('GESTAO OPERACAO'!$AA$2:$AA$632="SEMANA 04 / MAR / "&amp;IF($C$4="Todos","",$C$4))*('GESTAO OPERACAO'!$U$2:$U$632&gt;0)*(($C$4="Todos")+(YEAR('GESTAO OPERACAO'!$U$2:$U$632)=$C$4)&gt;0))</f>
        <v>14</v>
      </c>
      <c r="F27" s="272" cm="1">
        <f t="array" ref="F27">(($E$4="Todos")+($E$4="Março")&gt;0)*SUMPRODUCT(('GESTAO OPERACAO'!$AA$2:$AA$632="SEMANA 04 / MAR / "&amp;IF($C$4="Todos","",$C$4))*('GESTAO OPERACAO'!$U$2:$U$632&gt;0)*(($C$4="Todos")+(YEAR('GESTAO OPERACAO'!$U$2:$U$632)=$C$4)&gt;0)*IFERROR('GESTAO OPERACAO'!$P$2:$P$632*1,0))</f>
        <v>1116164.8999999999</v>
      </c>
      <c r="G27" s="285" cm="1">
        <f t="array" ref="G27">(($E$4="Todos")+($E$4="Março")&gt;0)*SUMPRODUCT(('GESTAO OPERACAO'!$AA$2:$AA$632="SEMANA 04 / MAR / "&amp;IF($C$4="Todos","",$C$4))*IFERROR('GESTAO OPERACAO'!$AC$2:$AC$632*1,0)*(($C$4="Todos")+(IFERROR(YEAR('GESTAO OPERACAO'!$AB$2:$AB$632),0)=$C$4)+(IFERROR(YEAR('GESTAO OPERACAO'!$AB$2:$AB$632),0)=0)&gt;0))</f>
        <v>1048626.21</v>
      </c>
      <c r="H27" s="273" cm="1">
        <f t="array" ref="H27">IFERROR((($E$4="Todos")+($E$4="Março")&gt;0)*SUMPRODUCT(('GESTAO OPERACAO'!$AA$2:$AA$632="SEMANA 04 / MAR / "&amp;IF($C$4="Todos","",$C$4))*('GESTAO OPERACAO'!$U$2:$U$632&gt;0)*(($C$4="Todos")+(YEAR('GESTAO OPERACAO'!$U$2:$U$632)=$C$4)&gt;0)*IFERROR('GESTAO OPERACAO'!$X$2:$X$632*1,0))/SUMPRODUCT(('GESTAO OPERACAO'!$AA$2:$AA$632="SEMANA 04 / MAR / "&amp;IF($C$4="Todos","",$C$4))*('GESTAO OPERACAO'!$U$2:$U$632&gt;0)*(($C$4="Todos")+(YEAR('GESTAO OPERACAO'!$U$2:$U$632)=$C$4)&gt;0)*ISNUMBER('GESTAO OPERACAO'!$X$2:$X$632)*1),0)</f>
        <v>18.428571428571427</v>
      </c>
      <c r="I27" s="199"/>
    </row>
    <row r="28" spans="1:9" x14ac:dyDescent="0.3">
      <c r="A28" s="198"/>
      <c r="B28" s="269" t="s">
        <v>1117</v>
      </c>
      <c r="C28" s="270" t="s">
        <v>1135</v>
      </c>
      <c r="D28" s="270" t="str">
        <f>IF(((DATE(IF($C$4="Todos",2026,$C$4),3,1)+MOD(8-WEEKDAY(DATE(IF($C$4="Todos",2026,$C$4),3,1),2),7))+(5-1)*7)&gt;EOMONTH(DATE(IF($C$4="Todos",2026,$C$4),3,1),0),"",TEXT(((DATE(IF($C$4="Todos",2026,$C$4),3,1)+MOD(8-WEEKDAY(DATE(IF($C$4="Todos",2026,$C$4),3,1),2),7))+(5-1)*7),"dd/mm")&amp;" - "&amp;TEXT(MIN((((DATE(IF($C$4="Todos",2026,$C$4),3,1)+MOD(8-WEEKDAY(DATE(IF($C$4="Todos",2026,$C$4),3,1),2),7))+(5-1)*7)+6),EOMONTH(DATE(IF($C$4="Todos",2026,$C$4),3,1),0)),"dd/mm"))</f>
        <v>30/03 - 31/03</v>
      </c>
      <c r="E28" s="271" cm="1">
        <f t="array" ref="E28">(($E$4="Todos")+($E$4="Março")&gt;0)*SUMPRODUCT(('GESTAO OPERACAO'!$AA$2:$AA$632="SEMANA 05 / MAR / "&amp;IF($C$4="Todos","",$C$4))*('GESTAO OPERACAO'!$U$2:$U$632&gt;0)*(($C$4="Todos")+(YEAR('GESTAO OPERACAO'!$U$2:$U$632)=$C$4)&gt;0))</f>
        <v>0</v>
      </c>
      <c r="F28" s="272" cm="1">
        <f t="array" ref="F28">(($E$4="Todos")+($E$4="Março")&gt;0)*SUMPRODUCT(('GESTAO OPERACAO'!$AA$2:$AA$632="SEMANA 05 / MAR / "&amp;IF($C$4="Todos","",$C$4))*('GESTAO OPERACAO'!$U$2:$U$632&gt;0)*(($C$4="Todos")+(YEAR('GESTAO OPERACAO'!$U$2:$U$632)=$C$4)&gt;0)*IFERROR('GESTAO OPERACAO'!$P$2:$P$632*1,0))</f>
        <v>0</v>
      </c>
      <c r="G28" s="285" cm="1">
        <f t="array" ref="G28">(($E$4="Todos")+($E$4="Março")&gt;0)*SUMPRODUCT(('GESTAO OPERACAO'!$AA$2:$AA$632="SEMANA 05 / MAR / "&amp;IF($C$4="Todos","",$C$4))*IFERROR('GESTAO OPERACAO'!$AC$2:$AC$632*1,0)*(($C$4="Todos")+(IFERROR(YEAR('GESTAO OPERACAO'!$AB$2:$AB$632),0)=$C$4)+(IFERROR(YEAR('GESTAO OPERACAO'!$AB$2:$AB$632),0)=0)&gt;0))</f>
        <v>0</v>
      </c>
      <c r="H28" s="273" cm="1">
        <f t="array" ref="H28">IFERROR((($E$4="Todos")+($E$4="Março")&gt;0)*SUMPRODUCT(('GESTAO OPERACAO'!$AA$2:$AA$632="SEMANA 05 / MAR / "&amp;IF($C$4="Todos","",$C$4))*('GESTAO OPERACAO'!$U$2:$U$632&gt;0)*(($C$4="Todos")+(YEAR('GESTAO OPERACAO'!$U$2:$U$632)=$C$4)&gt;0)*IFERROR('GESTAO OPERACAO'!$X$2:$X$632*1,0))/SUMPRODUCT(('GESTAO OPERACAO'!$AA$2:$AA$632="SEMANA 05 / MAR / "&amp;IF($C$4="Todos","",$C$4))*('GESTAO OPERACAO'!$U$2:$U$632&gt;0)*(($C$4="Todos")+(YEAR('GESTAO OPERACAO'!$U$2:$U$632)=$C$4)&gt;0)*ISNUMBER('GESTAO OPERACAO'!$X$2:$X$632)*1),0)</f>
        <v>0</v>
      </c>
      <c r="I28" s="199"/>
    </row>
    <row r="29" spans="1:9" x14ac:dyDescent="0.3">
      <c r="A29" s="198"/>
      <c r="B29" s="274" t="s">
        <v>1138</v>
      </c>
      <c r="C29" s="275"/>
      <c r="D29" s="275"/>
      <c r="E29" s="276">
        <f>SUM(E24:E28)</f>
        <v>49</v>
      </c>
      <c r="F29" s="277">
        <f>SUM(F24:F28)</f>
        <v>1672219.41</v>
      </c>
      <c r="G29" s="286">
        <f>SUM(G24:G28)</f>
        <v>1595790.44</v>
      </c>
      <c r="H29" s="278">
        <f>IFERROR(SUMPRODUCT(E24:E28,H24:H28)/SUM(E24:E28),0)</f>
        <v>16.183673469387756</v>
      </c>
      <c r="I29" s="199"/>
    </row>
    <row r="30" spans="1:9" x14ac:dyDescent="0.3">
      <c r="A30" s="198"/>
      <c r="B30" s="269" t="s">
        <v>1118</v>
      </c>
      <c r="C30" s="270" t="s">
        <v>1131</v>
      </c>
      <c r="D30" s="270" t="str">
        <f>IF(((DATE(IF($C$4="Todos",2026,$C$4),4,1)+MOD(8-WEEKDAY(DATE(IF($C$4="Todos",2026,$C$4),4,1),2),7))+(1-1)*7)&gt;EOMONTH(DATE(IF($C$4="Todos",2026,$C$4),4,1),0),"",TEXT(((DATE(IF($C$4="Todos",2026,$C$4),4,1)+MOD(8-WEEKDAY(DATE(IF($C$4="Todos",2026,$C$4),4,1),2),7))+(1-1)*7),"dd/mm")&amp;" - "&amp;TEXT(MIN((((DATE(IF($C$4="Todos",2026,$C$4),4,1)+MOD(8-WEEKDAY(DATE(IF($C$4="Todos",2026,$C$4),4,1),2),7))+(1-1)*7)+6),EOMONTH(DATE(IF($C$4="Todos",2026,$C$4),4,1),0)),"dd/mm"))</f>
        <v>06/04 - 12/04</v>
      </c>
      <c r="E30" s="271" cm="1">
        <f t="array" ref="E30">(($E$4="Todos")+($E$4="Abril")&gt;0)*SUMPRODUCT(('GESTAO OPERACAO'!$AA$2:$AA$632="SEMANA 01 / ABR / "&amp;IF($C$4="Todos","",$C$4))*('GESTAO OPERACAO'!$U$2:$U$632&gt;0)*(($C$4="Todos")+(YEAR('GESTAO OPERACAO'!$U$2:$U$632)=$C$4)&gt;0))</f>
        <v>20</v>
      </c>
      <c r="F30" s="272" cm="1">
        <f t="array" ref="F30">(($E$4="Todos")+($E$4="Abril")&gt;0)*SUMPRODUCT(('GESTAO OPERACAO'!$AA$2:$AA$632="SEMANA 01 / ABR / "&amp;IF($C$4="Todos","",$C$4))*('GESTAO OPERACAO'!$U$2:$U$632&gt;0)*(($C$4="Todos")+(YEAR('GESTAO OPERACAO'!$U$2:$U$632)=$C$4)&gt;0)*IFERROR('GESTAO OPERACAO'!$P$2:$P$632*1,0))</f>
        <v>121346.31999999996</v>
      </c>
      <c r="G30" s="285" cm="1">
        <f t="array" ref="G30">(($E$4="Todos")+($E$4="Abril")&gt;0)*SUMPRODUCT(('GESTAO OPERACAO'!$AA$2:$AA$632="SEMANA 01 / ABR / "&amp;IF($C$4="Todos","",$C$4))*IFERROR('GESTAO OPERACAO'!$AC$2:$AC$632*1,0)*(($C$4="Todos")+(IFERROR(YEAR('GESTAO OPERACAO'!$AB$2:$AB$632),0)=$C$4)+(IFERROR(YEAR('GESTAO OPERACAO'!$AB$2:$AB$632),0)=0)&gt;0))</f>
        <v>121020.93999999997</v>
      </c>
      <c r="H30" s="273" cm="1">
        <f t="array" ref="H30">IFERROR((($E$4="Todos")+($E$4="Abril")&gt;0)*SUMPRODUCT(('GESTAO OPERACAO'!$AA$2:$AA$632="SEMANA 01 / ABR / "&amp;IF($C$4="Todos","",$C$4))*('GESTAO OPERACAO'!$U$2:$U$632&gt;0)*(($C$4="Todos")+(YEAR('GESTAO OPERACAO'!$U$2:$U$632)=$C$4)&gt;0)*IFERROR('GESTAO OPERACAO'!$X$2:$X$632*1,0))/SUMPRODUCT(('GESTAO OPERACAO'!$AA$2:$AA$632="SEMANA 01 / ABR / "&amp;IF($C$4="Todos","",$C$4))*('GESTAO OPERACAO'!$U$2:$U$632&gt;0)*(($C$4="Todos")+(YEAR('GESTAO OPERACAO'!$U$2:$U$632)=$C$4)&gt;0)*ISNUMBER('GESTAO OPERACAO'!$X$2:$X$632)*1),0)</f>
        <v>16.399999999999999</v>
      </c>
      <c r="I30" s="199"/>
    </row>
    <row r="31" spans="1:9" x14ac:dyDescent="0.3">
      <c r="A31" s="198"/>
      <c r="B31" s="269" t="s">
        <v>1118</v>
      </c>
      <c r="C31" s="270" t="s">
        <v>1132</v>
      </c>
      <c r="D31" s="270" t="str">
        <f>IF(((DATE(IF($C$4="Todos",2026,$C$4),4,1)+MOD(8-WEEKDAY(DATE(IF($C$4="Todos",2026,$C$4),4,1),2),7))+(2-1)*7)&gt;EOMONTH(DATE(IF($C$4="Todos",2026,$C$4),4,1),0),"",TEXT(((DATE(IF($C$4="Todos",2026,$C$4),4,1)+MOD(8-WEEKDAY(DATE(IF($C$4="Todos",2026,$C$4),4,1),2),7))+(2-1)*7),"dd/mm")&amp;" - "&amp;TEXT(MIN((((DATE(IF($C$4="Todos",2026,$C$4),4,1)+MOD(8-WEEKDAY(DATE(IF($C$4="Todos",2026,$C$4),4,1),2),7))+(2-1)*7)+6),EOMONTH(DATE(IF($C$4="Todos",2026,$C$4),4,1),0)),"dd/mm"))</f>
        <v>13/04 - 19/04</v>
      </c>
      <c r="E31" s="271" cm="1">
        <f t="array" ref="E31">(($E$4="Todos")+($E$4="Abril")&gt;0)*SUMPRODUCT(('GESTAO OPERACAO'!$AA$2:$AA$632="SEMANA 02 / ABR / "&amp;IF($C$4="Todos","",$C$4))*('GESTAO OPERACAO'!$U$2:$U$632&gt;0)*(($C$4="Todos")+(YEAR('GESTAO OPERACAO'!$U$2:$U$632)=$C$4)&gt;0))</f>
        <v>9</v>
      </c>
      <c r="F31" s="272" cm="1">
        <f t="array" ref="F31">(($E$4="Todos")+($E$4="Abril")&gt;0)*SUMPRODUCT(('GESTAO OPERACAO'!$AA$2:$AA$632="SEMANA 02 / ABR / "&amp;IF($C$4="Todos","",$C$4))*('GESTAO OPERACAO'!$U$2:$U$632&gt;0)*(($C$4="Todos")+(YEAR('GESTAO OPERACAO'!$U$2:$U$632)=$C$4)&gt;0)*IFERROR('GESTAO OPERACAO'!$P$2:$P$632*1,0))</f>
        <v>90444.23000000001</v>
      </c>
      <c r="G31" s="285" cm="1">
        <f t="array" ref="G31">(($E$4="Todos")+($E$4="Abril")&gt;0)*SUMPRODUCT(('GESTAO OPERACAO'!$AA$2:$AA$632="SEMANA 02 / ABR / "&amp;IF($C$4="Todos","",$C$4))*IFERROR('GESTAO OPERACAO'!$AC$2:$AC$632*1,0)*(($C$4="Todos")+(IFERROR(YEAR('GESTAO OPERACAO'!$AB$2:$AB$632),0)=$C$4)+(IFERROR(YEAR('GESTAO OPERACAO'!$AB$2:$AB$632),0)=0)&gt;0))</f>
        <v>88313.71</v>
      </c>
      <c r="H31" s="273" cm="1">
        <f t="array" ref="H31">IFERROR((($E$4="Todos")+($E$4="Abril")&gt;0)*SUMPRODUCT(('GESTAO OPERACAO'!$AA$2:$AA$632="SEMANA 02 / ABR / "&amp;IF($C$4="Todos","",$C$4))*('GESTAO OPERACAO'!$U$2:$U$632&gt;0)*(($C$4="Todos")+(YEAR('GESTAO OPERACAO'!$U$2:$U$632)=$C$4)&gt;0)*IFERROR('GESTAO OPERACAO'!$X$2:$X$632*1,0))/SUMPRODUCT(('GESTAO OPERACAO'!$AA$2:$AA$632="SEMANA 02 / ABR / "&amp;IF($C$4="Todos","",$C$4))*('GESTAO OPERACAO'!$U$2:$U$632&gt;0)*(($C$4="Todos")+(YEAR('GESTAO OPERACAO'!$U$2:$U$632)=$C$4)&gt;0)*ISNUMBER('GESTAO OPERACAO'!$X$2:$X$632)*1),0)</f>
        <v>22</v>
      </c>
      <c r="I31" s="199"/>
    </row>
    <row r="32" spans="1:9" x14ac:dyDescent="0.3">
      <c r="A32" s="198"/>
      <c r="B32" s="269" t="s">
        <v>1118</v>
      </c>
      <c r="C32" s="270" t="s">
        <v>1133</v>
      </c>
      <c r="D32" s="270" t="str">
        <f>IF(((DATE(IF($C$4="Todos",2026,$C$4),4,1)+MOD(8-WEEKDAY(DATE(IF($C$4="Todos",2026,$C$4),4,1),2),7))+(3-1)*7)&gt;EOMONTH(DATE(IF($C$4="Todos",2026,$C$4),4,1),0),"",TEXT(((DATE(IF($C$4="Todos",2026,$C$4),4,1)+MOD(8-WEEKDAY(DATE(IF($C$4="Todos",2026,$C$4),4,1),2),7))+(3-1)*7),"dd/mm")&amp;" - "&amp;TEXT(MIN((((DATE(IF($C$4="Todos",2026,$C$4),4,1)+MOD(8-WEEKDAY(DATE(IF($C$4="Todos",2026,$C$4),4,1),2),7))+(3-1)*7)+6),EOMONTH(DATE(IF($C$4="Todos",2026,$C$4),4,1),0)),"dd/mm"))</f>
        <v>20/04 - 26/04</v>
      </c>
      <c r="E32" s="271" cm="1">
        <f t="array" ref="E32">(($E$4="Todos")+($E$4="Abril")&gt;0)*SUMPRODUCT(('GESTAO OPERACAO'!$AA$2:$AA$632="SEMANA 03 / ABR / "&amp;IF($C$4="Todos","",$C$4))*('GESTAO OPERACAO'!$U$2:$U$632&gt;0)*(($C$4="Todos")+(YEAR('GESTAO OPERACAO'!$U$2:$U$632)=$C$4)&gt;0))</f>
        <v>13</v>
      </c>
      <c r="F32" s="272" cm="1">
        <f t="array" ref="F32">(($E$4="Todos")+($E$4="Abril")&gt;0)*SUMPRODUCT(('GESTAO OPERACAO'!$AA$2:$AA$632="SEMANA 03 / ABR / "&amp;IF($C$4="Todos","",$C$4))*('GESTAO OPERACAO'!$U$2:$U$632&gt;0)*(($C$4="Todos")+(YEAR('GESTAO OPERACAO'!$U$2:$U$632)=$C$4)&gt;0)*IFERROR('GESTAO OPERACAO'!$P$2:$P$632*1,0))</f>
        <v>211740.87</v>
      </c>
      <c r="G32" s="285" cm="1">
        <f t="array" ref="G32">(($E$4="Todos")+($E$4="Abril")&gt;0)*SUMPRODUCT(('GESTAO OPERACAO'!$AA$2:$AA$632="SEMANA 03 / ABR / "&amp;IF($C$4="Todos","",$C$4))*IFERROR('GESTAO OPERACAO'!$AC$2:$AC$632*1,0)*(($C$4="Todos")+(IFERROR(YEAR('GESTAO OPERACAO'!$AB$2:$AB$632),0)=$C$4)+(IFERROR(YEAR('GESTAO OPERACAO'!$AB$2:$AB$632),0)=0)&gt;0))</f>
        <v>211898.67</v>
      </c>
      <c r="H32" s="273" cm="1">
        <f t="array" ref="H32">IFERROR((($E$4="Todos")+($E$4="Abril")&gt;0)*SUMPRODUCT(('GESTAO OPERACAO'!$AA$2:$AA$632="SEMANA 03 / ABR / "&amp;IF($C$4="Todos","",$C$4))*('GESTAO OPERACAO'!$U$2:$U$632&gt;0)*(($C$4="Todos")+(YEAR('GESTAO OPERACAO'!$U$2:$U$632)=$C$4)&gt;0)*IFERROR('GESTAO OPERACAO'!$X$2:$X$632*1,0))/SUMPRODUCT(('GESTAO OPERACAO'!$AA$2:$AA$632="SEMANA 03 / ABR / "&amp;IF($C$4="Todos","",$C$4))*('GESTAO OPERACAO'!$U$2:$U$632&gt;0)*(($C$4="Todos")+(YEAR('GESTAO OPERACAO'!$U$2:$U$632)=$C$4)&gt;0)*ISNUMBER('GESTAO OPERACAO'!$X$2:$X$632)*1),0)</f>
        <v>22.23076923076923</v>
      </c>
      <c r="I32" s="199"/>
    </row>
    <row r="33" spans="1:9" x14ac:dyDescent="0.3">
      <c r="A33" s="198"/>
      <c r="B33" s="269" t="s">
        <v>1118</v>
      </c>
      <c r="C33" s="270" t="s">
        <v>1134</v>
      </c>
      <c r="D33" s="270" t="str">
        <f>IF(((DATE(IF($C$4="Todos",2026,$C$4),4,1)+MOD(8-WEEKDAY(DATE(IF($C$4="Todos",2026,$C$4),4,1),2),7))+(4-1)*7)&gt;EOMONTH(DATE(IF($C$4="Todos",2026,$C$4),4,1),0),"",TEXT(((DATE(IF($C$4="Todos",2026,$C$4),4,1)+MOD(8-WEEKDAY(DATE(IF($C$4="Todos",2026,$C$4),4,1),2),7))+(4-1)*7),"dd/mm")&amp;" - "&amp;TEXT(MIN((((DATE(IF($C$4="Todos",2026,$C$4),4,1)+MOD(8-WEEKDAY(DATE(IF($C$4="Todos",2026,$C$4),4,1),2),7))+(4-1)*7)+6),EOMONTH(DATE(IF($C$4="Todos",2026,$C$4),4,1),0)),"dd/mm"))</f>
        <v>27/04 - 30/04</v>
      </c>
      <c r="E33" s="271" cm="1">
        <f t="array" ref="E33">(($E$4="Todos")+($E$4="Abril")&gt;0)*SUMPRODUCT(('GESTAO OPERACAO'!$AA$2:$AA$632="SEMANA 04 / ABR / "&amp;IF($C$4="Todos","",$C$4))*('GESTAO OPERACAO'!$U$2:$U$632&gt;0)*(($C$4="Todos")+(YEAR('GESTAO OPERACAO'!$U$2:$U$632)=$C$4)&gt;0))</f>
        <v>12</v>
      </c>
      <c r="F33" s="272" cm="1">
        <f t="array" ref="F33">(($E$4="Todos")+($E$4="Abril")&gt;0)*SUMPRODUCT(('GESTAO OPERACAO'!$AA$2:$AA$632="SEMANA 04 / ABR / "&amp;IF($C$4="Todos","",$C$4))*('GESTAO OPERACAO'!$U$2:$U$632&gt;0)*(($C$4="Todos")+(YEAR('GESTAO OPERACAO'!$U$2:$U$632)=$C$4)&gt;0)*IFERROR('GESTAO OPERACAO'!$P$2:$P$632*1,0))</f>
        <v>1485402.4719999998</v>
      </c>
      <c r="G33" s="285" cm="1">
        <f t="array" ref="G33">(($E$4="Todos")+($E$4="Abril")&gt;0)*SUMPRODUCT(('GESTAO OPERACAO'!$AA$2:$AA$632="SEMANA 04 / ABR / "&amp;IF($C$4="Todos","",$C$4))*IFERROR('GESTAO OPERACAO'!$AC$2:$AC$632*1,0)*(($C$4="Todos")+(IFERROR(YEAR('GESTAO OPERACAO'!$AB$2:$AB$632),0)=$C$4)+(IFERROR(YEAR('GESTAO OPERACAO'!$AB$2:$AB$632),0)=0)&gt;0))</f>
        <v>1478602.38</v>
      </c>
      <c r="H33" s="273" cm="1">
        <f t="array" ref="H33">IFERROR((($E$4="Todos")+($E$4="Abril")&gt;0)*SUMPRODUCT(('GESTAO OPERACAO'!$AA$2:$AA$632="SEMANA 04 / ABR / "&amp;IF($C$4="Todos","",$C$4))*('GESTAO OPERACAO'!$U$2:$U$632&gt;0)*(($C$4="Todos")+(YEAR('GESTAO OPERACAO'!$U$2:$U$632)=$C$4)&gt;0)*IFERROR('GESTAO OPERACAO'!$X$2:$X$632*1,0))/SUMPRODUCT(('GESTAO OPERACAO'!$AA$2:$AA$632="SEMANA 04 / ABR / "&amp;IF($C$4="Todos","",$C$4))*('GESTAO OPERACAO'!$U$2:$U$632&gt;0)*(($C$4="Todos")+(YEAR('GESTAO OPERACAO'!$U$2:$U$632)=$C$4)&gt;0)*ISNUMBER('GESTAO OPERACAO'!$X$2:$X$632)*1),0)</f>
        <v>24</v>
      </c>
      <c r="I33" s="199"/>
    </row>
    <row r="34" spans="1:9" x14ac:dyDescent="0.3">
      <c r="A34" s="198"/>
      <c r="B34" s="269" t="s">
        <v>1118</v>
      </c>
      <c r="C34" s="270" t="s">
        <v>1135</v>
      </c>
      <c r="D34" s="270" t="str">
        <f>IF(((DATE(IF($C$4="Todos",2026,$C$4),4,1)+MOD(8-WEEKDAY(DATE(IF($C$4="Todos",2026,$C$4),4,1),2),7))+(5-1)*7)&gt;EOMONTH(DATE(IF($C$4="Todos",2026,$C$4),4,1),0),"",TEXT(((DATE(IF($C$4="Todos",2026,$C$4),4,1)+MOD(8-WEEKDAY(DATE(IF($C$4="Todos",2026,$C$4),4,1),2),7))+(5-1)*7),"dd/mm")&amp;" - "&amp;TEXT(MIN((((DATE(IF($C$4="Todos",2026,$C$4),4,1)+MOD(8-WEEKDAY(DATE(IF($C$4="Todos",2026,$C$4),4,1),2),7))+(5-1)*7)+6),EOMONTH(DATE(IF($C$4="Todos",2026,$C$4),4,1),0)),"dd/mm"))</f>
        <v/>
      </c>
      <c r="E34" s="271" cm="1">
        <f t="array" ref="E34">(($E$4="Todos")+($E$4="Abril")&gt;0)*SUMPRODUCT(('GESTAO OPERACAO'!$AA$2:$AA$632="SEMANA 05 / ABR / "&amp;IF($C$4="Todos","",$C$4))*('GESTAO OPERACAO'!$U$2:$U$632&gt;0)*(($C$4="Todos")+(YEAR('GESTAO OPERACAO'!$U$2:$U$632)=$C$4)&gt;0))</f>
        <v>0</v>
      </c>
      <c r="F34" s="272" cm="1">
        <f t="array" ref="F34">(($E$4="Todos")+($E$4="Abril")&gt;0)*SUMPRODUCT(('GESTAO OPERACAO'!$AA$2:$AA$632="SEMANA 05 / ABR / "&amp;IF($C$4="Todos","",$C$4))*('GESTAO OPERACAO'!$U$2:$U$632&gt;0)*(($C$4="Todos")+(YEAR('GESTAO OPERACAO'!$U$2:$U$632)=$C$4)&gt;0)*IFERROR('GESTAO OPERACAO'!$P$2:$P$632*1,0))</f>
        <v>0</v>
      </c>
      <c r="G34" s="285" cm="1">
        <f t="array" ref="G34">(($E$4="Todos")+($E$4="Abril")&gt;0)*SUMPRODUCT(('GESTAO OPERACAO'!$AA$2:$AA$632="SEMANA 05 / ABR / "&amp;IF($C$4="Todos","",$C$4))*IFERROR('GESTAO OPERACAO'!$AC$2:$AC$632*1,0)*(($C$4="Todos")+(IFERROR(YEAR('GESTAO OPERACAO'!$AB$2:$AB$632),0)=$C$4)+(IFERROR(YEAR('GESTAO OPERACAO'!$AB$2:$AB$632),0)=0)&gt;0))</f>
        <v>0</v>
      </c>
      <c r="H34" s="273" cm="1">
        <f t="array" ref="H34">IFERROR((($E$4="Todos")+($E$4="Abril")&gt;0)*SUMPRODUCT(('GESTAO OPERACAO'!$AA$2:$AA$632="SEMANA 05 / ABR / "&amp;IF($C$4="Todos","",$C$4))*('GESTAO OPERACAO'!$U$2:$U$632&gt;0)*(($C$4="Todos")+(YEAR('GESTAO OPERACAO'!$U$2:$U$632)=$C$4)&gt;0)*IFERROR('GESTAO OPERACAO'!$X$2:$X$632*1,0))/SUMPRODUCT(('GESTAO OPERACAO'!$AA$2:$AA$632="SEMANA 05 / ABR / "&amp;IF($C$4="Todos","",$C$4))*('GESTAO OPERACAO'!$U$2:$U$632&gt;0)*(($C$4="Todos")+(YEAR('GESTAO OPERACAO'!$U$2:$U$632)=$C$4)&gt;0)*ISNUMBER('GESTAO OPERACAO'!$X$2:$X$632)*1),0)</f>
        <v>0</v>
      </c>
      <c r="I34" s="199"/>
    </row>
    <row r="35" spans="1:9" x14ac:dyDescent="0.3">
      <c r="A35" s="198"/>
      <c r="B35" s="274" t="s">
        <v>1139</v>
      </c>
      <c r="C35" s="275"/>
      <c r="D35" s="275"/>
      <c r="E35" s="276">
        <f>SUM(E30:E34)</f>
        <v>54</v>
      </c>
      <c r="F35" s="277">
        <f>SUM(F30:F34)</f>
        <v>1908933.8919999998</v>
      </c>
      <c r="G35" s="286">
        <f>SUM(G30:G34)</f>
        <v>1899835.6999999997</v>
      </c>
      <c r="H35" s="278">
        <f>IFERROR(SUMPRODUCT(E30:E34,H30:H34)/SUM(E30:E34),0)</f>
        <v>20.425925925925927</v>
      </c>
      <c r="I35" s="199"/>
    </row>
    <row r="36" spans="1:9" x14ac:dyDescent="0.3">
      <c r="A36" s="198"/>
      <c r="B36" s="269" t="s">
        <v>1119</v>
      </c>
      <c r="C36" s="270" t="s">
        <v>1131</v>
      </c>
      <c r="D36" s="270" t="str">
        <f>IF(((DATE(IF($C$4="Todos",2026,$C$4),5,1)+MOD(8-WEEKDAY(DATE(IF($C$4="Todos",2026,$C$4),5,1),2),7))+(1-1)*7)&gt;EOMONTH(DATE(IF($C$4="Todos",2026,$C$4),5,1),0),"",TEXT(((DATE(IF($C$4="Todos",2026,$C$4),5,1)+MOD(8-WEEKDAY(DATE(IF($C$4="Todos",2026,$C$4),5,1),2),7))+(1-1)*7),"dd/mm")&amp;" - "&amp;TEXT(MIN((((DATE(IF($C$4="Todos",2026,$C$4),5,1)+MOD(8-WEEKDAY(DATE(IF($C$4="Todos",2026,$C$4),5,1),2),7))+(1-1)*7)+6),EOMONTH(DATE(IF($C$4="Todos",2026,$C$4),5,1),0)),"dd/mm"))</f>
        <v>04/05 - 10/05</v>
      </c>
      <c r="E36" s="271" cm="1">
        <f t="array" ref="E36">(($E$4="Todos")+($E$4="Maio")&gt;0)*SUMPRODUCT(('GESTAO OPERACAO'!$AA$2:$AA$632="SEMANA 01 / MAI / "&amp;IF($C$4="Todos","",$C$4))*('GESTAO OPERACAO'!$U$2:$U$632&gt;0)*(($C$4="Todos")+(YEAR('GESTAO OPERACAO'!$U$2:$U$632)=$C$4)&gt;0))</f>
        <v>7</v>
      </c>
      <c r="F36" s="272" cm="1">
        <f t="array" ref="F36">(($E$4="Todos")+($E$4="Maio")&gt;0)*SUMPRODUCT(('GESTAO OPERACAO'!$AA$2:$AA$632="SEMANA 01 / MAI / "&amp;IF($C$4="Todos","",$C$4))*('GESTAO OPERACAO'!$U$2:$U$632&gt;0)*(($C$4="Todos")+(YEAR('GESTAO OPERACAO'!$U$2:$U$632)=$C$4)&gt;0)*IFERROR('GESTAO OPERACAO'!$P$2:$P$632*1,0))</f>
        <v>219766.43</v>
      </c>
      <c r="G36" s="285" cm="1">
        <f t="array" ref="G36">(($E$4="Todos")+($E$4="Maio")&gt;0)*SUMPRODUCT(('GESTAO OPERACAO'!$AA$2:$AA$632="SEMANA 01 / MAI / "&amp;IF($C$4="Todos","",$C$4))*IFERROR('GESTAO OPERACAO'!$AC$2:$AC$632*1,0)*(($C$4="Todos")+(IFERROR(YEAR('GESTAO OPERACAO'!$AB$2:$AB$632),0)=$C$4)+(IFERROR(YEAR('GESTAO OPERACAO'!$AB$2:$AB$632),0)=0)&gt;0))</f>
        <v>219766.42</v>
      </c>
      <c r="H36" s="273" cm="1">
        <f t="array" ref="H36">IFERROR((($E$4="Todos")+($E$4="Maio")&gt;0)*SUMPRODUCT(('GESTAO OPERACAO'!$AA$2:$AA$632="SEMANA 01 / MAI / "&amp;IF($C$4="Todos","",$C$4))*('GESTAO OPERACAO'!$U$2:$U$632&gt;0)*(($C$4="Todos")+(YEAR('GESTAO OPERACAO'!$U$2:$U$632)=$C$4)&gt;0)*IFERROR('GESTAO OPERACAO'!$X$2:$X$632*1,0))/SUMPRODUCT(('GESTAO OPERACAO'!$AA$2:$AA$632="SEMANA 01 / MAI / "&amp;IF($C$4="Todos","",$C$4))*('GESTAO OPERACAO'!$U$2:$U$632&gt;0)*(($C$4="Todos")+(YEAR('GESTAO OPERACAO'!$U$2:$U$632)=$C$4)&gt;0)*ISNUMBER('GESTAO OPERACAO'!$X$2:$X$632)*1),0)</f>
        <v>13.571428571428571</v>
      </c>
      <c r="I36" s="199"/>
    </row>
    <row r="37" spans="1:9" x14ac:dyDescent="0.3">
      <c r="A37" s="198"/>
      <c r="B37" s="269" t="s">
        <v>1119</v>
      </c>
      <c r="C37" s="270" t="s">
        <v>1132</v>
      </c>
      <c r="D37" s="270" t="str">
        <f>IF(((DATE(IF($C$4="Todos",2026,$C$4),5,1)+MOD(8-WEEKDAY(DATE(IF($C$4="Todos",2026,$C$4),5,1),2),7))+(2-1)*7)&gt;EOMONTH(DATE(IF($C$4="Todos",2026,$C$4),5,1),0),"",TEXT(((DATE(IF($C$4="Todos",2026,$C$4),5,1)+MOD(8-WEEKDAY(DATE(IF($C$4="Todos",2026,$C$4),5,1),2),7))+(2-1)*7),"dd/mm")&amp;" - "&amp;TEXT(MIN((((DATE(IF($C$4="Todos",2026,$C$4),5,1)+MOD(8-WEEKDAY(DATE(IF($C$4="Todos",2026,$C$4),5,1),2),7))+(2-1)*7)+6),EOMONTH(DATE(IF($C$4="Todos",2026,$C$4),5,1),0)),"dd/mm"))</f>
        <v>11/05 - 17/05</v>
      </c>
      <c r="E37" s="271" cm="1">
        <f t="array" ref="E37">(($E$4="Todos")+($E$4="Maio")&gt;0)*SUMPRODUCT(('GESTAO OPERACAO'!$AA$2:$AA$632="SEMANA 02 / MAI / "&amp;IF($C$4="Todos","",$C$4))*('GESTAO OPERACAO'!$U$2:$U$632&gt;0)*(($C$4="Todos")+(YEAR('GESTAO OPERACAO'!$U$2:$U$632)=$C$4)&gt;0))</f>
        <v>19</v>
      </c>
      <c r="F37" s="272" cm="1">
        <f t="array" ref="F37">(($E$4="Todos")+($E$4="Maio")&gt;0)*SUMPRODUCT(('GESTAO OPERACAO'!$AA$2:$AA$632="SEMANA 02 / MAI / "&amp;IF($C$4="Todos","",$C$4))*('GESTAO OPERACAO'!$U$2:$U$632&gt;0)*(($C$4="Todos")+(YEAR('GESTAO OPERACAO'!$U$2:$U$632)=$C$4)&gt;0)*IFERROR('GESTAO OPERACAO'!$P$2:$P$632*1,0))</f>
        <v>248492.68</v>
      </c>
      <c r="G37" s="285" cm="1">
        <f t="array" ref="G37">(($E$4="Todos")+($E$4="Maio")&gt;0)*SUMPRODUCT(('GESTAO OPERACAO'!$AA$2:$AA$632="SEMANA 02 / MAI / "&amp;IF($C$4="Todos","",$C$4))*IFERROR('GESTAO OPERACAO'!$AC$2:$AC$632*1,0)*(($C$4="Todos")+(IFERROR(YEAR('GESTAO OPERACAO'!$AB$2:$AB$632),0)=$C$4)+(IFERROR(YEAR('GESTAO OPERACAO'!$AB$2:$AB$632),0)=0)&gt;0))</f>
        <v>252597.26999999996</v>
      </c>
      <c r="H37" s="273" cm="1">
        <f t="array" ref="H37">IFERROR((($E$4="Todos")+($E$4="Maio")&gt;0)*SUMPRODUCT(('GESTAO OPERACAO'!$AA$2:$AA$632="SEMANA 02 / MAI / "&amp;IF($C$4="Todos","",$C$4))*('GESTAO OPERACAO'!$U$2:$U$632&gt;0)*(($C$4="Todos")+(YEAR('GESTAO OPERACAO'!$U$2:$U$632)=$C$4)&gt;0)*IFERROR('GESTAO OPERACAO'!$X$2:$X$632*1,0))/SUMPRODUCT(('GESTAO OPERACAO'!$AA$2:$AA$632="SEMANA 02 / MAI / "&amp;IF($C$4="Todos","",$C$4))*('GESTAO OPERACAO'!$U$2:$U$632&gt;0)*(($C$4="Todos")+(YEAR('GESTAO OPERACAO'!$U$2:$U$632)=$C$4)&gt;0)*ISNUMBER('GESTAO OPERACAO'!$X$2:$X$632)*1),0)</f>
        <v>23.210526315789473</v>
      </c>
      <c r="I37" s="199"/>
    </row>
    <row r="38" spans="1:9" x14ac:dyDescent="0.3">
      <c r="A38" s="198"/>
      <c r="B38" s="269" t="s">
        <v>1119</v>
      </c>
      <c r="C38" s="270" t="s">
        <v>1133</v>
      </c>
      <c r="D38" s="270" t="str">
        <f>IF(((DATE(IF($C$4="Todos",2026,$C$4),5,1)+MOD(8-WEEKDAY(DATE(IF($C$4="Todos",2026,$C$4),5,1),2),7))+(3-1)*7)&gt;EOMONTH(DATE(IF($C$4="Todos",2026,$C$4),5,1),0),"",TEXT(((DATE(IF($C$4="Todos",2026,$C$4),5,1)+MOD(8-WEEKDAY(DATE(IF($C$4="Todos",2026,$C$4),5,1),2),7))+(3-1)*7),"dd/mm")&amp;" - "&amp;TEXT(MIN((((DATE(IF($C$4="Todos",2026,$C$4),5,1)+MOD(8-WEEKDAY(DATE(IF($C$4="Todos",2026,$C$4),5,1),2),7))+(3-1)*7)+6),EOMONTH(DATE(IF($C$4="Todos",2026,$C$4),5,1),0)),"dd/mm"))</f>
        <v>18/05 - 24/05</v>
      </c>
      <c r="E38" s="271" cm="1">
        <f t="array" ref="E38">(($E$4="Todos")+($E$4="Maio")&gt;0)*SUMPRODUCT(('GESTAO OPERACAO'!$AA$2:$AA$632="SEMANA 03 / MAI / "&amp;IF($C$4="Todos","",$C$4))*('GESTAO OPERACAO'!$U$2:$U$632&gt;0)*(($C$4="Todos")+(YEAR('GESTAO OPERACAO'!$U$2:$U$632)=$C$4)&gt;0))</f>
        <v>10</v>
      </c>
      <c r="F38" s="272" cm="1">
        <f t="array" ref="F38">(($E$4="Todos")+($E$4="Maio")&gt;0)*SUMPRODUCT(('GESTAO OPERACAO'!$AA$2:$AA$632="SEMANA 03 / MAI / "&amp;IF($C$4="Todos","",$C$4))*('GESTAO OPERACAO'!$U$2:$U$632&gt;0)*(($C$4="Todos")+(YEAR('GESTAO OPERACAO'!$U$2:$U$632)=$C$4)&gt;0)*IFERROR('GESTAO OPERACAO'!$P$2:$P$632*1,0))</f>
        <v>205906.89999999997</v>
      </c>
      <c r="G38" s="285" cm="1">
        <f t="array" ref="G38">(($E$4="Todos")+($E$4="Maio")&gt;0)*SUMPRODUCT(('GESTAO OPERACAO'!$AA$2:$AA$632="SEMANA 03 / MAI / "&amp;IF($C$4="Todos","",$C$4))*IFERROR('GESTAO OPERACAO'!$AC$2:$AC$632*1,0)*(($C$4="Todos")+(IFERROR(YEAR('GESTAO OPERACAO'!$AB$2:$AB$632),0)=$C$4)+(IFERROR(YEAR('GESTAO OPERACAO'!$AB$2:$AB$632),0)=0)&gt;0))</f>
        <v>201907.49999999997</v>
      </c>
      <c r="H38" s="273" cm="1">
        <f t="array" ref="H38">IFERROR((($E$4="Todos")+($E$4="Maio")&gt;0)*SUMPRODUCT(('GESTAO OPERACAO'!$AA$2:$AA$632="SEMANA 03 / MAI / "&amp;IF($C$4="Todos","",$C$4))*('GESTAO OPERACAO'!$U$2:$U$632&gt;0)*(($C$4="Todos")+(YEAR('GESTAO OPERACAO'!$U$2:$U$632)=$C$4)&gt;0)*IFERROR('GESTAO OPERACAO'!$X$2:$X$632*1,0))/SUMPRODUCT(('GESTAO OPERACAO'!$AA$2:$AA$632="SEMANA 03 / MAI / "&amp;IF($C$4="Todos","",$C$4))*('GESTAO OPERACAO'!$U$2:$U$632&gt;0)*(($C$4="Todos")+(YEAR('GESTAO OPERACAO'!$U$2:$U$632)=$C$4)&gt;0)*ISNUMBER('GESTAO OPERACAO'!$X$2:$X$632)*1),0)</f>
        <v>16.399999999999999</v>
      </c>
      <c r="I38" s="199"/>
    </row>
    <row r="39" spans="1:9" x14ac:dyDescent="0.3">
      <c r="A39" s="198"/>
      <c r="B39" s="269" t="s">
        <v>1119</v>
      </c>
      <c r="C39" s="270" t="s">
        <v>1134</v>
      </c>
      <c r="D39" s="270" t="str">
        <f>IF(((DATE(IF($C$4="Todos",2026,$C$4),5,1)+MOD(8-WEEKDAY(DATE(IF($C$4="Todos",2026,$C$4),5,1),2),7))+(4-1)*7)&gt;EOMONTH(DATE(IF($C$4="Todos",2026,$C$4),5,1),0),"",TEXT(((DATE(IF($C$4="Todos",2026,$C$4),5,1)+MOD(8-WEEKDAY(DATE(IF($C$4="Todos",2026,$C$4),5,1),2),7))+(4-1)*7),"dd/mm")&amp;" - "&amp;TEXT(MIN((((DATE(IF($C$4="Todos",2026,$C$4),5,1)+MOD(8-WEEKDAY(DATE(IF($C$4="Todos",2026,$C$4),5,1),2),7))+(4-1)*7)+6),EOMONTH(DATE(IF($C$4="Todos",2026,$C$4),5,1),0)),"dd/mm"))</f>
        <v>25/05 - 31/05</v>
      </c>
      <c r="E39" s="271" cm="1">
        <f t="array" ref="E39">(($E$4="Todos")+($E$4="Maio")&gt;0)*SUMPRODUCT(('GESTAO OPERACAO'!$AA$2:$AA$632="SEMANA 04 / MAI / "&amp;IF($C$4="Todos","",$C$4))*('GESTAO OPERACAO'!$U$2:$U$632&gt;0)*(($C$4="Todos")+(YEAR('GESTAO OPERACAO'!$U$2:$U$632)=$C$4)&gt;0))</f>
        <v>17</v>
      </c>
      <c r="F39" s="272" cm="1">
        <f t="array" ref="F39">(($E$4="Todos")+($E$4="Maio")&gt;0)*SUMPRODUCT(('GESTAO OPERACAO'!$AA$2:$AA$632="SEMANA 04 / MAI / "&amp;IF($C$4="Todos","",$C$4))*('GESTAO OPERACAO'!$U$2:$U$632&gt;0)*(($C$4="Todos")+(YEAR('GESTAO OPERACAO'!$U$2:$U$632)=$C$4)&gt;0)*IFERROR('GESTAO OPERACAO'!$P$2:$P$632*1,0))</f>
        <v>1671474.3700000003</v>
      </c>
      <c r="G39" s="285" cm="1">
        <f t="array" ref="G39">(($E$4="Todos")+($E$4="Maio")&gt;0)*SUMPRODUCT(('GESTAO OPERACAO'!$AA$2:$AA$632="SEMANA 04 / MAI / "&amp;IF($C$4="Todos","",$C$4))*IFERROR('GESTAO OPERACAO'!$AC$2:$AC$632*1,0)*(($C$4="Todos")+(IFERROR(YEAR('GESTAO OPERACAO'!$AB$2:$AB$632),0)=$C$4)+(IFERROR(YEAR('GESTAO OPERACAO'!$AB$2:$AB$632),0)=0)&gt;0))</f>
        <v>1675938.1900000002</v>
      </c>
      <c r="H39" s="273" cm="1">
        <f t="array" ref="H39">IFERROR((($E$4="Todos")+($E$4="Maio")&gt;0)*SUMPRODUCT(('GESTAO OPERACAO'!$AA$2:$AA$632="SEMANA 04 / MAI / "&amp;IF($C$4="Todos","",$C$4))*('GESTAO OPERACAO'!$U$2:$U$632&gt;0)*(($C$4="Todos")+(YEAR('GESTAO OPERACAO'!$U$2:$U$632)=$C$4)&gt;0)*IFERROR('GESTAO OPERACAO'!$X$2:$X$632*1,0))/SUMPRODUCT(('GESTAO OPERACAO'!$AA$2:$AA$632="SEMANA 04 / MAI / "&amp;IF($C$4="Todos","",$C$4))*('GESTAO OPERACAO'!$U$2:$U$632&gt;0)*(($C$4="Todos")+(YEAR('GESTAO OPERACAO'!$U$2:$U$632)=$C$4)&gt;0)*ISNUMBER('GESTAO OPERACAO'!$X$2:$X$632)*1),0)</f>
        <v>21.882352941176471</v>
      </c>
      <c r="I39" s="199"/>
    </row>
    <row r="40" spans="1:9" x14ac:dyDescent="0.3">
      <c r="A40" s="198"/>
      <c r="B40" s="269" t="s">
        <v>1119</v>
      </c>
      <c r="C40" s="270" t="s">
        <v>1135</v>
      </c>
      <c r="D40" s="270" t="str">
        <f>IF(((DATE(IF($C$4="Todos",2026,$C$4),5,1)+MOD(8-WEEKDAY(DATE(IF($C$4="Todos",2026,$C$4),5,1),2),7))+(5-1)*7)&gt;EOMONTH(DATE(IF($C$4="Todos",2026,$C$4),5,1),0),"",TEXT(((DATE(IF($C$4="Todos",2026,$C$4),5,1)+MOD(8-WEEKDAY(DATE(IF($C$4="Todos",2026,$C$4),5,1),2),7))+(5-1)*7),"dd/mm")&amp;" - "&amp;TEXT(MIN((((DATE(IF($C$4="Todos",2026,$C$4),5,1)+MOD(8-WEEKDAY(DATE(IF($C$4="Todos",2026,$C$4),5,1),2),7))+(5-1)*7)+6),EOMONTH(DATE(IF($C$4="Todos",2026,$C$4),5,1),0)),"dd/mm"))</f>
        <v/>
      </c>
      <c r="E40" s="271" cm="1">
        <f t="array" ref="E40">(($E$4="Todos")+($E$4="Maio")&gt;0)*SUMPRODUCT(('GESTAO OPERACAO'!$AA$2:$AA$632="SEMANA 05 / MAI / "&amp;IF($C$4="Todos","",$C$4))*('GESTAO OPERACAO'!$U$2:$U$632&gt;0)*(($C$4="Todos")+(YEAR('GESTAO OPERACAO'!$U$2:$U$632)=$C$4)&gt;0))</f>
        <v>0</v>
      </c>
      <c r="F40" s="272" cm="1">
        <f t="array" ref="F40">(($E$4="Todos")+($E$4="Maio")&gt;0)*SUMPRODUCT(('GESTAO OPERACAO'!$AA$2:$AA$632="SEMANA 05 / MAI / "&amp;IF($C$4="Todos","",$C$4))*('GESTAO OPERACAO'!$U$2:$U$632&gt;0)*(($C$4="Todos")+(YEAR('GESTAO OPERACAO'!$U$2:$U$632)=$C$4)&gt;0)*IFERROR('GESTAO OPERACAO'!$P$2:$P$632*1,0))</f>
        <v>0</v>
      </c>
      <c r="G40" s="285" cm="1">
        <f t="array" ref="G40">(($E$4="Todos")+($E$4="Maio")&gt;0)*SUMPRODUCT(('GESTAO OPERACAO'!$AA$2:$AA$632="SEMANA 05 / MAI / "&amp;IF($C$4="Todos","",$C$4))*IFERROR('GESTAO OPERACAO'!$AC$2:$AC$632*1,0)*(($C$4="Todos")+(IFERROR(YEAR('GESTAO OPERACAO'!$AB$2:$AB$632),0)=$C$4)+(IFERROR(YEAR('GESTAO OPERACAO'!$AB$2:$AB$632),0)=0)&gt;0))</f>
        <v>0</v>
      </c>
      <c r="H40" s="273" cm="1">
        <f t="array" ref="H40">IFERROR((($E$4="Todos")+($E$4="Maio")&gt;0)*SUMPRODUCT(('GESTAO OPERACAO'!$AA$2:$AA$632="SEMANA 05 / MAI / "&amp;IF($C$4="Todos","",$C$4))*('GESTAO OPERACAO'!$U$2:$U$632&gt;0)*(($C$4="Todos")+(YEAR('GESTAO OPERACAO'!$U$2:$U$632)=$C$4)&gt;0)*IFERROR('GESTAO OPERACAO'!$X$2:$X$632*1,0))/SUMPRODUCT(('GESTAO OPERACAO'!$AA$2:$AA$632="SEMANA 05 / MAI / "&amp;IF($C$4="Todos","",$C$4))*('GESTAO OPERACAO'!$U$2:$U$632&gt;0)*(($C$4="Todos")+(YEAR('GESTAO OPERACAO'!$U$2:$U$632)=$C$4)&gt;0)*ISNUMBER('GESTAO OPERACAO'!$X$2:$X$632)*1),0)</f>
        <v>0</v>
      </c>
      <c r="I40" s="199"/>
    </row>
    <row r="41" spans="1:9" x14ac:dyDescent="0.3">
      <c r="A41" s="198"/>
      <c r="B41" s="274" t="s">
        <v>1140</v>
      </c>
      <c r="C41" s="275"/>
      <c r="D41" s="275"/>
      <c r="E41" s="276">
        <f>SUM(E36:E40)</f>
        <v>53</v>
      </c>
      <c r="F41" s="277">
        <f>SUM(F36:F40)</f>
        <v>2345640.3800000004</v>
      </c>
      <c r="G41" s="286">
        <f>SUM(G36:G40)</f>
        <v>2350209.38</v>
      </c>
      <c r="H41" s="278">
        <f>IFERROR(SUMPRODUCT(E36:E40,H36:H40)/SUM(E36:E40),0)</f>
        <v>20.226415094339622</v>
      </c>
      <c r="I41" s="199"/>
    </row>
    <row r="42" spans="1:9" x14ac:dyDescent="0.3">
      <c r="A42" s="198"/>
      <c r="B42" s="269" t="s">
        <v>1120</v>
      </c>
      <c r="C42" s="270" t="s">
        <v>1131</v>
      </c>
      <c r="D42" s="270" t="str">
        <f>IF(((DATE(IF($C$4="Todos",2026,$C$4),6,1)+MOD(8-WEEKDAY(DATE(IF($C$4="Todos",2026,$C$4),6,1),2),7))+(1-1)*7)&gt;EOMONTH(DATE(IF($C$4="Todos",2026,$C$4),6,1),0),"",TEXT(((DATE(IF($C$4="Todos",2026,$C$4),6,1)+MOD(8-WEEKDAY(DATE(IF($C$4="Todos",2026,$C$4),6,1),2),7))+(1-1)*7),"dd/mm")&amp;" - "&amp;TEXT(MIN((((DATE(IF($C$4="Todos",2026,$C$4),6,1)+MOD(8-WEEKDAY(DATE(IF($C$4="Todos",2026,$C$4),6,1),2),7))+(1-1)*7)+6),EOMONTH(DATE(IF($C$4="Todos",2026,$C$4),6,1),0)),"dd/mm"))</f>
        <v>01/06 - 07/06</v>
      </c>
      <c r="E42" s="271" cm="1">
        <f t="array" ref="E42">(($E$4="Todos")+($E$4="Junho")&gt;0)*SUMPRODUCT(('GESTAO OPERACAO'!$AA$2:$AA$632="SEMANA 01 / JUN / "&amp;IF($C$4="Todos","",$C$4))*('GESTAO OPERACAO'!$U$2:$U$632&gt;0)*(($C$4="Todos")+(YEAR('GESTAO OPERACAO'!$U$2:$U$632)=$C$4)&gt;0))</f>
        <v>8</v>
      </c>
      <c r="F42" s="272" cm="1">
        <f t="array" ref="F42">(($E$4="Todos")+($E$4="Junho")&gt;0)*SUMPRODUCT(('GESTAO OPERACAO'!$AA$2:$AA$632="SEMANA 01 / JUN / "&amp;IF($C$4="Todos","",$C$4))*('GESTAO OPERACAO'!$U$2:$U$632&gt;0)*(($C$4="Todos")+(YEAR('GESTAO OPERACAO'!$U$2:$U$632)=$C$4)&gt;0)*IFERROR('GESTAO OPERACAO'!$P$2:$P$632*1,0))</f>
        <v>220098.6</v>
      </c>
      <c r="G42" s="285" cm="1">
        <f t="array" ref="G42">(($E$4="Todos")+($E$4="Junho")&gt;0)*SUMPRODUCT(('GESTAO OPERACAO'!$AA$2:$AA$632="SEMANA 01 / JUN / "&amp;IF($C$4="Todos","",$C$4))*IFERROR('GESTAO OPERACAO'!$AC$2:$AC$632*1,0)*(($C$4="Todos")+(IFERROR(YEAR('GESTAO OPERACAO'!$AB$2:$AB$632),0)=$C$4)+(IFERROR(YEAR('GESTAO OPERACAO'!$AB$2:$AB$632),0)=0)&gt;0))</f>
        <v>219953.84</v>
      </c>
      <c r="H42" s="273" cm="1">
        <f t="array" ref="H42">IFERROR((($E$4="Todos")+($E$4="Junho")&gt;0)*SUMPRODUCT(('GESTAO OPERACAO'!$AA$2:$AA$632="SEMANA 01 / JUN / "&amp;IF($C$4="Todos","",$C$4))*('GESTAO OPERACAO'!$U$2:$U$632&gt;0)*(($C$4="Todos")+(YEAR('GESTAO OPERACAO'!$U$2:$U$632)=$C$4)&gt;0)*IFERROR('GESTAO OPERACAO'!$X$2:$X$632*1,0))/SUMPRODUCT(('GESTAO OPERACAO'!$AA$2:$AA$632="SEMANA 01 / JUN / "&amp;IF($C$4="Todos","",$C$4))*('GESTAO OPERACAO'!$U$2:$U$632&gt;0)*(($C$4="Todos")+(YEAR('GESTAO OPERACAO'!$U$2:$U$632)=$C$4)&gt;0)*ISNUMBER('GESTAO OPERACAO'!$X$2:$X$632)*1),0)</f>
        <v>19.375</v>
      </c>
      <c r="I42" s="199"/>
    </row>
    <row r="43" spans="1:9" x14ac:dyDescent="0.3">
      <c r="A43" s="198"/>
      <c r="B43" s="269" t="s">
        <v>1120</v>
      </c>
      <c r="C43" s="270" t="s">
        <v>1132</v>
      </c>
      <c r="D43" s="270" t="str">
        <f>IF(((DATE(IF($C$4="Todos",2026,$C$4),6,1)+MOD(8-WEEKDAY(DATE(IF($C$4="Todos",2026,$C$4),6,1),2),7))+(2-1)*7)&gt;EOMONTH(DATE(IF($C$4="Todos",2026,$C$4),6,1),0),"",TEXT(((DATE(IF($C$4="Todos",2026,$C$4),6,1)+MOD(8-WEEKDAY(DATE(IF($C$4="Todos",2026,$C$4),6,1),2),7))+(2-1)*7),"dd/mm")&amp;" - "&amp;TEXT(MIN((((DATE(IF($C$4="Todos",2026,$C$4),6,1)+MOD(8-WEEKDAY(DATE(IF($C$4="Todos",2026,$C$4),6,1),2),7))+(2-1)*7)+6),EOMONTH(DATE(IF($C$4="Todos",2026,$C$4),6,1),0)),"dd/mm"))</f>
        <v>08/06 - 14/06</v>
      </c>
      <c r="E43" s="271" cm="1">
        <f t="array" ref="E43">(($E$4="Todos")+($E$4="Junho")&gt;0)*SUMPRODUCT(('GESTAO OPERACAO'!$AA$2:$AA$632="SEMANA 02 / JUN / "&amp;IF($C$4="Todos","",$C$4))*('GESTAO OPERACAO'!$U$2:$U$632&gt;0)*(($C$4="Todos")+(YEAR('GESTAO OPERACAO'!$U$2:$U$632)=$C$4)&gt;0))</f>
        <v>7</v>
      </c>
      <c r="F43" s="272" cm="1">
        <f t="array" ref="F43">(($E$4="Todos")+($E$4="Junho")&gt;0)*SUMPRODUCT(('GESTAO OPERACAO'!$AA$2:$AA$632="SEMANA 02 / JUN / "&amp;IF($C$4="Todos","",$C$4))*('GESTAO OPERACAO'!$U$2:$U$632&gt;0)*(($C$4="Todos")+(YEAR('GESTAO OPERACAO'!$U$2:$U$632)=$C$4)&gt;0)*IFERROR('GESTAO OPERACAO'!$P$2:$P$632*1,0))</f>
        <v>118675.82</v>
      </c>
      <c r="G43" s="285" cm="1">
        <f t="array" ref="G43">(($E$4="Todos")+($E$4="Junho")&gt;0)*SUMPRODUCT(('GESTAO OPERACAO'!$AA$2:$AA$632="SEMANA 02 / JUN / "&amp;IF($C$4="Todos","",$C$4))*IFERROR('GESTAO OPERACAO'!$AC$2:$AC$632*1,0)*(($C$4="Todos")+(IFERROR(YEAR('GESTAO OPERACAO'!$AB$2:$AB$632),0)=$C$4)+(IFERROR(YEAR('GESTAO OPERACAO'!$AB$2:$AB$632),0)=0)&gt;0))</f>
        <v>118675.90000000001</v>
      </c>
      <c r="H43" s="273" cm="1">
        <f t="array" ref="H43">IFERROR((($E$4="Todos")+($E$4="Junho")&gt;0)*SUMPRODUCT(('GESTAO OPERACAO'!$AA$2:$AA$632="SEMANA 02 / JUN / "&amp;IF($C$4="Todos","",$C$4))*('GESTAO OPERACAO'!$U$2:$U$632&gt;0)*(($C$4="Todos")+(YEAR('GESTAO OPERACAO'!$U$2:$U$632)=$C$4)&gt;0)*IFERROR('GESTAO OPERACAO'!$X$2:$X$632*1,0))/SUMPRODUCT(('GESTAO OPERACAO'!$AA$2:$AA$632="SEMANA 02 / JUN / "&amp;IF($C$4="Todos","",$C$4))*('GESTAO OPERACAO'!$U$2:$U$632&gt;0)*(($C$4="Todos")+(YEAR('GESTAO OPERACAO'!$U$2:$U$632)=$C$4)&gt;0)*ISNUMBER('GESTAO OPERACAO'!$X$2:$X$632)*1),0)</f>
        <v>31</v>
      </c>
      <c r="I43" s="199"/>
    </row>
    <row r="44" spans="1:9" x14ac:dyDescent="0.3">
      <c r="A44" s="198"/>
      <c r="B44" s="269" t="s">
        <v>1120</v>
      </c>
      <c r="C44" s="270" t="s">
        <v>1133</v>
      </c>
      <c r="D44" s="270" t="str">
        <f>IF(((DATE(IF($C$4="Todos",2026,$C$4),6,1)+MOD(8-WEEKDAY(DATE(IF($C$4="Todos",2026,$C$4),6,1),2),7))+(3-1)*7)&gt;EOMONTH(DATE(IF($C$4="Todos",2026,$C$4),6,1),0),"",TEXT(((DATE(IF($C$4="Todos",2026,$C$4),6,1)+MOD(8-WEEKDAY(DATE(IF($C$4="Todos",2026,$C$4),6,1),2),7))+(3-1)*7),"dd/mm")&amp;" - "&amp;TEXT(MIN((((DATE(IF($C$4="Todos",2026,$C$4),6,1)+MOD(8-WEEKDAY(DATE(IF($C$4="Todos",2026,$C$4),6,1),2),7))+(3-1)*7)+6),EOMONTH(DATE(IF($C$4="Todos",2026,$C$4),6,1),0)),"dd/mm"))</f>
        <v>15/06 - 21/06</v>
      </c>
      <c r="E44" s="271" cm="1">
        <f t="array" ref="E44">(($E$4="Todos")+($E$4="Junho")&gt;0)*SUMPRODUCT(('GESTAO OPERACAO'!$AA$2:$AA$632="SEMANA 03 / JUN / "&amp;IF($C$4="Todos","",$C$4))*('GESTAO OPERACAO'!$U$2:$U$632&gt;0)*(($C$4="Todos")+(YEAR('GESTAO OPERACAO'!$U$2:$U$632)=$C$4)&gt;0))</f>
        <v>21</v>
      </c>
      <c r="F44" s="272" cm="1">
        <f t="array" ref="F44">(($E$4="Todos")+($E$4="Junho")&gt;0)*SUMPRODUCT(('GESTAO OPERACAO'!$AA$2:$AA$632="SEMANA 03 / JUN / "&amp;IF($C$4="Todos","",$C$4))*('GESTAO OPERACAO'!$U$2:$U$632&gt;0)*(($C$4="Todos")+(YEAR('GESTAO OPERACAO'!$U$2:$U$632)=$C$4)&gt;0)*IFERROR('GESTAO OPERACAO'!$P$2:$P$632*1,0))</f>
        <v>443409.98000000004</v>
      </c>
      <c r="G44" s="285" cm="1">
        <f t="array" ref="G44">(($E$4="Todos")+($E$4="Junho")&gt;0)*SUMPRODUCT(('GESTAO OPERACAO'!$AA$2:$AA$632="SEMANA 03 / JUN / "&amp;IF($C$4="Todos","",$C$4))*IFERROR('GESTAO OPERACAO'!$AC$2:$AC$632*1,0)*(($C$4="Todos")+(IFERROR(YEAR('GESTAO OPERACAO'!$AB$2:$AB$632),0)=$C$4)+(IFERROR(YEAR('GESTAO OPERACAO'!$AB$2:$AB$632),0)=0)&gt;0))</f>
        <v>444359.19000000006</v>
      </c>
      <c r="H44" s="273" cm="1">
        <f t="array" ref="H44">IFERROR((($E$4="Todos")+($E$4="Junho")&gt;0)*SUMPRODUCT(('GESTAO OPERACAO'!$AA$2:$AA$632="SEMANA 03 / JUN / "&amp;IF($C$4="Todos","",$C$4))*('GESTAO OPERACAO'!$U$2:$U$632&gt;0)*(($C$4="Todos")+(YEAR('GESTAO OPERACAO'!$U$2:$U$632)=$C$4)&gt;0)*IFERROR('GESTAO OPERACAO'!$X$2:$X$632*1,0))/SUMPRODUCT(('GESTAO OPERACAO'!$AA$2:$AA$632="SEMANA 03 / JUN / "&amp;IF($C$4="Todos","",$C$4))*('GESTAO OPERACAO'!$U$2:$U$632&gt;0)*(($C$4="Todos")+(YEAR('GESTAO OPERACAO'!$U$2:$U$632)=$C$4)&gt;0)*ISNUMBER('GESTAO OPERACAO'!$X$2:$X$632)*1),0)</f>
        <v>22.61904761904762</v>
      </c>
      <c r="I44" s="199"/>
    </row>
    <row r="45" spans="1:9" x14ac:dyDescent="0.3">
      <c r="A45" s="198"/>
      <c r="B45" s="269" t="s">
        <v>1120</v>
      </c>
      <c r="C45" s="270" t="s">
        <v>1134</v>
      </c>
      <c r="D45" s="270" t="str">
        <f>IF(((DATE(IF($C$4="Todos",2026,$C$4),6,1)+MOD(8-WEEKDAY(DATE(IF($C$4="Todos",2026,$C$4),6,1),2),7))+(4-1)*7)&gt;EOMONTH(DATE(IF($C$4="Todos",2026,$C$4),6,1),0),"",TEXT(((DATE(IF($C$4="Todos",2026,$C$4),6,1)+MOD(8-WEEKDAY(DATE(IF($C$4="Todos",2026,$C$4),6,1),2),7))+(4-1)*7),"dd/mm")&amp;" - "&amp;TEXT(MIN((((DATE(IF($C$4="Todos",2026,$C$4),6,1)+MOD(8-WEEKDAY(DATE(IF($C$4="Todos",2026,$C$4),6,1),2),7))+(4-1)*7)+6),EOMONTH(DATE(IF($C$4="Todos",2026,$C$4),6,1),0)),"dd/mm"))</f>
        <v>22/06 - 28/06</v>
      </c>
      <c r="E45" s="271" cm="1">
        <f t="array" ref="E45">(($E$4="Todos")+($E$4="Junho")&gt;0)*SUMPRODUCT(('GESTAO OPERACAO'!$AA$2:$AA$632="SEMANA 04 / JUN / "&amp;IF($C$4="Todos","",$C$4))*('GESTAO OPERACAO'!$U$2:$U$632&gt;0)*(($C$4="Todos")+(YEAR('GESTAO OPERACAO'!$U$2:$U$632)=$C$4)&gt;0))</f>
        <v>33</v>
      </c>
      <c r="F45" s="272" cm="1">
        <f t="array" ref="F45">(($E$4="Todos")+($E$4="Junho")&gt;0)*SUMPRODUCT(('GESTAO OPERACAO'!$AA$2:$AA$632="SEMANA 04 / JUN / "&amp;IF($C$4="Todos","",$C$4))*('GESTAO OPERACAO'!$U$2:$U$632&gt;0)*(($C$4="Todos")+(YEAR('GESTAO OPERACAO'!$U$2:$U$632)=$C$4)&gt;0)*IFERROR('GESTAO OPERACAO'!$P$2:$P$632*1,0))</f>
        <v>463140.53000000009</v>
      </c>
      <c r="G45" s="285" cm="1">
        <f t="array" ref="G45">(($E$4="Todos")+($E$4="Junho")&gt;0)*SUMPRODUCT(('GESTAO OPERACAO'!$AA$2:$AA$632="SEMANA 04 / JUN / "&amp;IF($C$4="Todos","",$C$4))*IFERROR('GESTAO OPERACAO'!$AC$2:$AC$632*1,0)*(($C$4="Todos")+(IFERROR(YEAR('GESTAO OPERACAO'!$AB$2:$AB$632),0)=$C$4)+(IFERROR(YEAR('GESTAO OPERACAO'!$AB$2:$AB$632),0)=0)&gt;0))</f>
        <v>430179.63000000006</v>
      </c>
      <c r="H45" s="273" cm="1">
        <f t="array" ref="H45">IFERROR((($E$4="Todos")+($E$4="Junho")&gt;0)*SUMPRODUCT(('GESTAO OPERACAO'!$AA$2:$AA$632="SEMANA 04 / JUN / "&amp;IF($C$4="Todos","",$C$4))*('GESTAO OPERACAO'!$U$2:$U$632&gt;0)*(($C$4="Todos")+(YEAR('GESTAO OPERACAO'!$U$2:$U$632)=$C$4)&gt;0)*IFERROR('GESTAO OPERACAO'!$X$2:$X$632*1,0))/SUMPRODUCT(('GESTAO OPERACAO'!$AA$2:$AA$632="SEMANA 04 / JUN / "&amp;IF($C$4="Todos","",$C$4))*('GESTAO OPERACAO'!$U$2:$U$632&gt;0)*(($C$4="Todos")+(YEAR('GESTAO OPERACAO'!$U$2:$U$632)=$C$4)&gt;0)*ISNUMBER('GESTAO OPERACAO'!$X$2:$X$632)*1),0)</f>
        <v>17.333333333333332</v>
      </c>
      <c r="I45" s="199"/>
    </row>
    <row r="46" spans="1:9" x14ac:dyDescent="0.3">
      <c r="A46" s="198"/>
      <c r="B46" s="269" t="s">
        <v>1120</v>
      </c>
      <c r="C46" s="270" t="s">
        <v>1135</v>
      </c>
      <c r="D46" s="270" t="str">
        <f>IF(((DATE(IF($C$4="Todos",2026,$C$4),6,1)+MOD(8-WEEKDAY(DATE(IF($C$4="Todos",2026,$C$4),6,1),2),7))+(5-1)*7)&gt;EOMONTH(DATE(IF($C$4="Todos",2026,$C$4),6,1),0),"",TEXT(((DATE(IF($C$4="Todos",2026,$C$4),6,1)+MOD(8-WEEKDAY(DATE(IF($C$4="Todos",2026,$C$4),6,1),2),7))+(5-1)*7),"dd/mm")&amp;" - "&amp;TEXT(MIN((((DATE(IF($C$4="Todos",2026,$C$4),6,1)+MOD(8-WEEKDAY(DATE(IF($C$4="Todos",2026,$C$4),6,1),2),7))+(5-1)*7)+6),EOMONTH(DATE(IF($C$4="Todos",2026,$C$4),6,1),0)),"dd/mm"))</f>
        <v>29/06 - 30/06</v>
      </c>
      <c r="E46" s="271" cm="1">
        <f t="array" ref="E46">(($E$4="Todos")+($E$4="Junho")&gt;0)*SUMPRODUCT(('GESTAO OPERACAO'!$AA$2:$AA$632="SEMANA 05 / JUN / "&amp;IF($C$4="Todos","",$C$4))*('GESTAO OPERACAO'!$U$2:$U$632&gt;0)*(($C$4="Todos")+(YEAR('GESTAO OPERACAO'!$U$2:$U$632)=$C$4)&gt;0))</f>
        <v>0</v>
      </c>
      <c r="F46" s="272" cm="1">
        <f t="array" ref="F46">(($E$4="Todos")+($E$4="Junho")&gt;0)*SUMPRODUCT(('GESTAO OPERACAO'!$AA$2:$AA$632="SEMANA 05 / JUN / "&amp;IF($C$4="Todos","",$C$4))*('GESTAO OPERACAO'!$U$2:$U$632&gt;0)*(($C$4="Todos")+(YEAR('GESTAO OPERACAO'!$U$2:$U$632)=$C$4)&gt;0)*IFERROR('GESTAO OPERACAO'!$P$2:$P$632*1,0))</f>
        <v>0</v>
      </c>
      <c r="G46" s="285" cm="1">
        <f t="array" ref="G46">(($E$4="Todos")+($E$4="Junho")&gt;0)*SUMPRODUCT(('GESTAO OPERACAO'!$AA$2:$AA$632="SEMANA 05 / JUN / "&amp;IF($C$4="Todos","",$C$4))*IFERROR('GESTAO OPERACAO'!$AC$2:$AC$632*1,0)*(($C$4="Todos")+(IFERROR(YEAR('GESTAO OPERACAO'!$AB$2:$AB$632),0)=$C$4)+(IFERROR(YEAR('GESTAO OPERACAO'!$AB$2:$AB$632),0)=0)&gt;0))</f>
        <v>0</v>
      </c>
      <c r="H46" s="273" cm="1">
        <f t="array" ref="H46">IFERROR((($E$4="Todos")+($E$4="Junho")&gt;0)*SUMPRODUCT(('GESTAO OPERACAO'!$AA$2:$AA$632="SEMANA 05 / JUN / "&amp;IF($C$4="Todos","",$C$4))*('GESTAO OPERACAO'!$U$2:$U$632&gt;0)*(($C$4="Todos")+(YEAR('GESTAO OPERACAO'!$U$2:$U$632)=$C$4)&gt;0)*IFERROR('GESTAO OPERACAO'!$X$2:$X$632*1,0))/SUMPRODUCT(('GESTAO OPERACAO'!$AA$2:$AA$632="SEMANA 05 / JUN / "&amp;IF($C$4="Todos","",$C$4))*('GESTAO OPERACAO'!$U$2:$U$632&gt;0)*(($C$4="Todos")+(YEAR('GESTAO OPERACAO'!$U$2:$U$632)=$C$4)&gt;0)*ISNUMBER('GESTAO OPERACAO'!$X$2:$X$632)*1),0)</f>
        <v>0</v>
      </c>
      <c r="I46" s="199"/>
    </row>
    <row r="47" spans="1:9" x14ac:dyDescent="0.3">
      <c r="A47" s="198"/>
      <c r="B47" s="274" t="s">
        <v>1141</v>
      </c>
      <c r="C47" s="275"/>
      <c r="D47" s="275"/>
      <c r="E47" s="276">
        <f>SUM(E42:E46)</f>
        <v>69</v>
      </c>
      <c r="F47" s="277">
        <f>SUM(F42:F46)</f>
        <v>1245324.9300000002</v>
      </c>
      <c r="G47" s="286">
        <f>SUM(G42:G46)</f>
        <v>1213168.56</v>
      </c>
      <c r="H47" s="278">
        <f>IFERROR(SUMPRODUCT(E42:E46,H42:H46)/SUM(E42:E46),0)</f>
        <v>20.565217391304348</v>
      </c>
      <c r="I47" s="199"/>
    </row>
    <row r="48" spans="1:9" x14ac:dyDescent="0.3">
      <c r="A48" s="198"/>
      <c r="B48" s="269" t="s">
        <v>1121</v>
      </c>
      <c r="C48" s="270" t="s">
        <v>1131</v>
      </c>
      <c r="D48" s="270" t="str">
        <f>IF(((DATE(IF($C$4="Todos",2026,$C$4),7,1)+MOD(8-WEEKDAY(DATE(IF($C$4="Todos",2026,$C$4),7,1),2),7))+(1-1)*7)&gt;EOMONTH(DATE(IF($C$4="Todos",2026,$C$4),7,1),0),"",TEXT(((DATE(IF($C$4="Todos",2026,$C$4),7,1)+MOD(8-WEEKDAY(DATE(IF($C$4="Todos",2026,$C$4),7,1),2),7))+(1-1)*7),"dd/mm")&amp;" - "&amp;TEXT(MIN((((DATE(IF($C$4="Todos",2026,$C$4),7,1)+MOD(8-WEEKDAY(DATE(IF($C$4="Todos",2026,$C$4),7,1),2),7))+(1-1)*7)+6),EOMONTH(DATE(IF($C$4="Todos",2026,$C$4),7,1),0)),"dd/mm"))</f>
        <v>06/07 - 12/07</v>
      </c>
      <c r="E48" s="271" cm="1">
        <f t="array" ref="E48">(($E$4="Todos")+($E$4="Julho")&gt;0)*SUMPRODUCT(('GESTAO OPERACAO'!$AA$2:$AA$632="SEMANA 01 / JUL / "&amp;IF($C$4="Todos","",$C$4))*('GESTAO OPERACAO'!$U$2:$U$632&gt;0)*(($C$4="Todos")+(YEAR('GESTAO OPERACAO'!$U$2:$U$632)=$C$4)&gt;0))</f>
        <v>4</v>
      </c>
      <c r="F48" s="272" cm="1">
        <f t="array" ref="F48">(($E$4="Todos")+($E$4="Julho")&gt;0)*SUMPRODUCT(('GESTAO OPERACAO'!$AA$2:$AA$632="SEMANA 01 / JUL / "&amp;IF($C$4="Todos","",$C$4))*('GESTAO OPERACAO'!$U$2:$U$632&gt;0)*(($C$4="Todos")+(YEAR('GESTAO OPERACAO'!$U$2:$U$632)=$C$4)&gt;0)*IFERROR('GESTAO OPERACAO'!$P$2:$P$632*1,0))</f>
        <v>16332</v>
      </c>
      <c r="G48" s="285" cm="1">
        <f t="array" ref="G48">(($E$4="Todos")+($E$4="Julho")&gt;0)*SUMPRODUCT(('GESTAO OPERACAO'!$AA$2:$AA$632="SEMANA 01 / JUL / "&amp;IF($C$4="Todos","",$C$4))*IFERROR('GESTAO OPERACAO'!$AC$2:$AC$632*1,0)*(($C$4="Todos")+(IFERROR(YEAR('GESTAO OPERACAO'!$AB$2:$AB$632),0)=$C$4)+(IFERROR(YEAR('GESTAO OPERACAO'!$AB$2:$AB$632),0)=0)&gt;0))</f>
        <v>20417</v>
      </c>
      <c r="H48" s="273" cm="1">
        <f t="array" ref="H48">IFERROR((($E$4="Todos")+($E$4="Julho")&gt;0)*SUMPRODUCT(('GESTAO OPERACAO'!$AA$2:$AA$632="SEMANA 01 / JUL / "&amp;IF($C$4="Todos","",$C$4))*('GESTAO OPERACAO'!$U$2:$U$632&gt;0)*(($C$4="Todos")+(YEAR('GESTAO OPERACAO'!$U$2:$U$632)=$C$4)&gt;0)*IFERROR('GESTAO OPERACAO'!$X$2:$X$632*1,0))/SUMPRODUCT(('GESTAO OPERACAO'!$AA$2:$AA$632="SEMANA 01 / JUL / "&amp;IF($C$4="Todos","",$C$4))*('GESTAO OPERACAO'!$U$2:$U$632&gt;0)*(($C$4="Todos")+(YEAR('GESTAO OPERACAO'!$U$2:$U$632)=$C$4)&gt;0)*ISNUMBER('GESTAO OPERACAO'!$X$2:$X$632)*1),0)</f>
        <v>29</v>
      </c>
      <c r="I48" s="199"/>
    </row>
    <row r="49" spans="1:9" x14ac:dyDescent="0.3">
      <c r="A49" s="198"/>
      <c r="B49" s="269" t="s">
        <v>1121</v>
      </c>
      <c r="C49" s="270" t="s">
        <v>1132</v>
      </c>
      <c r="D49" s="270" t="str">
        <f>IF(((DATE(IF($C$4="Todos",2026,$C$4),7,1)+MOD(8-WEEKDAY(DATE(IF($C$4="Todos",2026,$C$4),7,1),2),7))+(2-1)*7)&gt;EOMONTH(DATE(IF($C$4="Todos",2026,$C$4),7,1),0),"",TEXT(((DATE(IF($C$4="Todos",2026,$C$4),7,1)+MOD(8-WEEKDAY(DATE(IF($C$4="Todos",2026,$C$4),7,1),2),7))+(2-1)*7),"dd/mm")&amp;" - "&amp;TEXT(MIN((((DATE(IF($C$4="Todos",2026,$C$4),7,1)+MOD(8-WEEKDAY(DATE(IF($C$4="Todos",2026,$C$4),7,1),2),7))+(2-1)*7)+6),EOMONTH(DATE(IF($C$4="Todos",2026,$C$4),7,1),0)),"dd/mm"))</f>
        <v>13/07 - 19/07</v>
      </c>
      <c r="E49" s="271" cm="1">
        <f t="array" ref="E49">(($E$4="Todos")+($E$4="Julho")&gt;0)*SUMPRODUCT(('GESTAO OPERACAO'!$AA$2:$AA$632="SEMANA 02 / JUL / "&amp;IF($C$4="Todos","",$C$4))*('GESTAO OPERACAO'!$U$2:$U$632&gt;0)*(($C$4="Todos")+(YEAR('GESTAO OPERACAO'!$U$2:$U$632)=$C$4)&gt;0))</f>
        <v>12</v>
      </c>
      <c r="F49" s="272" cm="1">
        <f t="array" ref="F49">(($E$4="Todos")+($E$4="Julho")&gt;0)*SUMPRODUCT(('GESTAO OPERACAO'!$AA$2:$AA$632="SEMANA 02 / JUL / "&amp;IF($C$4="Todos","",$C$4))*('GESTAO OPERACAO'!$U$2:$U$632&gt;0)*(($C$4="Todos")+(YEAR('GESTAO OPERACAO'!$U$2:$U$632)=$C$4)&gt;0)*IFERROR('GESTAO OPERACAO'!$P$2:$P$632*1,0))</f>
        <v>131913.75</v>
      </c>
      <c r="G49" s="285" cm="1">
        <f t="array" ref="G49">(($E$4="Todos")+($E$4="Julho")&gt;0)*SUMPRODUCT(('GESTAO OPERACAO'!$AA$2:$AA$632="SEMANA 02 / JUL / "&amp;IF($C$4="Todos","",$C$4))*IFERROR('GESTAO OPERACAO'!$AC$2:$AC$632*1,0)*(($C$4="Todos")+(IFERROR(YEAR('GESTAO OPERACAO'!$AB$2:$AB$632),0)=$C$4)+(IFERROR(YEAR('GESTAO OPERACAO'!$AB$2:$AB$632),0)=0)&gt;0))</f>
        <v>99512.170000000013</v>
      </c>
      <c r="H49" s="273" cm="1">
        <f t="array" ref="H49">IFERROR((($E$4="Todos")+($E$4="Julho")&gt;0)*SUMPRODUCT(('GESTAO OPERACAO'!$AA$2:$AA$632="SEMANA 02 / JUL / "&amp;IF($C$4="Todos","",$C$4))*('GESTAO OPERACAO'!$U$2:$U$632&gt;0)*(($C$4="Todos")+(YEAR('GESTAO OPERACAO'!$U$2:$U$632)=$C$4)&gt;0)*IFERROR('GESTAO OPERACAO'!$X$2:$X$632*1,0))/SUMPRODUCT(('GESTAO OPERACAO'!$AA$2:$AA$632="SEMANA 02 / JUL / "&amp;IF($C$4="Todos","",$C$4))*('GESTAO OPERACAO'!$U$2:$U$632&gt;0)*(($C$4="Todos")+(YEAR('GESTAO OPERACAO'!$U$2:$U$632)=$C$4)&gt;0)*ISNUMBER('GESTAO OPERACAO'!$X$2:$X$632)*1),0)</f>
        <v>17.916666666666668</v>
      </c>
      <c r="I49" s="199"/>
    </row>
    <row r="50" spans="1:9" x14ac:dyDescent="0.3">
      <c r="A50" s="198"/>
      <c r="B50" s="269" t="s">
        <v>1121</v>
      </c>
      <c r="C50" s="270" t="s">
        <v>1133</v>
      </c>
      <c r="D50" s="270" t="str">
        <f>IF(((DATE(IF($C$4="Todos",2026,$C$4),7,1)+MOD(8-WEEKDAY(DATE(IF($C$4="Todos",2026,$C$4),7,1),2),7))+(3-1)*7)&gt;EOMONTH(DATE(IF($C$4="Todos",2026,$C$4),7,1),0),"",TEXT(((DATE(IF($C$4="Todos",2026,$C$4),7,1)+MOD(8-WEEKDAY(DATE(IF($C$4="Todos",2026,$C$4),7,1),2),7))+(3-1)*7),"dd/mm")&amp;" - "&amp;TEXT(MIN((((DATE(IF($C$4="Todos",2026,$C$4),7,1)+MOD(8-WEEKDAY(DATE(IF($C$4="Todos",2026,$C$4),7,1),2),7))+(3-1)*7)+6),EOMONTH(DATE(IF($C$4="Todos",2026,$C$4),7,1),0)),"dd/mm"))</f>
        <v>20/07 - 26/07</v>
      </c>
      <c r="E50" s="271" cm="1">
        <f t="array" ref="E50">(($E$4="Todos")+($E$4="Julho")&gt;0)*SUMPRODUCT(('GESTAO OPERACAO'!$AA$2:$AA$632="SEMANA 03 / JUL / "&amp;IF($C$4="Todos","",$C$4))*('GESTAO OPERACAO'!$U$2:$U$632&gt;0)*(($C$4="Todos")+(YEAR('GESTAO OPERACAO'!$U$2:$U$632)=$C$4)&gt;0))</f>
        <v>10</v>
      </c>
      <c r="F50" s="272" cm="1">
        <f t="array" ref="F50">(($E$4="Todos")+($E$4="Julho")&gt;0)*SUMPRODUCT(('GESTAO OPERACAO'!$AA$2:$AA$632="SEMANA 03 / JUL / "&amp;IF($C$4="Todos","",$C$4))*('GESTAO OPERACAO'!$U$2:$U$632&gt;0)*(($C$4="Todos")+(YEAR('GESTAO OPERACAO'!$U$2:$U$632)=$C$4)&gt;0)*IFERROR('GESTAO OPERACAO'!$P$2:$P$632*1,0))</f>
        <v>91070.59</v>
      </c>
      <c r="G50" s="285" cm="1">
        <f t="array" ref="G50">(($E$4="Todos")+($E$4="Julho")&gt;0)*SUMPRODUCT(('GESTAO OPERACAO'!$AA$2:$AA$632="SEMANA 03 / JUL / "&amp;IF($C$4="Todos","",$C$4))*IFERROR('GESTAO OPERACAO'!$AC$2:$AC$632*1,0)*(($C$4="Todos")+(IFERROR(YEAR('GESTAO OPERACAO'!$AB$2:$AB$632),0)=$C$4)+(IFERROR(YEAR('GESTAO OPERACAO'!$AB$2:$AB$632),0)=0)&gt;0))</f>
        <v>88333.37</v>
      </c>
      <c r="H50" s="273" cm="1">
        <f t="array" ref="H50">IFERROR((($E$4="Todos")+($E$4="Julho")&gt;0)*SUMPRODUCT(('GESTAO OPERACAO'!$AA$2:$AA$632="SEMANA 03 / JUL / "&amp;IF($C$4="Todos","",$C$4))*('GESTAO OPERACAO'!$U$2:$U$632&gt;0)*(($C$4="Todos")+(YEAR('GESTAO OPERACAO'!$U$2:$U$632)=$C$4)&gt;0)*IFERROR('GESTAO OPERACAO'!$X$2:$X$632*1,0))/SUMPRODUCT(('GESTAO OPERACAO'!$AA$2:$AA$632="SEMANA 03 / JUL / "&amp;IF($C$4="Todos","",$C$4))*('GESTAO OPERACAO'!$U$2:$U$632&gt;0)*(($C$4="Todos")+(YEAR('GESTAO OPERACAO'!$U$2:$U$632)=$C$4)&gt;0)*ISNUMBER('GESTAO OPERACAO'!$X$2:$X$632)*1),0)</f>
        <v>12.7</v>
      </c>
      <c r="I50" s="199"/>
    </row>
    <row r="51" spans="1:9" x14ac:dyDescent="0.3">
      <c r="A51" s="198"/>
      <c r="B51" s="269" t="s">
        <v>1121</v>
      </c>
      <c r="C51" s="270" t="s">
        <v>1134</v>
      </c>
      <c r="D51" s="270" t="str">
        <f>IF(((DATE(IF($C$4="Todos",2026,$C$4),7,1)+MOD(8-WEEKDAY(DATE(IF($C$4="Todos",2026,$C$4),7,1),2),7))+(4-1)*7)&gt;EOMONTH(DATE(IF($C$4="Todos",2026,$C$4),7,1),0),"",TEXT(((DATE(IF($C$4="Todos",2026,$C$4),7,1)+MOD(8-WEEKDAY(DATE(IF($C$4="Todos",2026,$C$4),7,1),2),7))+(4-1)*7),"dd/mm")&amp;" - "&amp;TEXT(MIN((((DATE(IF($C$4="Todos",2026,$C$4),7,1)+MOD(8-WEEKDAY(DATE(IF($C$4="Todos",2026,$C$4),7,1),2),7))+(4-1)*7)+6),EOMONTH(DATE(IF($C$4="Todos",2026,$C$4),7,1),0)),"dd/mm"))</f>
        <v>27/07 - 31/07</v>
      </c>
      <c r="E51" s="271" cm="1">
        <f t="array" ref="E51">(($E$4="Todos")+($E$4="Julho")&gt;0)*SUMPRODUCT(('GESTAO OPERACAO'!$AA$2:$AA$632="SEMANA 04 / JUL / "&amp;IF($C$4="Todos","",$C$4))*('GESTAO OPERACAO'!$U$2:$U$632&gt;0)*(($C$4="Todos")+(YEAR('GESTAO OPERACAO'!$U$2:$U$632)=$C$4)&gt;0))</f>
        <v>4</v>
      </c>
      <c r="F51" s="272" cm="1">
        <f t="array" ref="F51">(($E$4="Todos")+($E$4="Julho")&gt;0)*SUMPRODUCT(('GESTAO OPERACAO'!$AA$2:$AA$632="SEMANA 04 / JUL / "&amp;IF($C$4="Todos","",$C$4))*('GESTAO OPERACAO'!$U$2:$U$632&gt;0)*(($C$4="Todos")+(YEAR('GESTAO OPERACAO'!$U$2:$U$632)=$C$4)&gt;0)*IFERROR('GESTAO OPERACAO'!$P$2:$P$632*1,0))</f>
        <v>250646.67</v>
      </c>
      <c r="G51" s="285" cm="1">
        <f t="array" ref="G51">(($E$4="Todos")+($E$4="Julho")&gt;0)*SUMPRODUCT(('GESTAO OPERACAO'!$AA$2:$AA$632="SEMANA 04 / JUL / "&amp;IF($C$4="Todos","",$C$4))*IFERROR('GESTAO OPERACAO'!$AC$2:$AC$632*1,0)*(($C$4="Todos")+(IFERROR(YEAR('GESTAO OPERACAO'!$AB$2:$AB$632),0)=$C$4)+(IFERROR(YEAR('GESTAO OPERACAO'!$AB$2:$AB$632),0)=0)&gt;0))</f>
        <v>252147.39</v>
      </c>
      <c r="H51" s="273" cm="1">
        <f t="array" ref="H51">IFERROR((($E$4="Todos")+($E$4="Julho")&gt;0)*SUMPRODUCT(('GESTAO OPERACAO'!$AA$2:$AA$632="SEMANA 04 / JUL / "&amp;IF($C$4="Todos","",$C$4))*('GESTAO OPERACAO'!$U$2:$U$632&gt;0)*(($C$4="Todos")+(YEAR('GESTAO OPERACAO'!$U$2:$U$632)=$C$4)&gt;0)*IFERROR('GESTAO OPERACAO'!$X$2:$X$632*1,0))/SUMPRODUCT(('GESTAO OPERACAO'!$AA$2:$AA$632="SEMANA 04 / JUL / "&amp;IF($C$4="Todos","",$C$4))*('GESTAO OPERACAO'!$U$2:$U$632&gt;0)*(($C$4="Todos")+(YEAR('GESTAO OPERACAO'!$U$2:$U$632)=$C$4)&gt;0)*ISNUMBER('GESTAO OPERACAO'!$X$2:$X$632)*1),0)</f>
        <v>17.75</v>
      </c>
      <c r="I51" s="199"/>
    </row>
    <row r="52" spans="1:9" x14ac:dyDescent="0.3">
      <c r="A52" s="198"/>
      <c r="B52" s="269" t="s">
        <v>1121</v>
      </c>
      <c r="C52" s="270" t="s">
        <v>1135</v>
      </c>
      <c r="D52" s="270" t="str">
        <f>IF(((DATE(IF($C$4="Todos",2026,$C$4),7,1)+MOD(8-WEEKDAY(DATE(IF($C$4="Todos",2026,$C$4),7,1),2),7))+(5-1)*7)&gt;EOMONTH(DATE(IF($C$4="Todos",2026,$C$4),7,1),0),"",TEXT(((DATE(IF($C$4="Todos",2026,$C$4),7,1)+MOD(8-WEEKDAY(DATE(IF($C$4="Todos",2026,$C$4),7,1),2),7))+(5-1)*7),"dd/mm")&amp;" - "&amp;TEXT(MIN((((DATE(IF($C$4="Todos",2026,$C$4),7,1)+MOD(8-WEEKDAY(DATE(IF($C$4="Todos",2026,$C$4),7,1),2),7))+(5-1)*7)+6),EOMONTH(DATE(IF($C$4="Todos",2026,$C$4),7,1),0)),"dd/mm"))</f>
        <v/>
      </c>
      <c r="E52" s="271" cm="1">
        <f t="array" ref="E52">(($E$4="Todos")+($E$4="Julho")&gt;0)*SUMPRODUCT(('GESTAO OPERACAO'!$AA$2:$AA$632="SEMANA 05 / JUL / "&amp;IF($C$4="Todos","",$C$4))*('GESTAO OPERACAO'!$U$2:$U$632&gt;0)*(($C$4="Todos")+(YEAR('GESTAO OPERACAO'!$U$2:$U$632)=$C$4)&gt;0))</f>
        <v>25</v>
      </c>
      <c r="F52" s="272" cm="1">
        <f t="array" ref="F52">(($E$4="Todos")+($E$4="Julho")&gt;0)*SUMPRODUCT(('GESTAO OPERACAO'!$AA$2:$AA$632="SEMANA 05 / JUL / "&amp;IF($C$4="Todos","",$C$4))*('GESTAO OPERACAO'!$U$2:$U$632&gt;0)*(($C$4="Todos")+(YEAR('GESTAO OPERACAO'!$U$2:$U$632)=$C$4)&gt;0)*IFERROR('GESTAO OPERACAO'!$P$2:$P$632*1,0))</f>
        <v>501845.848</v>
      </c>
      <c r="G52" s="285" cm="1">
        <f t="array" ref="G52">(($E$4="Todos")+($E$4="Julho")&gt;0)*SUMPRODUCT(('GESTAO OPERACAO'!$AA$2:$AA$632="SEMANA 05 / JUL / "&amp;IF($C$4="Todos","",$C$4))*IFERROR('GESTAO OPERACAO'!$AC$2:$AC$632*1,0)*(($C$4="Todos")+(IFERROR(YEAR('GESTAO OPERACAO'!$AB$2:$AB$632),0)=$C$4)+(IFERROR(YEAR('GESTAO OPERACAO'!$AB$2:$AB$632),0)=0)&gt;0))</f>
        <v>386924.9</v>
      </c>
      <c r="H52" s="273" cm="1">
        <f t="array" ref="H52">IFERROR((($E$4="Todos")+($E$4="Julho")&gt;0)*SUMPRODUCT(('GESTAO OPERACAO'!$AA$2:$AA$632="SEMANA 05 / JUL / "&amp;IF($C$4="Todos","",$C$4))*('GESTAO OPERACAO'!$U$2:$U$632&gt;0)*(($C$4="Todos")+(YEAR('GESTAO OPERACAO'!$U$2:$U$632)=$C$4)&gt;0)*IFERROR('GESTAO OPERACAO'!$X$2:$X$632*1,0))/SUMPRODUCT(('GESTAO OPERACAO'!$AA$2:$AA$632="SEMANA 05 / JUL / "&amp;IF($C$4="Todos","",$C$4))*('GESTAO OPERACAO'!$U$2:$U$632&gt;0)*(($C$4="Todos")+(YEAR('GESTAO OPERACAO'!$U$2:$U$632)=$C$4)&gt;0)*ISNUMBER('GESTAO OPERACAO'!$X$2:$X$632)*1),0)</f>
        <v>19.68</v>
      </c>
      <c r="I52" s="199"/>
    </row>
    <row r="53" spans="1:9" x14ac:dyDescent="0.3">
      <c r="A53" s="198"/>
      <c r="B53" s="274" t="s">
        <v>1142</v>
      </c>
      <c r="C53" s="275"/>
      <c r="D53" s="275"/>
      <c r="E53" s="276">
        <f>SUM(E48:E52)</f>
        <v>55</v>
      </c>
      <c r="F53" s="277">
        <f>SUM(F48:F52)</f>
        <v>991808.85800000001</v>
      </c>
      <c r="G53" s="286">
        <f>SUM(G48:G52)</f>
        <v>847334.83000000007</v>
      </c>
      <c r="H53" s="278">
        <f>IFERROR(SUMPRODUCT(E48:E52,H48:H52)/SUM(E48:E52),0)</f>
        <v>18.563636363636363</v>
      </c>
      <c r="I53" s="199"/>
    </row>
    <row r="54" spans="1:9" x14ac:dyDescent="0.3">
      <c r="A54" s="198"/>
      <c r="B54" s="269" t="s">
        <v>1122</v>
      </c>
      <c r="C54" s="270" t="s">
        <v>1131</v>
      </c>
      <c r="D54" s="270" t="str">
        <f>IF(((DATE(IF($C$4="Todos",2026,$C$4),8,1)+MOD(8-WEEKDAY(DATE(IF($C$4="Todos",2026,$C$4),8,1),2),7))+(1-1)*7)&gt;EOMONTH(DATE(IF($C$4="Todos",2026,$C$4),8,1),0),"",TEXT(((DATE(IF($C$4="Todos",2026,$C$4),8,1)+MOD(8-WEEKDAY(DATE(IF($C$4="Todos",2026,$C$4),8,1),2),7))+(1-1)*7),"dd/mm")&amp;" - "&amp;TEXT(MIN((((DATE(IF($C$4="Todos",2026,$C$4),8,1)+MOD(8-WEEKDAY(DATE(IF($C$4="Todos",2026,$C$4),8,1),2),7))+(1-1)*7)+6),EOMONTH(DATE(IF($C$4="Todos",2026,$C$4),8,1),0)),"dd/mm"))</f>
        <v>03/08 - 09/08</v>
      </c>
      <c r="E54" s="271" cm="1">
        <f t="array" ref="E54">(($E$4="Todos")+($E$4="Agosto")&gt;0)*SUMPRODUCT(('GESTAO OPERACAO'!$AA$2:$AA$632="SEMANA 01 / AGO / "&amp;IF($C$4="Todos","",$C$4))*('GESTAO OPERACAO'!$U$2:$U$632&gt;0)*(($C$4="Todos")+(YEAR('GESTAO OPERACAO'!$U$2:$U$632)=$C$4)&gt;0))</f>
        <v>2</v>
      </c>
      <c r="F54" s="272" cm="1">
        <f t="array" ref="F54">(($E$4="Todos")+($E$4="Agosto")&gt;0)*SUMPRODUCT(('GESTAO OPERACAO'!$AA$2:$AA$632="SEMANA 01 / AGO / "&amp;IF($C$4="Todos","",$C$4))*('GESTAO OPERACAO'!$U$2:$U$632&gt;0)*(($C$4="Todos")+(YEAR('GESTAO OPERACAO'!$U$2:$U$632)=$C$4)&gt;0)*IFERROR('GESTAO OPERACAO'!$P$2:$P$632*1,0))</f>
        <v>8190.3600000000006</v>
      </c>
      <c r="G54" s="285" cm="1">
        <f t="array" ref="G54">(($E$4="Todos")+($E$4="Agosto")&gt;0)*SUMPRODUCT(('GESTAO OPERACAO'!$AA$2:$AA$632="SEMANA 01 / AGO / "&amp;IF($C$4="Todos","",$C$4))*IFERROR('GESTAO OPERACAO'!$AC$2:$AC$632*1,0)*(($C$4="Todos")+(IFERROR(YEAR('GESTAO OPERACAO'!$AB$2:$AB$632),0)=$C$4)+(IFERROR(YEAR('GESTAO OPERACAO'!$AB$2:$AB$632),0)=0)&gt;0))</f>
        <v>4006.36</v>
      </c>
      <c r="H54" s="273" cm="1">
        <f t="array" ref="H54">IFERROR((($E$4="Todos")+($E$4="Agosto")&gt;0)*SUMPRODUCT(('GESTAO OPERACAO'!$AA$2:$AA$632="SEMANA 01 / AGO / "&amp;IF($C$4="Todos","",$C$4))*('GESTAO OPERACAO'!$U$2:$U$632&gt;0)*(($C$4="Todos")+(YEAR('GESTAO OPERACAO'!$U$2:$U$632)=$C$4)&gt;0)*IFERROR('GESTAO OPERACAO'!$X$2:$X$632*1,0))/SUMPRODUCT(('GESTAO OPERACAO'!$AA$2:$AA$632="SEMANA 01 / AGO / "&amp;IF($C$4="Todos","",$C$4))*('GESTAO OPERACAO'!$U$2:$U$632&gt;0)*(($C$4="Todos")+(YEAR('GESTAO OPERACAO'!$U$2:$U$632)=$C$4)&gt;0)*ISNUMBER('GESTAO OPERACAO'!$X$2:$X$632)*1),0)</f>
        <v>19.5</v>
      </c>
      <c r="I54" s="199"/>
    </row>
    <row r="55" spans="1:9" x14ac:dyDescent="0.3">
      <c r="A55" s="198"/>
      <c r="B55" s="269" t="s">
        <v>1122</v>
      </c>
      <c r="C55" s="270" t="s">
        <v>1132</v>
      </c>
      <c r="D55" s="270" t="str">
        <f>IF(((DATE(IF($C$4="Todos",2026,$C$4),8,1)+MOD(8-WEEKDAY(DATE(IF($C$4="Todos",2026,$C$4),8,1),2),7))+(2-1)*7)&gt;EOMONTH(DATE(IF($C$4="Todos",2026,$C$4),8,1),0),"",TEXT(((DATE(IF($C$4="Todos",2026,$C$4),8,1)+MOD(8-WEEKDAY(DATE(IF($C$4="Todos",2026,$C$4),8,1),2),7))+(2-1)*7),"dd/mm")&amp;" - "&amp;TEXT(MIN((((DATE(IF($C$4="Todos",2026,$C$4),8,1)+MOD(8-WEEKDAY(DATE(IF($C$4="Todos",2026,$C$4),8,1),2),7))+(2-1)*7)+6),EOMONTH(DATE(IF($C$4="Todos",2026,$C$4),8,1),0)),"dd/mm"))</f>
        <v>10/08 - 16/08</v>
      </c>
      <c r="E55" s="271" cm="1">
        <f t="array" ref="E55">(($E$4="Todos")+($E$4="Agosto")&gt;0)*SUMPRODUCT(('GESTAO OPERACAO'!$AA$2:$AA$632="SEMANA 02 / AGO / "&amp;IF($C$4="Todos","",$C$4))*('GESTAO OPERACAO'!$U$2:$U$632&gt;0)*(($C$4="Todos")+(YEAR('GESTAO OPERACAO'!$U$2:$U$632)=$C$4)&gt;0))</f>
        <v>11</v>
      </c>
      <c r="F55" s="272" cm="1">
        <f t="array" ref="F55">(($E$4="Todos")+($E$4="Agosto")&gt;0)*SUMPRODUCT(('GESTAO OPERACAO'!$AA$2:$AA$632="SEMANA 02 / AGO / "&amp;IF($C$4="Todos","",$C$4))*('GESTAO OPERACAO'!$U$2:$U$632&gt;0)*(($C$4="Todos")+(YEAR('GESTAO OPERACAO'!$U$2:$U$632)=$C$4)&gt;0)*IFERROR('GESTAO OPERACAO'!$P$2:$P$632*1,0))</f>
        <v>103575.8</v>
      </c>
      <c r="G55" s="285" cm="1">
        <f t="array" ref="G55">(($E$4="Todos")+($E$4="Agosto")&gt;0)*SUMPRODUCT(('GESTAO OPERACAO'!$AA$2:$AA$632="SEMANA 02 / AGO / "&amp;IF($C$4="Todos","",$C$4))*IFERROR('GESTAO OPERACAO'!$AC$2:$AC$632*1,0)*(($C$4="Todos")+(IFERROR(YEAR('GESTAO OPERACAO'!$AB$2:$AB$632),0)=$C$4)+(IFERROR(YEAR('GESTAO OPERACAO'!$AB$2:$AB$632),0)=0)&gt;0))</f>
        <v>49601.04</v>
      </c>
      <c r="H55" s="273" cm="1">
        <f t="array" ref="H55">IFERROR((($E$4="Todos")+($E$4="Agosto")&gt;0)*SUMPRODUCT(('GESTAO OPERACAO'!$AA$2:$AA$632="SEMANA 02 / AGO / "&amp;IF($C$4="Todos","",$C$4))*('GESTAO OPERACAO'!$U$2:$U$632&gt;0)*(($C$4="Todos")+(YEAR('GESTAO OPERACAO'!$U$2:$U$632)=$C$4)&gt;0)*IFERROR('GESTAO OPERACAO'!$X$2:$X$632*1,0))/SUMPRODUCT(('GESTAO OPERACAO'!$AA$2:$AA$632="SEMANA 02 / AGO / "&amp;IF($C$4="Todos","",$C$4))*('GESTAO OPERACAO'!$U$2:$U$632&gt;0)*(($C$4="Todos")+(YEAR('GESTAO OPERACAO'!$U$2:$U$632)=$C$4)&gt;0)*ISNUMBER('GESTAO OPERACAO'!$X$2:$X$632)*1),0)</f>
        <v>11.909090909090908</v>
      </c>
      <c r="I55" s="199"/>
    </row>
    <row r="56" spans="1:9" x14ac:dyDescent="0.3">
      <c r="A56" s="198"/>
      <c r="B56" s="269" t="s">
        <v>1122</v>
      </c>
      <c r="C56" s="270" t="s">
        <v>1133</v>
      </c>
      <c r="D56" s="270" t="str">
        <f>IF(((DATE(IF($C$4="Todos",2026,$C$4),8,1)+MOD(8-WEEKDAY(DATE(IF($C$4="Todos",2026,$C$4),8,1),2),7))+(3-1)*7)&gt;EOMONTH(DATE(IF($C$4="Todos",2026,$C$4),8,1),0),"",TEXT(((DATE(IF($C$4="Todos",2026,$C$4),8,1)+MOD(8-WEEKDAY(DATE(IF($C$4="Todos",2026,$C$4),8,1),2),7))+(3-1)*7),"dd/mm")&amp;" - "&amp;TEXT(MIN((((DATE(IF($C$4="Todos",2026,$C$4),8,1)+MOD(8-WEEKDAY(DATE(IF($C$4="Todos",2026,$C$4),8,1),2),7))+(3-1)*7)+6),EOMONTH(DATE(IF($C$4="Todos",2026,$C$4),8,1),0)),"dd/mm"))</f>
        <v>17/08 - 23/08</v>
      </c>
      <c r="E56" s="271" cm="1">
        <f t="array" ref="E56">(($E$4="Todos")+($E$4="Agosto")&gt;0)*SUMPRODUCT(('GESTAO OPERACAO'!$AA$2:$AA$632="SEMANA 03 / AGO / "&amp;IF($C$4="Todos","",$C$4))*('GESTAO OPERACAO'!$U$2:$U$632&gt;0)*(($C$4="Todos")+(YEAR('GESTAO OPERACAO'!$U$2:$U$632)=$C$4)&gt;0))</f>
        <v>13</v>
      </c>
      <c r="F56" s="272" cm="1">
        <f t="array" ref="F56">(($E$4="Todos")+($E$4="Agosto")&gt;0)*SUMPRODUCT(('GESTAO OPERACAO'!$AA$2:$AA$632="SEMANA 03 / AGO / "&amp;IF($C$4="Todos","",$C$4))*('GESTAO OPERACAO'!$U$2:$U$632&gt;0)*(($C$4="Todos")+(YEAR('GESTAO OPERACAO'!$U$2:$U$632)=$C$4)&gt;0)*IFERROR('GESTAO OPERACAO'!$P$2:$P$632*1,0))</f>
        <v>117201.93000000001</v>
      </c>
      <c r="G56" s="285" cm="1">
        <f t="array" ref="G56">(($E$4="Todos")+($E$4="Agosto")&gt;0)*SUMPRODUCT(('GESTAO OPERACAO'!$AA$2:$AA$632="SEMANA 03 / AGO / "&amp;IF($C$4="Todos","",$C$4))*IFERROR('GESTAO OPERACAO'!$AC$2:$AC$632*1,0)*(($C$4="Todos")+(IFERROR(YEAR('GESTAO OPERACAO'!$AB$2:$AB$632),0)=$C$4)+(IFERROR(YEAR('GESTAO OPERACAO'!$AB$2:$AB$632),0)=0)&gt;0))</f>
        <v>57627.840000000004</v>
      </c>
      <c r="H56" s="273" cm="1">
        <f t="array" ref="H56">IFERROR((($E$4="Todos")+($E$4="Agosto")&gt;0)*SUMPRODUCT(('GESTAO OPERACAO'!$AA$2:$AA$632="SEMANA 03 / AGO / "&amp;IF($C$4="Todos","",$C$4))*('GESTAO OPERACAO'!$U$2:$U$632&gt;0)*(($C$4="Todos")+(YEAR('GESTAO OPERACAO'!$U$2:$U$632)=$C$4)&gt;0)*IFERROR('GESTAO OPERACAO'!$X$2:$X$632*1,0))/SUMPRODUCT(('GESTAO OPERACAO'!$AA$2:$AA$632="SEMANA 03 / AGO / "&amp;IF($C$4="Todos","",$C$4))*('GESTAO OPERACAO'!$U$2:$U$632&gt;0)*(($C$4="Todos")+(YEAR('GESTAO OPERACAO'!$U$2:$U$632)=$C$4)&gt;0)*ISNUMBER('GESTAO OPERACAO'!$X$2:$X$632)*1),0)</f>
        <v>14.692307692307692</v>
      </c>
      <c r="I56" s="199"/>
    </row>
    <row r="57" spans="1:9" x14ac:dyDescent="0.3">
      <c r="A57" s="198"/>
      <c r="B57" s="269" t="s">
        <v>1122</v>
      </c>
      <c r="C57" s="270" t="s">
        <v>1134</v>
      </c>
      <c r="D57" s="270" t="str">
        <f>IF(((DATE(IF($C$4="Todos",2026,$C$4),8,1)+MOD(8-WEEKDAY(DATE(IF($C$4="Todos",2026,$C$4),8,1),2),7))+(4-1)*7)&gt;EOMONTH(DATE(IF($C$4="Todos",2026,$C$4),8,1),0),"",TEXT(((DATE(IF($C$4="Todos",2026,$C$4),8,1)+MOD(8-WEEKDAY(DATE(IF($C$4="Todos",2026,$C$4),8,1),2),7))+(4-1)*7),"dd/mm")&amp;" - "&amp;TEXT(MIN((((DATE(IF($C$4="Todos",2026,$C$4),8,1)+MOD(8-WEEKDAY(DATE(IF($C$4="Todos",2026,$C$4),8,1),2),7))+(4-1)*7)+6),EOMONTH(DATE(IF($C$4="Todos",2026,$C$4),8,1),0)),"dd/mm"))</f>
        <v>24/08 - 30/08</v>
      </c>
      <c r="E57" s="271" cm="1">
        <f t="array" ref="E57">(($E$4="Todos")+($E$4="Agosto")&gt;0)*SUMPRODUCT(('GESTAO OPERACAO'!$AA$2:$AA$632="SEMANA 04 / AGO / "&amp;IF($C$4="Todos","",$C$4))*('GESTAO OPERACAO'!$U$2:$U$632&gt;0)*(($C$4="Todos")+(YEAR('GESTAO OPERACAO'!$U$2:$U$632)=$C$4)&gt;0))</f>
        <v>21</v>
      </c>
      <c r="F57" s="272" cm="1">
        <f t="array" ref="F57">(($E$4="Todos")+($E$4="Agosto")&gt;0)*SUMPRODUCT(('GESTAO OPERACAO'!$AA$2:$AA$632="SEMANA 04 / AGO / "&amp;IF($C$4="Todos","",$C$4))*('GESTAO OPERACAO'!$U$2:$U$632&gt;0)*(($C$4="Todos")+(YEAR('GESTAO OPERACAO'!$U$2:$U$632)=$C$4)&gt;0)*IFERROR('GESTAO OPERACAO'!$P$2:$P$632*1,0))</f>
        <v>550989.51000000013</v>
      </c>
      <c r="G57" s="285" cm="1">
        <f t="array" ref="G57">(($E$4="Todos")+($E$4="Agosto")&gt;0)*SUMPRODUCT(('GESTAO OPERACAO'!$AA$2:$AA$632="SEMANA 04 / AGO / "&amp;IF($C$4="Todos","",$C$4))*IFERROR('GESTAO OPERACAO'!$AC$2:$AC$632*1,0)*(($C$4="Todos")+(IFERROR(YEAR('GESTAO OPERACAO'!$AB$2:$AB$632),0)=$C$4)+(IFERROR(YEAR('GESTAO OPERACAO'!$AB$2:$AB$632),0)=0)&gt;0))</f>
        <v>453382.44000000006</v>
      </c>
      <c r="H57" s="273" cm="1">
        <f t="array" ref="H57">IFERROR((($E$4="Todos")+($E$4="Agosto")&gt;0)*SUMPRODUCT(('GESTAO OPERACAO'!$AA$2:$AA$632="SEMANA 04 / AGO / "&amp;IF($C$4="Todos","",$C$4))*('GESTAO OPERACAO'!$U$2:$U$632&gt;0)*(($C$4="Todos")+(YEAR('GESTAO OPERACAO'!$U$2:$U$632)=$C$4)&gt;0)*IFERROR('GESTAO OPERACAO'!$X$2:$X$632*1,0))/SUMPRODUCT(('GESTAO OPERACAO'!$AA$2:$AA$632="SEMANA 04 / AGO / "&amp;IF($C$4="Todos","",$C$4))*('GESTAO OPERACAO'!$U$2:$U$632&gt;0)*(($C$4="Todos")+(YEAR('GESTAO OPERACAO'!$U$2:$U$632)=$C$4)&gt;0)*ISNUMBER('GESTAO OPERACAO'!$X$2:$X$632)*1),0)</f>
        <v>13.761904761904763</v>
      </c>
      <c r="I57" s="199"/>
    </row>
    <row r="58" spans="1:9" x14ac:dyDescent="0.3">
      <c r="A58" s="198"/>
      <c r="B58" s="269" t="s">
        <v>1122</v>
      </c>
      <c r="C58" s="270" t="s">
        <v>1135</v>
      </c>
      <c r="D58" s="270" t="str">
        <f>IF(((DATE(IF($C$4="Todos",2026,$C$4),8,1)+MOD(8-WEEKDAY(DATE(IF($C$4="Todos",2026,$C$4),8,1),2),7))+(5-1)*7)&gt;EOMONTH(DATE(IF($C$4="Todos",2026,$C$4),8,1),0),"",TEXT(((DATE(IF($C$4="Todos",2026,$C$4),8,1)+MOD(8-WEEKDAY(DATE(IF($C$4="Todos",2026,$C$4),8,1),2),7))+(5-1)*7),"dd/mm")&amp;" - "&amp;TEXT(MIN((((DATE(IF($C$4="Todos",2026,$C$4),8,1)+MOD(8-WEEKDAY(DATE(IF($C$4="Todos",2026,$C$4),8,1),2),7))+(5-1)*7)+6),EOMONTH(DATE(IF($C$4="Todos",2026,$C$4),8,1),0)),"dd/mm"))</f>
        <v>31/08 - 31/08</v>
      </c>
      <c r="E58" s="271" cm="1">
        <f t="array" ref="E58">(($E$4="Todos")+($E$4="Agosto")&gt;0)*SUMPRODUCT(('GESTAO OPERACAO'!$AA$2:$AA$632="SEMANA 05 / AGO / "&amp;IF($C$4="Todos","",$C$4))*('GESTAO OPERACAO'!$U$2:$U$632&gt;0)*(($C$4="Todos")+(YEAR('GESTAO OPERACAO'!$U$2:$U$632)=$C$4)&gt;0))</f>
        <v>0</v>
      </c>
      <c r="F58" s="272" cm="1">
        <f t="array" ref="F58">(($E$4="Todos")+($E$4="Agosto")&gt;0)*SUMPRODUCT(('GESTAO OPERACAO'!$AA$2:$AA$632="SEMANA 05 / AGO / "&amp;IF($C$4="Todos","",$C$4))*('GESTAO OPERACAO'!$U$2:$U$632&gt;0)*(($C$4="Todos")+(YEAR('GESTAO OPERACAO'!$U$2:$U$632)=$C$4)&gt;0)*IFERROR('GESTAO OPERACAO'!$P$2:$P$632*1,0))</f>
        <v>0</v>
      </c>
      <c r="G58" s="285" cm="1">
        <f t="array" ref="G58">(($E$4="Todos")+($E$4="Agosto")&gt;0)*SUMPRODUCT(('GESTAO OPERACAO'!$AA$2:$AA$632="SEMANA 05 / AGO / "&amp;IF($C$4="Todos","",$C$4))*IFERROR('GESTAO OPERACAO'!$AC$2:$AC$632*1,0)*(($C$4="Todos")+(IFERROR(YEAR('GESTAO OPERACAO'!$AB$2:$AB$632),0)=$C$4)+(IFERROR(YEAR('GESTAO OPERACAO'!$AB$2:$AB$632),0)=0)&gt;0))</f>
        <v>0</v>
      </c>
      <c r="H58" s="273" cm="1">
        <f t="array" ref="H58">IFERROR((($E$4="Todos")+($E$4="Agosto")&gt;0)*SUMPRODUCT(('GESTAO OPERACAO'!$AA$2:$AA$632="SEMANA 05 / AGO / "&amp;IF($C$4="Todos","",$C$4))*('GESTAO OPERACAO'!$U$2:$U$632&gt;0)*(($C$4="Todos")+(YEAR('GESTAO OPERACAO'!$U$2:$U$632)=$C$4)&gt;0)*IFERROR('GESTAO OPERACAO'!$X$2:$X$632*1,0))/SUMPRODUCT(('GESTAO OPERACAO'!$AA$2:$AA$632="SEMANA 05 / AGO / "&amp;IF($C$4="Todos","",$C$4))*('GESTAO OPERACAO'!$U$2:$U$632&gt;0)*(($C$4="Todos")+(YEAR('GESTAO OPERACAO'!$U$2:$U$632)=$C$4)&gt;0)*ISNUMBER('GESTAO OPERACAO'!$X$2:$X$632)*1),0)</f>
        <v>0</v>
      </c>
      <c r="I58" s="199"/>
    </row>
    <row r="59" spans="1:9" x14ac:dyDescent="0.3">
      <c r="A59" s="198"/>
      <c r="B59" s="274" t="s">
        <v>1143</v>
      </c>
      <c r="C59" s="275"/>
      <c r="D59" s="275"/>
      <c r="E59" s="276">
        <f>SUM(E54:E58)</f>
        <v>47</v>
      </c>
      <c r="F59" s="277">
        <f>SUM(F54:F58)</f>
        <v>779957.60000000009</v>
      </c>
      <c r="G59" s="286">
        <f>SUM(G54:G58)</f>
        <v>564617.68000000005</v>
      </c>
      <c r="H59" s="278">
        <f>IFERROR(SUMPRODUCT(E54:E58,H54:H58)/SUM(E54:E58),0)</f>
        <v>13.829787234042554</v>
      </c>
      <c r="I59" s="199"/>
    </row>
    <row r="60" spans="1:9" x14ac:dyDescent="0.3">
      <c r="A60" s="198"/>
      <c r="B60" s="269" t="s">
        <v>1123</v>
      </c>
      <c r="C60" s="270" t="s">
        <v>1131</v>
      </c>
      <c r="D60" s="270" t="str">
        <f>IF(((DATE(IF($C$4="Todos",2026,$C$4),9,1)+MOD(8-WEEKDAY(DATE(IF($C$4="Todos",2026,$C$4),9,1),2),7))+(1-1)*7)&gt;EOMONTH(DATE(IF($C$4="Todos",2026,$C$4),9,1),0),"",TEXT(((DATE(IF($C$4="Todos",2026,$C$4),9,1)+MOD(8-WEEKDAY(DATE(IF($C$4="Todos",2026,$C$4),9,1),2),7))+(1-1)*7),"dd/mm")&amp;" - "&amp;TEXT(MIN((((DATE(IF($C$4="Todos",2026,$C$4),9,1)+MOD(8-WEEKDAY(DATE(IF($C$4="Todos",2026,$C$4),9,1),2),7))+(1-1)*7)+6),EOMONTH(DATE(IF($C$4="Todos",2026,$C$4),9,1),0)),"dd/mm"))</f>
        <v>07/09 - 13/09</v>
      </c>
      <c r="E60" s="271" cm="1">
        <f t="array" ref="E60">(($E$4="Todos")+($E$4="Setembro")&gt;0)*SUMPRODUCT(('GESTAO OPERACAO'!$AA$2:$AA$632="SEMANA 01 / SET / "&amp;IF($C$4="Todos","",$C$4))*('GESTAO OPERACAO'!$U$2:$U$632&gt;0)*(($C$4="Todos")+(YEAR('GESTAO OPERACAO'!$U$2:$U$632)=$C$4)&gt;0))</f>
        <v>1</v>
      </c>
      <c r="F60" s="272" cm="1">
        <f t="array" ref="F60">(($E$4="Todos")+($E$4="Setembro")&gt;0)*SUMPRODUCT(('GESTAO OPERACAO'!$AA$2:$AA$632="SEMANA 01 / SET / "&amp;IF($C$4="Todos","",$C$4))*('GESTAO OPERACAO'!$U$2:$U$632&gt;0)*(($C$4="Todos")+(YEAR('GESTAO OPERACAO'!$U$2:$U$632)=$C$4)&gt;0)*IFERROR('GESTAO OPERACAO'!$P$2:$P$632*1,0))</f>
        <v>16330.81</v>
      </c>
      <c r="G60" s="285" cm="1">
        <f t="array" ref="G60">(($E$4="Todos")+($E$4="Setembro")&gt;0)*SUMPRODUCT(('GESTAO OPERACAO'!$AA$2:$AA$632="SEMANA 01 / SET / "&amp;IF($C$4="Todos","",$C$4))*IFERROR('GESTAO OPERACAO'!$AC$2:$AC$632*1,0)*(($C$4="Todos")+(IFERROR(YEAR('GESTAO OPERACAO'!$AB$2:$AB$632),0)=$C$4)+(IFERROR(YEAR('GESTAO OPERACAO'!$AB$2:$AB$632),0)=0)&gt;0))</f>
        <v>0</v>
      </c>
      <c r="H60" s="273" cm="1">
        <f t="array" ref="H60">IFERROR((($E$4="Todos")+($E$4="Setembro")&gt;0)*SUMPRODUCT(('GESTAO OPERACAO'!$AA$2:$AA$632="SEMANA 01 / SET / "&amp;IF($C$4="Todos","",$C$4))*('GESTAO OPERACAO'!$U$2:$U$632&gt;0)*(($C$4="Todos")+(YEAR('GESTAO OPERACAO'!$U$2:$U$632)=$C$4)&gt;0)*IFERROR('GESTAO OPERACAO'!$X$2:$X$632*1,0))/SUMPRODUCT(('GESTAO OPERACAO'!$AA$2:$AA$632="SEMANA 01 / SET / "&amp;IF($C$4="Todos","",$C$4))*('GESTAO OPERACAO'!$U$2:$U$632&gt;0)*(($C$4="Todos")+(YEAR('GESTAO OPERACAO'!$U$2:$U$632)=$C$4)&gt;0)*ISNUMBER('GESTAO OPERACAO'!$X$2:$X$632)*1),0)</f>
        <v>20</v>
      </c>
      <c r="I60" s="199"/>
    </row>
    <row r="61" spans="1:9" x14ac:dyDescent="0.3">
      <c r="A61" s="198"/>
      <c r="B61" s="269" t="s">
        <v>1123</v>
      </c>
      <c r="C61" s="270" t="s">
        <v>1132</v>
      </c>
      <c r="D61" s="270" t="str">
        <f>IF(((DATE(IF($C$4="Todos",2026,$C$4),9,1)+MOD(8-WEEKDAY(DATE(IF($C$4="Todos",2026,$C$4),9,1),2),7))+(2-1)*7)&gt;EOMONTH(DATE(IF($C$4="Todos",2026,$C$4),9,1),0),"",TEXT(((DATE(IF($C$4="Todos",2026,$C$4),9,1)+MOD(8-WEEKDAY(DATE(IF($C$4="Todos",2026,$C$4),9,1),2),7))+(2-1)*7),"dd/mm")&amp;" - "&amp;TEXT(MIN((((DATE(IF($C$4="Todos",2026,$C$4),9,1)+MOD(8-WEEKDAY(DATE(IF($C$4="Todos",2026,$C$4),9,1),2),7))+(2-1)*7)+6),EOMONTH(DATE(IF($C$4="Todos",2026,$C$4),9,1),0)),"dd/mm"))</f>
        <v>14/09 - 20/09</v>
      </c>
      <c r="E61" s="271" cm="1">
        <f t="array" ref="E61">(($E$4="Todos")+($E$4="Setembro")&gt;0)*SUMPRODUCT(('GESTAO OPERACAO'!$AA$2:$AA$632="SEMANA 02 / SET / "&amp;IF($C$4="Todos","",$C$4))*('GESTAO OPERACAO'!$U$2:$U$632&gt;0)*(($C$4="Todos")+(YEAR('GESTAO OPERACAO'!$U$2:$U$632)=$C$4)&gt;0))</f>
        <v>0</v>
      </c>
      <c r="F61" s="272" cm="1">
        <f t="array" ref="F61">(($E$4="Todos")+($E$4="Setembro")&gt;0)*SUMPRODUCT(('GESTAO OPERACAO'!$AA$2:$AA$632="SEMANA 02 / SET / "&amp;IF($C$4="Todos","",$C$4))*('GESTAO OPERACAO'!$U$2:$U$632&gt;0)*(($C$4="Todos")+(YEAR('GESTAO OPERACAO'!$U$2:$U$632)=$C$4)&gt;0)*IFERROR('GESTAO OPERACAO'!$P$2:$P$632*1,0))</f>
        <v>0</v>
      </c>
      <c r="G61" s="285" cm="1">
        <f t="array" ref="G61">(($E$4="Todos")+($E$4="Setembro")&gt;0)*SUMPRODUCT(('GESTAO OPERACAO'!$AA$2:$AA$632="SEMANA 02 / SET / "&amp;IF($C$4="Todos","",$C$4))*IFERROR('GESTAO OPERACAO'!$AC$2:$AC$632*1,0)*(($C$4="Todos")+(IFERROR(YEAR('GESTAO OPERACAO'!$AB$2:$AB$632),0)=$C$4)+(IFERROR(YEAR('GESTAO OPERACAO'!$AB$2:$AB$632),0)=0)&gt;0))</f>
        <v>0</v>
      </c>
      <c r="H61" s="273" cm="1">
        <f t="array" ref="H61">IFERROR((($E$4="Todos")+($E$4="Setembro")&gt;0)*SUMPRODUCT(('GESTAO OPERACAO'!$AA$2:$AA$632="SEMANA 02 / SET / "&amp;IF($C$4="Todos","",$C$4))*('GESTAO OPERACAO'!$U$2:$U$632&gt;0)*(($C$4="Todos")+(YEAR('GESTAO OPERACAO'!$U$2:$U$632)=$C$4)&gt;0)*IFERROR('GESTAO OPERACAO'!$X$2:$X$632*1,0))/SUMPRODUCT(('GESTAO OPERACAO'!$AA$2:$AA$632="SEMANA 02 / SET / "&amp;IF($C$4="Todos","",$C$4))*('GESTAO OPERACAO'!$U$2:$U$632&gt;0)*(($C$4="Todos")+(YEAR('GESTAO OPERACAO'!$U$2:$U$632)=$C$4)&gt;0)*ISNUMBER('GESTAO OPERACAO'!$X$2:$X$632)*1),0)</f>
        <v>0</v>
      </c>
      <c r="I61" s="199"/>
    </row>
    <row r="62" spans="1:9" x14ac:dyDescent="0.3">
      <c r="A62" s="198"/>
      <c r="B62" s="269" t="s">
        <v>1123</v>
      </c>
      <c r="C62" s="270" t="s">
        <v>1133</v>
      </c>
      <c r="D62" s="270" t="str">
        <f>IF(((DATE(IF($C$4="Todos",2026,$C$4),9,1)+MOD(8-WEEKDAY(DATE(IF($C$4="Todos",2026,$C$4),9,1),2),7))+(3-1)*7)&gt;EOMONTH(DATE(IF($C$4="Todos",2026,$C$4),9,1),0),"",TEXT(((DATE(IF($C$4="Todos",2026,$C$4),9,1)+MOD(8-WEEKDAY(DATE(IF($C$4="Todos",2026,$C$4),9,1),2),7))+(3-1)*7),"dd/mm")&amp;" - "&amp;TEXT(MIN((((DATE(IF($C$4="Todos",2026,$C$4),9,1)+MOD(8-WEEKDAY(DATE(IF($C$4="Todos",2026,$C$4),9,1),2),7))+(3-1)*7)+6),EOMONTH(DATE(IF($C$4="Todos",2026,$C$4),9,1),0)),"dd/mm"))</f>
        <v>21/09 - 27/09</v>
      </c>
      <c r="E62" s="271" cm="1">
        <f t="array" ref="E62">(($E$4="Todos")+($E$4="Setembro")&gt;0)*SUMPRODUCT(('GESTAO OPERACAO'!$AA$2:$AA$632="SEMANA 03 / SET / "&amp;IF($C$4="Todos","",$C$4))*('GESTAO OPERACAO'!$U$2:$U$632&gt;0)*(($C$4="Todos")+(YEAR('GESTAO OPERACAO'!$U$2:$U$632)=$C$4)&gt;0))</f>
        <v>0</v>
      </c>
      <c r="F62" s="272" cm="1">
        <f t="array" ref="F62">(($E$4="Todos")+($E$4="Setembro")&gt;0)*SUMPRODUCT(('GESTAO OPERACAO'!$AA$2:$AA$632="SEMANA 03 / SET / "&amp;IF($C$4="Todos","",$C$4))*('GESTAO OPERACAO'!$U$2:$U$632&gt;0)*(($C$4="Todos")+(YEAR('GESTAO OPERACAO'!$U$2:$U$632)=$C$4)&gt;0)*IFERROR('GESTAO OPERACAO'!$P$2:$P$632*1,0))</f>
        <v>0</v>
      </c>
      <c r="G62" s="285" cm="1">
        <f t="array" ref="G62">(($E$4="Todos")+($E$4="Setembro")&gt;0)*SUMPRODUCT(('GESTAO OPERACAO'!$AA$2:$AA$632="SEMANA 03 / SET / "&amp;IF($C$4="Todos","",$C$4))*IFERROR('GESTAO OPERACAO'!$AC$2:$AC$632*1,0)*(($C$4="Todos")+(IFERROR(YEAR('GESTAO OPERACAO'!$AB$2:$AB$632),0)=$C$4)+(IFERROR(YEAR('GESTAO OPERACAO'!$AB$2:$AB$632),0)=0)&gt;0))</f>
        <v>0</v>
      </c>
      <c r="H62" s="273" cm="1">
        <f t="array" ref="H62">IFERROR((($E$4="Todos")+($E$4="Setembro")&gt;0)*SUMPRODUCT(('GESTAO OPERACAO'!$AA$2:$AA$632="SEMANA 03 / SET / "&amp;IF($C$4="Todos","",$C$4))*('GESTAO OPERACAO'!$U$2:$U$632&gt;0)*(($C$4="Todos")+(YEAR('GESTAO OPERACAO'!$U$2:$U$632)=$C$4)&gt;0)*IFERROR('GESTAO OPERACAO'!$X$2:$X$632*1,0))/SUMPRODUCT(('GESTAO OPERACAO'!$AA$2:$AA$632="SEMANA 03 / SET / "&amp;IF($C$4="Todos","",$C$4))*('GESTAO OPERACAO'!$U$2:$U$632&gt;0)*(($C$4="Todos")+(YEAR('GESTAO OPERACAO'!$U$2:$U$632)=$C$4)&gt;0)*ISNUMBER('GESTAO OPERACAO'!$X$2:$X$632)*1),0)</f>
        <v>0</v>
      </c>
      <c r="I62" s="199"/>
    </row>
    <row r="63" spans="1:9" x14ac:dyDescent="0.3">
      <c r="A63" s="198"/>
      <c r="B63" s="269" t="s">
        <v>1123</v>
      </c>
      <c r="C63" s="270" t="s">
        <v>1134</v>
      </c>
      <c r="D63" s="270" t="str">
        <f>IF(((DATE(IF($C$4="Todos",2026,$C$4),9,1)+MOD(8-WEEKDAY(DATE(IF($C$4="Todos",2026,$C$4),9,1),2),7))+(4-1)*7)&gt;EOMONTH(DATE(IF($C$4="Todos",2026,$C$4),9,1),0),"",TEXT(((DATE(IF($C$4="Todos",2026,$C$4),9,1)+MOD(8-WEEKDAY(DATE(IF($C$4="Todos",2026,$C$4),9,1),2),7))+(4-1)*7),"dd/mm")&amp;" - "&amp;TEXT(MIN((((DATE(IF($C$4="Todos",2026,$C$4),9,1)+MOD(8-WEEKDAY(DATE(IF($C$4="Todos",2026,$C$4),9,1),2),7))+(4-1)*7)+6),EOMONTH(DATE(IF($C$4="Todos",2026,$C$4),9,1),0)),"dd/mm"))</f>
        <v>28/09 - 30/09</v>
      </c>
      <c r="E63" s="271" cm="1">
        <f t="array" ref="E63">(($E$4="Todos")+($E$4="Setembro")&gt;0)*SUMPRODUCT(('GESTAO OPERACAO'!$AA$2:$AA$632="SEMANA 04 / SET / "&amp;IF($C$4="Todos","",$C$4))*('GESTAO OPERACAO'!$U$2:$U$632&gt;0)*(($C$4="Todos")+(YEAR('GESTAO OPERACAO'!$U$2:$U$632)=$C$4)&gt;0))</f>
        <v>0</v>
      </c>
      <c r="F63" s="272" cm="1">
        <f t="array" ref="F63">(($E$4="Todos")+($E$4="Setembro")&gt;0)*SUMPRODUCT(('GESTAO OPERACAO'!$AA$2:$AA$632="SEMANA 04 / SET / "&amp;IF($C$4="Todos","",$C$4))*('GESTAO OPERACAO'!$U$2:$U$632&gt;0)*(($C$4="Todos")+(YEAR('GESTAO OPERACAO'!$U$2:$U$632)=$C$4)&gt;0)*IFERROR('GESTAO OPERACAO'!$P$2:$P$632*1,0))</f>
        <v>0</v>
      </c>
      <c r="G63" s="285" cm="1">
        <f t="array" ref="G63">(($E$4="Todos")+($E$4="Setembro")&gt;0)*SUMPRODUCT(('GESTAO OPERACAO'!$AA$2:$AA$632="SEMANA 04 / SET / "&amp;IF($C$4="Todos","",$C$4))*IFERROR('GESTAO OPERACAO'!$AC$2:$AC$632*1,0)*(($C$4="Todos")+(IFERROR(YEAR('GESTAO OPERACAO'!$AB$2:$AB$632),0)=$C$4)+(IFERROR(YEAR('GESTAO OPERACAO'!$AB$2:$AB$632),0)=0)&gt;0))</f>
        <v>0</v>
      </c>
      <c r="H63" s="273" cm="1">
        <f t="array" ref="H63">IFERROR((($E$4="Todos")+($E$4="Setembro")&gt;0)*SUMPRODUCT(('GESTAO OPERACAO'!$AA$2:$AA$632="SEMANA 04 / SET / "&amp;IF($C$4="Todos","",$C$4))*('GESTAO OPERACAO'!$U$2:$U$632&gt;0)*(($C$4="Todos")+(YEAR('GESTAO OPERACAO'!$U$2:$U$632)=$C$4)&gt;0)*IFERROR('GESTAO OPERACAO'!$X$2:$X$632*1,0))/SUMPRODUCT(('GESTAO OPERACAO'!$AA$2:$AA$632="SEMANA 04 / SET / "&amp;IF($C$4="Todos","",$C$4))*('GESTAO OPERACAO'!$U$2:$U$632&gt;0)*(($C$4="Todos")+(YEAR('GESTAO OPERACAO'!$U$2:$U$632)=$C$4)&gt;0)*ISNUMBER('GESTAO OPERACAO'!$X$2:$X$632)*1),0)</f>
        <v>0</v>
      </c>
      <c r="I63" s="199"/>
    </row>
    <row r="64" spans="1:9" x14ac:dyDescent="0.3">
      <c r="A64" s="198"/>
      <c r="B64" s="269" t="s">
        <v>1123</v>
      </c>
      <c r="C64" s="270" t="s">
        <v>1135</v>
      </c>
      <c r="D64" s="270" t="str">
        <f>IF(((DATE(IF($C$4="Todos",2026,$C$4),9,1)+MOD(8-WEEKDAY(DATE(IF($C$4="Todos",2026,$C$4),9,1),2),7))+(5-1)*7)&gt;EOMONTH(DATE(IF($C$4="Todos",2026,$C$4),9,1),0),"",TEXT(((DATE(IF($C$4="Todos",2026,$C$4),9,1)+MOD(8-WEEKDAY(DATE(IF($C$4="Todos",2026,$C$4),9,1),2),7))+(5-1)*7),"dd/mm")&amp;" - "&amp;TEXT(MIN((((DATE(IF($C$4="Todos",2026,$C$4),9,1)+MOD(8-WEEKDAY(DATE(IF($C$4="Todos",2026,$C$4),9,1),2),7))+(5-1)*7)+6),EOMONTH(DATE(IF($C$4="Todos",2026,$C$4),9,1),0)),"dd/mm"))</f>
        <v/>
      </c>
      <c r="E64" s="271" cm="1">
        <f t="array" ref="E64">(($E$4="Todos")+($E$4="Setembro")&gt;0)*SUMPRODUCT(('GESTAO OPERACAO'!$AA$2:$AA$632="SEMANA 05 / SET / "&amp;IF($C$4="Todos","",$C$4))*('GESTAO OPERACAO'!$U$2:$U$632&gt;0)*(($C$4="Todos")+(YEAR('GESTAO OPERACAO'!$U$2:$U$632)=$C$4)&gt;0))</f>
        <v>0</v>
      </c>
      <c r="F64" s="272" cm="1">
        <f t="array" ref="F64">(($E$4="Todos")+($E$4="Setembro")&gt;0)*SUMPRODUCT(('GESTAO OPERACAO'!$AA$2:$AA$632="SEMANA 05 / SET / "&amp;IF($C$4="Todos","",$C$4))*('GESTAO OPERACAO'!$U$2:$U$632&gt;0)*(($C$4="Todos")+(YEAR('GESTAO OPERACAO'!$U$2:$U$632)=$C$4)&gt;0)*IFERROR('GESTAO OPERACAO'!$P$2:$P$632*1,0))</f>
        <v>0</v>
      </c>
      <c r="G64" s="285" cm="1">
        <f t="array" ref="G64">(($E$4="Todos")+($E$4="Setembro")&gt;0)*SUMPRODUCT(('GESTAO OPERACAO'!$AA$2:$AA$632="SEMANA 05 / SET / "&amp;IF($C$4="Todos","",$C$4))*IFERROR('GESTAO OPERACAO'!$AC$2:$AC$632*1,0)*(($C$4="Todos")+(IFERROR(YEAR('GESTAO OPERACAO'!$AB$2:$AB$632),0)=$C$4)+(IFERROR(YEAR('GESTAO OPERACAO'!$AB$2:$AB$632),0)=0)&gt;0))</f>
        <v>0</v>
      </c>
      <c r="H64" s="273" cm="1">
        <f t="array" ref="H64">IFERROR((($E$4="Todos")+($E$4="Setembro")&gt;0)*SUMPRODUCT(('GESTAO OPERACAO'!$AA$2:$AA$632="SEMANA 05 / SET / "&amp;IF($C$4="Todos","",$C$4))*('GESTAO OPERACAO'!$U$2:$U$632&gt;0)*(($C$4="Todos")+(YEAR('GESTAO OPERACAO'!$U$2:$U$632)=$C$4)&gt;0)*IFERROR('GESTAO OPERACAO'!$X$2:$X$632*1,0))/SUMPRODUCT(('GESTAO OPERACAO'!$AA$2:$AA$632="SEMANA 05 / SET / "&amp;IF($C$4="Todos","",$C$4))*('GESTAO OPERACAO'!$U$2:$U$632&gt;0)*(($C$4="Todos")+(YEAR('GESTAO OPERACAO'!$U$2:$U$632)=$C$4)&gt;0)*ISNUMBER('GESTAO OPERACAO'!$X$2:$X$632)*1),0)</f>
        <v>0</v>
      </c>
      <c r="I64" s="199"/>
    </row>
    <row r="65" spans="1:9" x14ac:dyDescent="0.3">
      <c r="A65" s="198"/>
      <c r="B65" s="274" t="s">
        <v>1144</v>
      </c>
      <c r="C65" s="275"/>
      <c r="D65" s="275"/>
      <c r="E65" s="276">
        <f>SUM(E60:E64)</f>
        <v>1</v>
      </c>
      <c r="F65" s="277">
        <f>SUM(F60:F64)</f>
        <v>16330.81</v>
      </c>
      <c r="G65" s="286">
        <f>SUM(G60:G64)</f>
        <v>0</v>
      </c>
      <c r="H65" s="278">
        <f>IFERROR(SUMPRODUCT(E60:E64,H60:H64)/SUM(E60:E64),0)</f>
        <v>20</v>
      </c>
      <c r="I65" s="199"/>
    </row>
    <row r="66" spans="1:9" x14ac:dyDescent="0.3">
      <c r="A66" s="198"/>
      <c r="B66" s="269" t="s">
        <v>1124</v>
      </c>
      <c r="C66" s="270" t="s">
        <v>1131</v>
      </c>
      <c r="D66" s="270" t="str">
        <f>IF(((DATE(IF($C$4="Todos",2026,$C$4),10,1)+MOD(8-WEEKDAY(DATE(IF($C$4="Todos",2026,$C$4),10,1),2),7))+(1-1)*7)&gt;EOMONTH(DATE(IF($C$4="Todos",2026,$C$4),10,1),0),"",TEXT(((DATE(IF($C$4="Todos",2026,$C$4),10,1)+MOD(8-WEEKDAY(DATE(IF($C$4="Todos",2026,$C$4),10,1),2),7))+(1-1)*7),"dd/mm")&amp;" - "&amp;TEXT(MIN((((DATE(IF($C$4="Todos",2026,$C$4),10,1)+MOD(8-WEEKDAY(DATE(IF($C$4="Todos",2026,$C$4),10,1),2),7))+(1-1)*7)+6),EOMONTH(DATE(IF($C$4="Todos",2026,$C$4),10,1),0)),"dd/mm"))</f>
        <v>05/10 - 11/10</v>
      </c>
      <c r="E66" s="271" cm="1">
        <f t="array" ref="E66">(($E$4="Todos")+($E$4="Outubro")&gt;0)*SUMPRODUCT(('GESTAO OPERACAO'!$AA$2:$AA$632="SEMANA 01 / OUT / "&amp;IF($C$4="Todos","",$C$4))*('GESTAO OPERACAO'!$U$2:$U$632&gt;0)*(($C$4="Todos")+(YEAR('GESTAO OPERACAO'!$U$2:$U$632)=$C$4)&gt;0))</f>
        <v>0</v>
      </c>
      <c r="F66" s="272" cm="1">
        <f t="array" ref="F66">(($E$4="Todos")+($E$4="Outubro")&gt;0)*SUMPRODUCT(('GESTAO OPERACAO'!$AA$2:$AA$632="SEMANA 01 / OUT / "&amp;IF($C$4="Todos","",$C$4))*('GESTAO OPERACAO'!$U$2:$U$632&gt;0)*(($C$4="Todos")+(YEAR('GESTAO OPERACAO'!$U$2:$U$632)=$C$4)&gt;0)*IFERROR('GESTAO OPERACAO'!$P$2:$P$632*1,0))</f>
        <v>0</v>
      </c>
      <c r="G66" s="285" cm="1">
        <f t="array" ref="G66">(($E$4="Todos")+($E$4="Outubro")&gt;0)*SUMPRODUCT(('GESTAO OPERACAO'!$AA$2:$AA$632="SEMANA 01 / OUT / "&amp;IF($C$4="Todos","",$C$4))*IFERROR('GESTAO OPERACAO'!$AC$2:$AC$632*1,0)*(($C$4="Todos")+(IFERROR(YEAR('GESTAO OPERACAO'!$AB$2:$AB$632),0)=$C$4)+(IFERROR(YEAR('GESTAO OPERACAO'!$AB$2:$AB$632),0)=0)&gt;0))</f>
        <v>0</v>
      </c>
      <c r="H66" s="273" cm="1">
        <f t="array" ref="H66">IFERROR((($E$4="Todos")+($E$4="Outubro")&gt;0)*SUMPRODUCT(('GESTAO OPERACAO'!$AA$2:$AA$632="SEMANA 01 / OUT / "&amp;IF($C$4="Todos","",$C$4))*('GESTAO OPERACAO'!$U$2:$U$632&gt;0)*(($C$4="Todos")+(YEAR('GESTAO OPERACAO'!$U$2:$U$632)=$C$4)&gt;0)*IFERROR('GESTAO OPERACAO'!$X$2:$X$632*1,0))/SUMPRODUCT(('GESTAO OPERACAO'!$AA$2:$AA$632="SEMANA 01 / OUT / "&amp;IF($C$4="Todos","",$C$4))*('GESTAO OPERACAO'!$U$2:$U$632&gt;0)*(($C$4="Todos")+(YEAR('GESTAO OPERACAO'!$U$2:$U$632)=$C$4)&gt;0)*ISNUMBER('GESTAO OPERACAO'!$X$2:$X$632)*1),0)</f>
        <v>0</v>
      </c>
      <c r="I66" s="199"/>
    </row>
    <row r="67" spans="1:9" x14ac:dyDescent="0.3">
      <c r="A67" s="198"/>
      <c r="B67" s="269" t="s">
        <v>1124</v>
      </c>
      <c r="C67" s="270" t="s">
        <v>1132</v>
      </c>
      <c r="D67" s="270" t="str">
        <f>IF(((DATE(IF($C$4="Todos",2026,$C$4),10,1)+MOD(8-WEEKDAY(DATE(IF($C$4="Todos",2026,$C$4),10,1),2),7))+(2-1)*7)&gt;EOMONTH(DATE(IF($C$4="Todos",2026,$C$4),10,1),0),"",TEXT(((DATE(IF($C$4="Todos",2026,$C$4),10,1)+MOD(8-WEEKDAY(DATE(IF($C$4="Todos",2026,$C$4),10,1),2),7))+(2-1)*7),"dd/mm")&amp;" - "&amp;TEXT(MIN((((DATE(IF($C$4="Todos",2026,$C$4),10,1)+MOD(8-WEEKDAY(DATE(IF($C$4="Todos",2026,$C$4),10,1),2),7))+(2-1)*7)+6),EOMONTH(DATE(IF($C$4="Todos",2026,$C$4),10,1),0)),"dd/mm"))</f>
        <v>12/10 - 18/10</v>
      </c>
      <c r="E67" s="271" cm="1">
        <f t="array" ref="E67">(($E$4="Todos")+($E$4="Outubro")&gt;0)*SUMPRODUCT(('GESTAO OPERACAO'!$AA$2:$AA$632="SEMANA 02 / OUT / "&amp;IF($C$4="Todos","",$C$4))*('GESTAO OPERACAO'!$U$2:$U$632&gt;0)*(($C$4="Todos")+(YEAR('GESTAO OPERACAO'!$U$2:$U$632)=$C$4)&gt;0))</f>
        <v>0</v>
      </c>
      <c r="F67" s="272" cm="1">
        <f t="array" ref="F67">(($E$4="Todos")+($E$4="Outubro")&gt;0)*SUMPRODUCT(('GESTAO OPERACAO'!$AA$2:$AA$632="SEMANA 02 / OUT / "&amp;IF($C$4="Todos","",$C$4))*('GESTAO OPERACAO'!$U$2:$U$632&gt;0)*(($C$4="Todos")+(YEAR('GESTAO OPERACAO'!$U$2:$U$632)=$C$4)&gt;0)*IFERROR('GESTAO OPERACAO'!$P$2:$P$632*1,0))</f>
        <v>0</v>
      </c>
      <c r="G67" s="285" cm="1">
        <f t="array" ref="G67">(($E$4="Todos")+($E$4="Outubro")&gt;0)*SUMPRODUCT(('GESTAO OPERACAO'!$AA$2:$AA$632="SEMANA 02 / OUT / "&amp;IF($C$4="Todos","",$C$4))*IFERROR('GESTAO OPERACAO'!$AC$2:$AC$632*1,0)*(($C$4="Todos")+(IFERROR(YEAR('GESTAO OPERACAO'!$AB$2:$AB$632),0)=$C$4)+(IFERROR(YEAR('GESTAO OPERACAO'!$AB$2:$AB$632),0)=0)&gt;0))</f>
        <v>0</v>
      </c>
      <c r="H67" s="273" cm="1">
        <f t="array" ref="H67">IFERROR((($E$4="Todos")+($E$4="Outubro")&gt;0)*SUMPRODUCT(('GESTAO OPERACAO'!$AA$2:$AA$632="SEMANA 02 / OUT / "&amp;IF($C$4="Todos","",$C$4))*('GESTAO OPERACAO'!$U$2:$U$632&gt;0)*(($C$4="Todos")+(YEAR('GESTAO OPERACAO'!$U$2:$U$632)=$C$4)&gt;0)*IFERROR('GESTAO OPERACAO'!$X$2:$X$632*1,0))/SUMPRODUCT(('GESTAO OPERACAO'!$AA$2:$AA$632="SEMANA 02 / OUT / "&amp;IF($C$4="Todos","",$C$4))*('GESTAO OPERACAO'!$U$2:$U$632&gt;0)*(($C$4="Todos")+(YEAR('GESTAO OPERACAO'!$U$2:$U$632)=$C$4)&gt;0)*ISNUMBER('GESTAO OPERACAO'!$X$2:$X$632)*1),0)</f>
        <v>0</v>
      </c>
      <c r="I67" s="199"/>
    </row>
    <row r="68" spans="1:9" x14ac:dyDescent="0.3">
      <c r="A68" s="198"/>
      <c r="B68" s="269" t="s">
        <v>1124</v>
      </c>
      <c r="C68" s="270" t="s">
        <v>1133</v>
      </c>
      <c r="D68" s="270" t="str">
        <f>IF(((DATE(IF($C$4="Todos",2026,$C$4),10,1)+MOD(8-WEEKDAY(DATE(IF($C$4="Todos",2026,$C$4),10,1),2),7))+(3-1)*7)&gt;EOMONTH(DATE(IF($C$4="Todos",2026,$C$4),10,1),0),"",TEXT(((DATE(IF($C$4="Todos",2026,$C$4),10,1)+MOD(8-WEEKDAY(DATE(IF($C$4="Todos",2026,$C$4),10,1),2),7))+(3-1)*7),"dd/mm")&amp;" - "&amp;TEXT(MIN((((DATE(IF($C$4="Todos",2026,$C$4),10,1)+MOD(8-WEEKDAY(DATE(IF($C$4="Todos",2026,$C$4),10,1),2),7))+(3-1)*7)+6),EOMONTH(DATE(IF($C$4="Todos",2026,$C$4),10,1),0)),"dd/mm"))</f>
        <v>19/10 - 25/10</v>
      </c>
      <c r="E68" s="271" cm="1">
        <f t="array" ref="E68">(($E$4="Todos")+($E$4="Outubro")&gt;0)*SUMPRODUCT(('GESTAO OPERACAO'!$AA$2:$AA$632="SEMANA 03 / OUT / "&amp;IF($C$4="Todos","",$C$4))*('GESTAO OPERACAO'!$U$2:$U$632&gt;0)*(($C$4="Todos")+(YEAR('GESTAO OPERACAO'!$U$2:$U$632)=$C$4)&gt;0))</f>
        <v>0</v>
      </c>
      <c r="F68" s="272" cm="1">
        <f t="array" ref="F68">(($E$4="Todos")+($E$4="Outubro")&gt;0)*SUMPRODUCT(('GESTAO OPERACAO'!$AA$2:$AA$632="SEMANA 03 / OUT / "&amp;IF($C$4="Todos","",$C$4))*('GESTAO OPERACAO'!$U$2:$U$632&gt;0)*(($C$4="Todos")+(YEAR('GESTAO OPERACAO'!$U$2:$U$632)=$C$4)&gt;0)*IFERROR('GESTAO OPERACAO'!$P$2:$P$632*1,0))</f>
        <v>0</v>
      </c>
      <c r="G68" s="285" cm="1">
        <f t="array" ref="G68">(($E$4="Todos")+($E$4="Outubro")&gt;0)*SUMPRODUCT(('GESTAO OPERACAO'!$AA$2:$AA$632="SEMANA 03 / OUT / "&amp;IF($C$4="Todos","",$C$4))*IFERROR('GESTAO OPERACAO'!$AC$2:$AC$632*1,0)*(($C$4="Todos")+(IFERROR(YEAR('GESTAO OPERACAO'!$AB$2:$AB$632),0)=$C$4)+(IFERROR(YEAR('GESTAO OPERACAO'!$AB$2:$AB$632),0)=0)&gt;0))</f>
        <v>0</v>
      </c>
      <c r="H68" s="273" cm="1">
        <f t="array" ref="H68">IFERROR((($E$4="Todos")+($E$4="Outubro")&gt;0)*SUMPRODUCT(('GESTAO OPERACAO'!$AA$2:$AA$632="SEMANA 03 / OUT / "&amp;IF($C$4="Todos","",$C$4))*('GESTAO OPERACAO'!$U$2:$U$632&gt;0)*(($C$4="Todos")+(YEAR('GESTAO OPERACAO'!$U$2:$U$632)=$C$4)&gt;0)*IFERROR('GESTAO OPERACAO'!$X$2:$X$632*1,0))/SUMPRODUCT(('GESTAO OPERACAO'!$AA$2:$AA$632="SEMANA 03 / OUT / "&amp;IF($C$4="Todos","",$C$4))*('GESTAO OPERACAO'!$U$2:$U$632&gt;0)*(($C$4="Todos")+(YEAR('GESTAO OPERACAO'!$U$2:$U$632)=$C$4)&gt;0)*ISNUMBER('GESTAO OPERACAO'!$X$2:$X$632)*1),0)</f>
        <v>0</v>
      </c>
      <c r="I68" s="199"/>
    </row>
    <row r="69" spans="1:9" x14ac:dyDescent="0.3">
      <c r="A69" s="198"/>
      <c r="B69" s="269" t="s">
        <v>1124</v>
      </c>
      <c r="C69" s="270" t="s">
        <v>1134</v>
      </c>
      <c r="D69" s="270" t="str">
        <f>IF(((DATE(IF($C$4="Todos",2026,$C$4),10,1)+MOD(8-WEEKDAY(DATE(IF($C$4="Todos",2026,$C$4),10,1),2),7))+(4-1)*7)&gt;EOMONTH(DATE(IF($C$4="Todos",2026,$C$4),10,1),0),"",TEXT(((DATE(IF($C$4="Todos",2026,$C$4),10,1)+MOD(8-WEEKDAY(DATE(IF($C$4="Todos",2026,$C$4),10,1),2),7))+(4-1)*7),"dd/mm")&amp;" - "&amp;TEXT(MIN((((DATE(IF($C$4="Todos",2026,$C$4),10,1)+MOD(8-WEEKDAY(DATE(IF($C$4="Todos",2026,$C$4),10,1),2),7))+(4-1)*7)+6),EOMONTH(DATE(IF($C$4="Todos",2026,$C$4),10,1),0)),"dd/mm"))</f>
        <v>26/10 - 31/10</v>
      </c>
      <c r="E69" s="271" cm="1">
        <f t="array" ref="E69">(($E$4="Todos")+($E$4="Outubro")&gt;0)*SUMPRODUCT(('GESTAO OPERACAO'!$AA$2:$AA$632="SEMANA 04 / OUT / "&amp;IF($C$4="Todos","",$C$4))*('GESTAO OPERACAO'!$U$2:$U$632&gt;0)*(($C$4="Todos")+(YEAR('GESTAO OPERACAO'!$U$2:$U$632)=$C$4)&gt;0))</f>
        <v>0</v>
      </c>
      <c r="F69" s="272" cm="1">
        <f t="array" ref="F69">(($E$4="Todos")+($E$4="Outubro")&gt;0)*SUMPRODUCT(('GESTAO OPERACAO'!$AA$2:$AA$632="SEMANA 04 / OUT / "&amp;IF($C$4="Todos","",$C$4))*('GESTAO OPERACAO'!$U$2:$U$632&gt;0)*(($C$4="Todos")+(YEAR('GESTAO OPERACAO'!$U$2:$U$632)=$C$4)&gt;0)*IFERROR('GESTAO OPERACAO'!$P$2:$P$632*1,0))</f>
        <v>0</v>
      </c>
      <c r="G69" s="285" cm="1">
        <f t="array" ref="G69">(($E$4="Todos")+($E$4="Outubro")&gt;0)*SUMPRODUCT(('GESTAO OPERACAO'!$AA$2:$AA$632="SEMANA 04 / OUT / "&amp;IF($C$4="Todos","",$C$4))*IFERROR('GESTAO OPERACAO'!$AC$2:$AC$632*1,0)*(($C$4="Todos")+(IFERROR(YEAR('GESTAO OPERACAO'!$AB$2:$AB$632),0)=$C$4)+(IFERROR(YEAR('GESTAO OPERACAO'!$AB$2:$AB$632),0)=0)&gt;0))</f>
        <v>0</v>
      </c>
      <c r="H69" s="273" cm="1">
        <f t="array" ref="H69">IFERROR((($E$4="Todos")+($E$4="Outubro")&gt;0)*SUMPRODUCT(('GESTAO OPERACAO'!$AA$2:$AA$632="SEMANA 04 / OUT / "&amp;IF($C$4="Todos","",$C$4))*('GESTAO OPERACAO'!$U$2:$U$632&gt;0)*(($C$4="Todos")+(YEAR('GESTAO OPERACAO'!$U$2:$U$632)=$C$4)&gt;0)*IFERROR('GESTAO OPERACAO'!$X$2:$X$632*1,0))/SUMPRODUCT(('GESTAO OPERACAO'!$AA$2:$AA$632="SEMANA 04 / OUT / "&amp;IF($C$4="Todos","",$C$4))*('GESTAO OPERACAO'!$U$2:$U$632&gt;0)*(($C$4="Todos")+(YEAR('GESTAO OPERACAO'!$U$2:$U$632)=$C$4)&gt;0)*ISNUMBER('GESTAO OPERACAO'!$X$2:$X$632)*1),0)</f>
        <v>0</v>
      </c>
      <c r="I69" s="199"/>
    </row>
    <row r="70" spans="1:9" x14ac:dyDescent="0.3">
      <c r="A70" s="198"/>
      <c r="B70" s="269" t="s">
        <v>1124</v>
      </c>
      <c r="C70" s="270" t="s">
        <v>1135</v>
      </c>
      <c r="D70" s="270" t="str">
        <f>IF(((DATE(IF($C$4="Todos",2026,$C$4),10,1)+MOD(8-WEEKDAY(DATE(IF($C$4="Todos",2026,$C$4),10,1),2),7))+(5-1)*7)&gt;EOMONTH(DATE(IF($C$4="Todos",2026,$C$4),10,1),0),"",TEXT(((DATE(IF($C$4="Todos",2026,$C$4),10,1)+MOD(8-WEEKDAY(DATE(IF($C$4="Todos",2026,$C$4),10,1),2),7))+(5-1)*7),"dd/mm")&amp;" - "&amp;TEXT(MIN((((DATE(IF($C$4="Todos",2026,$C$4),10,1)+MOD(8-WEEKDAY(DATE(IF($C$4="Todos",2026,$C$4),10,1),2),7))+(5-1)*7)+6),EOMONTH(DATE(IF($C$4="Todos",2026,$C$4),10,1),0)),"dd/mm"))</f>
        <v/>
      </c>
      <c r="E70" s="271" cm="1">
        <f t="array" ref="E70">(($E$4="Todos")+($E$4="Outubro")&gt;0)*SUMPRODUCT(('GESTAO OPERACAO'!$AA$2:$AA$632="SEMANA 05 / OUT / "&amp;IF($C$4="Todos","",$C$4))*('GESTAO OPERACAO'!$U$2:$U$632&gt;0)*(($C$4="Todos")+(YEAR('GESTAO OPERACAO'!$U$2:$U$632)=$C$4)&gt;0))</f>
        <v>0</v>
      </c>
      <c r="F70" s="272" cm="1">
        <f t="array" ref="F70">(($E$4="Todos")+($E$4="Outubro")&gt;0)*SUMPRODUCT(('GESTAO OPERACAO'!$AA$2:$AA$632="SEMANA 05 / OUT / "&amp;IF($C$4="Todos","",$C$4))*('GESTAO OPERACAO'!$U$2:$U$632&gt;0)*(($C$4="Todos")+(YEAR('GESTAO OPERACAO'!$U$2:$U$632)=$C$4)&gt;0)*IFERROR('GESTAO OPERACAO'!$P$2:$P$632*1,0))</f>
        <v>0</v>
      </c>
      <c r="G70" s="285" cm="1">
        <f t="array" ref="G70">(($E$4="Todos")+($E$4="Outubro")&gt;0)*SUMPRODUCT(('GESTAO OPERACAO'!$AA$2:$AA$632="SEMANA 05 / OUT / "&amp;IF($C$4="Todos","",$C$4))*IFERROR('GESTAO OPERACAO'!$AC$2:$AC$632*1,0)*(($C$4="Todos")+(IFERROR(YEAR('GESTAO OPERACAO'!$AB$2:$AB$632),0)=$C$4)+(IFERROR(YEAR('GESTAO OPERACAO'!$AB$2:$AB$632),0)=0)&gt;0))</f>
        <v>0</v>
      </c>
      <c r="H70" s="273" cm="1">
        <f t="array" ref="H70">IFERROR((($E$4="Todos")+($E$4="Outubro")&gt;0)*SUMPRODUCT(('GESTAO OPERACAO'!$AA$2:$AA$632="SEMANA 05 / OUT / "&amp;IF($C$4="Todos","",$C$4))*('GESTAO OPERACAO'!$U$2:$U$632&gt;0)*(($C$4="Todos")+(YEAR('GESTAO OPERACAO'!$U$2:$U$632)=$C$4)&gt;0)*IFERROR('GESTAO OPERACAO'!$X$2:$X$632*1,0))/SUMPRODUCT(('GESTAO OPERACAO'!$AA$2:$AA$632="SEMANA 05 / OUT / "&amp;IF($C$4="Todos","",$C$4))*('GESTAO OPERACAO'!$U$2:$U$632&gt;0)*(($C$4="Todos")+(YEAR('GESTAO OPERACAO'!$U$2:$U$632)=$C$4)&gt;0)*ISNUMBER('GESTAO OPERACAO'!$X$2:$X$632)*1),0)</f>
        <v>0</v>
      </c>
      <c r="I70" s="199"/>
    </row>
    <row r="71" spans="1:9" x14ac:dyDescent="0.3">
      <c r="A71" s="198"/>
      <c r="B71" s="274" t="s">
        <v>1145</v>
      </c>
      <c r="C71" s="275"/>
      <c r="D71" s="275"/>
      <c r="E71" s="276">
        <f>SUM(E66:E70)</f>
        <v>0</v>
      </c>
      <c r="F71" s="277">
        <f>SUM(F66:F70)</f>
        <v>0</v>
      </c>
      <c r="G71" s="286">
        <f>SUM(G66:G70)</f>
        <v>0</v>
      </c>
      <c r="H71" s="278">
        <f>IFERROR(SUMPRODUCT(E66:E70,H66:H70)/SUM(E66:E70),0)</f>
        <v>0</v>
      </c>
      <c r="I71" s="199"/>
    </row>
    <row r="72" spans="1:9" x14ac:dyDescent="0.3">
      <c r="A72" s="198"/>
      <c r="B72" s="269" t="s">
        <v>1125</v>
      </c>
      <c r="C72" s="270" t="s">
        <v>1131</v>
      </c>
      <c r="D72" s="270" t="str">
        <f>IF(((DATE(IF($C$4="Todos",2026,$C$4),11,1)+MOD(8-WEEKDAY(DATE(IF($C$4="Todos",2026,$C$4),11,1),2),7))+(1-1)*7)&gt;EOMONTH(DATE(IF($C$4="Todos",2026,$C$4),11,1),0),"",TEXT(((DATE(IF($C$4="Todos",2026,$C$4),11,1)+MOD(8-WEEKDAY(DATE(IF($C$4="Todos",2026,$C$4),11,1),2),7))+(1-1)*7),"dd/mm")&amp;" - "&amp;TEXT(MIN((((DATE(IF($C$4="Todos",2026,$C$4),11,1)+MOD(8-WEEKDAY(DATE(IF($C$4="Todos",2026,$C$4),11,1),2),7))+(1-1)*7)+6),EOMONTH(DATE(IF($C$4="Todos",2026,$C$4),11,1),0)),"dd/mm"))</f>
        <v>02/11 - 08/11</v>
      </c>
      <c r="E72" s="271" cm="1">
        <f t="array" ref="E72">(($E$4="Todos")+($E$4="Novembro")&gt;0)*SUMPRODUCT(('GESTAO OPERACAO'!$AA$2:$AA$632="SEMANA 01 / NOV / "&amp;IF($C$4="Todos","",$C$4))*('GESTAO OPERACAO'!$U$2:$U$632&gt;0)*(($C$4="Todos")+(YEAR('GESTAO OPERACAO'!$U$2:$U$632)=$C$4)&gt;0))</f>
        <v>0</v>
      </c>
      <c r="F72" s="272" cm="1">
        <f t="array" ref="F72">(($E$4="Todos")+($E$4="Novembro")&gt;0)*SUMPRODUCT(('GESTAO OPERACAO'!$AA$2:$AA$632="SEMANA 01 / NOV / "&amp;IF($C$4="Todos","",$C$4))*('GESTAO OPERACAO'!$U$2:$U$632&gt;0)*(($C$4="Todos")+(YEAR('GESTAO OPERACAO'!$U$2:$U$632)=$C$4)&gt;0)*IFERROR('GESTAO OPERACAO'!$P$2:$P$632*1,0))</f>
        <v>0</v>
      </c>
      <c r="G72" s="285" cm="1">
        <f t="array" ref="G72">(($E$4="Todos")+($E$4="Novembro")&gt;0)*SUMPRODUCT(('GESTAO OPERACAO'!$AA$2:$AA$632="SEMANA 01 / NOV / "&amp;IF($C$4="Todos","",$C$4))*IFERROR('GESTAO OPERACAO'!$AC$2:$AC$632*1,0)*(($C$4="Todos")+(IFERROR(YEAR('GESTAO OPERACAO'!$AB$2:$AB$632),0)=$C$4)+(IFERROR(YEAR('GESTAO OPERACAO'!$AB$2:$AB$632),0)=0)&gt;0))</f>
        <v>0</v>
      </c>
      <c r="H72" s="273" cm="1">
        <f t="array" ref="H72">IFERROR((($E$4="Todos")+($E$4="Novembro")&gt;0)*SUMPRODUCT(('GESTAO OPERACAO'!$AA$2:$AA$632="SEMANA 01 / NOV / "&amp;IF($C$4="Todos","",$C$4))*('GESTAO OPERACAO'!$U$2:$U$632&gt;0)*(($C$4="Todos")+(YEAR('GESTAO OPERACAO'!$U$2:$U$632)=$C$4)&gt;0)*IFERROR('GESTAO OPERACAO'!$X$2:$X$632*1,0))/SUMPRODUCT(('GESTAO OPERACAO'!$AA$2:$AA$632="SEMANA 01 / NOV / "&amp;IF($C$4="Todos","",$C$4))*('GESTAO OPERACAO'!$U$2:$U$632&gt;0)*(($C$4="Todos")+(YEAR('GESTAO OPERACAO'!$U$2:$U$632)=$C$4)&gt;0)*ISNUMBER('GESTAO OPERACAO'!$X$2:$X$632)*1),0)</f>
        <v>0</v>
      </c>
      <c r="I72" s="199"/>
    </row>
    <row r="73" spans="1:9" x14ac:dyDescent="0.3">
      <c r="A73" s="198"/>
      <c r="B73" s="269" t="s">
        <v>1125</v>
      </c>
      <c r="C73" s="270" t="s">
        <v>1132</v>
      </c>
      <c r="D73" s="270" t="str">
        <f>IF(((DATE(IF($C$4="Todos",2026,$C$4),11,1)+MOD(8-WEEKDAY(DATE(IF($C$4="Todos",2026,$C$4),11,1),2),7))+(2-1)*7)&gt;EOMONTH(DATE(IF($C$4="Todos",2026,$C$4),11,1),0),"",TEXT(((DATE(IF($C$4="Todos",2026,$C$4),11,1)+MOD(8-WEEKDAY(DATE(IF($C$4="Todos",2026,$C$4),11,1),2),7))+(2-1)*7),"dd/mm")&amp;" - "&amp;TEXT(MIN((((DATE(IF($C$4="Todos",2026,$C$4),11,1)+MOD(8-WEEKDAY(DATE(IF($C$4="Todos",2026,$C$4),11,1),2),7))+(2-1)*7)+6),EOMONTH(DATE(IF($C$4="Todos",2026,$C$4),11,1),0)),"dd/mm"))</f>
        <v>09/11 - 15/11</v>
      </c>
      <c r="E73" s="271" cm="1">
        <f t="array" ref="E73">(($E$4="Todos")+($E$4="Novembro")&gt;0)*SUMPRODUCT(('GESTAO OPERACAO'!$AA$2:$AA$632="SEMANA 02 / NOV / "&amp;IF($C$4="Todos","",$C$4))*('GESTAO OPERACAO'!$U$2:$U$632&gt;0)*(($C$4="Todos")+(YEAR('GESTAO OPERACAO'!$U$2:$U$632)=$C$4)&gt;0))</f>
        <v>0</v>
      </c>
      <c r="F73" s="272" cm="1">
        <f t="array" ref="F73">(($E$4="Todos")+($E$4="Novembro")&gt;0)*SUMPRODUCT(('GESTAO OPERACAO'!$AA$2:$AA$632="SEMANA 02 / NOV / "&amp;IF($C$4="Todos","",$C$4))*('GESTAO OPERACAO'!$U$2:$U$632&gt;0)*(($C$4="Todos")+(YEAR('GESTAO OPERACAO'!$U$2:$U$632)=$C$4)&gt;0)*IFERROR('GESTAO OPERACAO'!$P$2:$P$632*1,0))</f>
        <v>0</v>
      </c>
      <c r="G73" s="285" cm="1">
        <f t="array" ref="G73">(($E$4="Todos")+($E$4="Novembro")&gt;0)*SUMPRODUCT(('GESTAO OPERACAO'!$AA$2:$AA$632="SEMANA 02 / NOV / "&amp;IF($C$4="Todos","",$C$4))*IFERROR('GESTAO OPERACAO'!$AC$2:$AC$632*1,0)*(($C$4="Todos")+(IFERROR(YEAR('GESTAO OPERACAO'!$AB$2:$AB$632),0)=$C$4)+(IFERROR(YEAR('GESTAO OPERACAO'!$AB$2:$AB$632),0)=0)&gt;0))</f>
        <v>0</v>
      </c>
      <c r="H73" s="273" cm="1">
        <f t="array" ref="H73">IFERROR((($E$4="Todos")+($E$4="Novembro")&gt;0)*SUMPRODUCT(('GESTAO OPERACAO'!$AA$2:$AA$632="SEMANA 02 / NOV / "&amp;IF($C$4="Todos","",$C$4))*('GESTAO OPERACAO'!$U$2:$U$632&gt;0)*(($C$4="Todos")+(YEAR('GESTAO OPERACAO'!$U$2:$U$632)=$C$4)&gt;0)*IFERROR('GESTAO OPERACAO'!$X$2:$X$632*1,0))/SUMPRODUCT(('GESTAO OPERACAO'!$AA$2:$AA$632="SEMANA 02 / NOV / "&amp;IF($C$4="Todos","",$C$4))*('GESTAO OPERACAO'!$U$2:$U$632&gt;0)*(($C$4="Todos")+(YEAR('GESTAO OPERACAO'!$U$2:$U$632)=$C$4)&gt;0)*ISNUMBER('GESTAO OPERACAO'!$X$2:$X$632)*1),0)</f>
        <v>0</v>
      </c>
      <c r="I73" s="199"/>
    </row>
    <row r="74" spans="1:9" x14ac:dyDescent="0.3">
      <c r="A74" s="198"/>
      <c r="B74" s="269" t="s">
        <v>1125</v>
      </c>
      <c r="C74" s="270" t="s">
        <v>1133</v>
      </c>
      <c r="D74" s="270" t="str">
        <f>IF(((DATE(IF($C$4="Todos",2026,$C$4),11,1)+MOD(8-WEEKDAY(DATE(IF($C$4="Todos",2026,$C$4),11,1),2),7))+(3-1)*7)&gt;EOMONTH(DATE(IF($C$4="Todos",2026,$C$4),11,1),0),"",TEXT(((DATE(IF($C$4="Todos",2026,$C$4),11,1)+MOD(8-WEEKDAY(DATE(IF($C$4="Todos",2026,$C$4),11,1),2),7))+(3-1)*7),"dd/mm")&amp;" - "&amp;TEXT(MIN((((DATE(IF($C$4="Todos",2026,$C$4),11,1)+MOD(8-WEEKDAY(DATE(IF($C$4="Todos",2026,$C$4),11,1),2),7))+(3-1)*7)+6),EOMONTH(DATE(IF($C$4="Todos",2026,$C$4),11,1),0)),"dd/mm"))</f>
        <v>16/11 - 22/11</v>
      </c>
      <c r="E74" s="271" cm="1">
        <f t="array" ref="E74">(($E$4="Todos")+($E$4="Novembro")&gt;0)*SUMPRODUCT(('GESTAO OPERACAO'!$AA$2:$AA$632="SEMANA 03 / NOV / "&amp;IF($C$4="Todos","",$C$4))*('GESTAO OPERACAO'!$U$2:$U$632&gt;0)*(($C$4="Todos")+(YEAR('GESTAO OPERACAO'!$U$2:$U$632)=$C$4)&gt;0))</f>
        <v>0</v>
      </c>
      <c r="F74" s="272" cm="1">
        <f t="array" ref="F74">(($E$4="Todos")+($E$4="Novembro")&gt;0)*SUMPRODUCT(('GESTAO OPERACAO'!$AA$2:$AA$632="SEMANA 03 / NOV / "&amp;IF($C$4="Todos","",$C$4))*('GESTAO OPERACAO'!$U$2:$U$632&gt;0)*(($C$4="Todos")+(YEAR('GESTAO OPERACAO'!$U$2:$U$632)=$C$4)&gt;0)*IFERROR('GESTAO OPERACAO'!$P$2:$P$632*1,0))</f>
        <v>0</v>
      </c>
      <c r="G74" s="285" cm="1">
        <f t="array" ref="G74">(($E$4="Todos")+($E$4="Novembro")&gt;0)*SUMPRODUCT(('GESTAO OPERACAO'!$AA$2:$AA$632="SEMANA 03 / NOV / "&amp;IF($C$4="Todos","",$C$4))*IFERROR('GESTAO OPERACAO'!$AC$2:$AC$632*1,0)*(($C$4="Todos")+(IFERROR(YEAR('GESTAO OPERACAO'!$AB$2:$AB$632),0)=$C$4)+(IFERROR(YEAR('GESTAO OPERACAO'!$AB$2:$AB$632),0)=0)&gt;0))</f>
        <v>0</v>
      </c>
      <c r="H74" s="273" cm="1">
        <f t="array" ref="H74">IFERROR((($E$4="Todos")+($E$4="Novembro")&gt;0)*SUMPRODUCT(('GESTAO OPERACAO'!$AA$2:$AA$632="SEMANA 03 / NOV / "&amp;IF($C$4="Todos","",$C$4))*('GESTAO OPERACAO'!$U$2:$U$632&gt;0)*(($C$4="Todos")+(YEAR('GESTAO OPERACAO'!$U$2:$U$632)=$C$4)&gt;0)*IFERROR('GESTAO OPERACAO'!$X$2:$X$632*1,0))/SUMPRODUCT(('GESTAO OPERACAO'!$AA$2:$AA$632="SEMANA 03 / NOV / "&amp;IF($C$4="Todos","",$C$4))*('GESTAO OPERACAO'!$U$2:$U$632&gt;0)*(($C$4="Todos")+(YEAR('GESTAO OPERACAO'!$U$2:$U$632)=$C$4)&gt;0)*ISNUMBER('GESTAO OPERACAO'!$X$2:$X$632)*1),0)</f>
        <v>0</v>
      </c>
      <c r="I74" s="199"/>
    </row>
    <row r="75" spans="1:9" x14ac:dyDescent="0.3">
      <c r="A75" s="198"/>
      <c r="B75" s="269" t="s">
        <v>1125</v>
      </c>
      <c r="C75" s="270" t="s">
        <v>1134</v>
      </c>
      <c r="D75" s="270" t="str">
        <f>IF(((DATE(IF($C$4="Todos",2026,$C$4),11,1)+MOD(8-WEEKDAY(DATE(IF($C$4="Todos",2026,$C$4),11,1),2),7))+(4-1)*7)&gt;EOMONTH(DATE(IF($C$4="Todos",2026,$C$4),11,1),0),"",TEXT(((DATE(IF($C$4="Todos",2026,$C$4),11,1)+MOD(8-WEEKDAY(DATE(IF($C$4="Todos",2026,$C$4),11,1),2),7))+(4-1)*7),"dd/mm")&amp;" - "&amp;TEXT(MIN((((DATE(IF($C$4="Todos",2026,$C$4),11,1)+MOD(8-WEEKDAY(DATE(IF($C$4="Todos",2026,$C$4),11,1),2),7))+(4-1)*7)+6),EOMONTH(DATE(IF($C$4="Todos",2026,$C$4),11,1),0)),"dd/mm"))</f>
        <v>23/11 - 29/11</v>
      </c>
      <c r="E75" s="271" cm="1">
        <f t="array" ref="E75">(($E$4="Todos")+($E$4="Novembro")&gt;0)*SUMPRODUCT(('GESTAO OPERACAO'!$AA$2:$AA$632="SEMANA 04 / NOV / "&amp;IF($C$4="Todos","",$C$4))*('GESTAO OPERACAO'!$U$2:$U$632&gt;0)*(($C$4="Todos")+(YEAR('GESTAO OPERACAO'!$U$2:$U$632)=$C$4)&gt;0))</f>
        <v>0</v>
      </c>
      <c r="F75" s="272" cm="1">
        <f t="array" ref="F75">(($E$4="Todos")+($E$4="Novembro")&gt;0)*SUMPRODUCT(('GESTAO OPERACAO'!$AA$2:$AA$632="SEMANA 04 / NOV / "&amp;IF($C$4="Todos","",$C$4))*('GESTAO OPERACAO'!$U$2:$U$632&gt;0)*(($C$4="Todos")+(YEAR('GESTAO OPERACAO'!$U$2:$U$632)=$C$4)&gt;0)*IFERROR('GESTAO OPERACAO'!$P$2:$P$632*1,0))</f>
        <v>0</v>
      </c>
      <c r="G75" s="285" cm="1">
        <f t="array" ref="G75">(($E$4="Todos")+($E$4="Novembro")&gt;0)*SUMPRODUCT(('GESTAO OPERACAO'!$AA$2:$AA$632="SEMANA 04 / NOV / "&amp;IF($C$4="Todos","",$C$4))*IFERROR('GESTAO OPERACAO'!$AC$2:$AC$632*1,0)*(($C$4="Todos")+(IFERROR(YEAR('GESTAO OPERACAO'!$AB$2:$AB$632),0)=$C$4)+(IFERROR(YEAR('GESTAO OPERACAO'!$AB$2:$AB$632),0)=0)&gt;0))</f>
        <v>0</v>
      </c>
      <c r="H75" s="273" cm="1">
        <f t="array" ref="H75">IFERROR((($E$4="Todos")+($E$4="Novembro")&gt;0)*SUMPRODUCT(('GESTAO OPERACAO'!$AA$2:$AA$632="SEMANA 04 / NOV / "&amp;IF($C$4="Todos","",$C$4))*('GESTAO OPERACAO'!$U$2:$U$632&gt;0)*(($C$4="Todos")+(YEAR('GESTAO OPERACAO'!$U$2:$U$632)=$C$4)&gt;0)*IFERROR('GESTAO OPERACAO'!$X$2:$X$632*1,0))/SUMPRODUCT(('GESTAO OPERACAO'!$AA$2:$AA$632="SEMANA 04 / NOV / "&amp;IF($C$4="Todos","",$C$4))*('GESTAO OPERACAO'!$U$2:$U$632&gt;0)*(($C$4="Todos")+(YEAR('GESTAO OPERACAO'!$U$2:$U$632)=$C$4)&gt;0)*ISNUMBER('GESTAO OPERACAO'!$X$2:$X$632)*1),0)</f>
        <v>0</v>
      </c>
      <c r="I75" s="199"/>
    </row>
    <row r="76" spans="1:9" x14ac:dyDescent="0.3">
      <c r="A76" s="198"/>
      <c r="B76" s="269" t="s">
        <v>1125</v>
      </c>
      <c r="C76" s="270" t="s">
        <v>1135</v>
      </c>
      <c r="D76" s="270" t="str">
        <f>IF(((DATE(IF($C$4="Todos",2026,$C$4),11,1)+MOD(8-WEEKDAY(DATE(IF($C$4="Todos",2026,$C$4),11,1),2),7))+(5-1)*7)&gt;EOMONTH(DATE(IF($C$4="Todos",2026,$C$4),11,1),0),"",TEXT(((DATE(IF($C$4="Todos",2026,$C$4),11,1)+MOD(8-WEEKDAY(DATE(IF($C$4="Todos",2026,$C$4),11,1),2),7))+(5-1)*7),"dd/mm")&amp;" - "&amp;TEXT(MIN((((DATE(IF($C$4="Todos",2026,$C$4),11,1)+MOD(8-WEEKDAY(DATE(IF($C$4="Todos",2026,$C$4),11,1),2),7))+(5-1)*7)+6),EOMONTH(DATE(IF($C$4="Todos",2026,$C$4),11,1),0)),"dd/mm"))</f>
        <v>30/11 - 30/11</v>
      </c>
      <c r="E76" s="271" cm="1">
        <f t="array" ref="E76">(($E$4="Todos")+($E$4="Novembro")&gt;0)*SUMPRODUCT(('GESTAO OPERACAO'!$AA$2:$AA$632="SEMANA 05 / NOV / "&amp;IF($C$4="Todos","",$C$4))*('GESTAO OPERACAO'!$U$2:$U$632&gt;0)*(($C$4="Todos")+(YEAR('GESTAO OPERACAO'!$U$2:$U$632)=$C$4)&gt;0))</f>
        <v>0</v>
      </c>
      <c r="F76" s="272" cm="1">
        <f t="array" ref="F76">(($E$4="Todos")+($E$4="Novembro")&gt;0)*SUMPRODUCT(('GESTAO OPERACAO'!$AA$2:$AA$632="SEMANA 05 / NOV / "&amp;IF($C$4="Todos","",$C$4))*('GESTAO OPERACAO'!$U$2:$U$632&gt;0)*(($C$4="Todos")+(YEAR('GESTAO OPERACAO'!$U$2:$U$632)=$C$4)&gt;0)*IFERROR('GESTAO OPERACAO'!$P$2:$P$632*1,0))</f>
        <v>0</v>
      </c>
      <c r="G76" s="285" cm="1">
        <f t="array" ref="G76">(($E$4="Todos")+($E$4="Novembro")&gt;0)*SUMPRODUCT(('GESTAO OPERACAO'!$AA$2:$AA$632="SEMANA 05 / NOV / "&amp;IF($C$4="Todos","",$C$4))*IFERROR('GESTAO OPERACAO'!$AC$2:$AC$632*1,0)*(($C$4="Todos")+(IFERROR(YEAR('GESTAO OPERACAO'!$AB$2:$AB$632),0)=$C$4)+(IFERROR(YEAR('GESTAO OPERACAO'!$AB$2:$AB$632),0)=0)&gt;0))</f>
        <v>0</v>
      </c>
      <c r="H76" s="273" cm="1">
        <f t="array" ref="H76">IFERROR((($E$4="Todos")+($E$4="Novembro")&gt;0)*SUMPRODUCT(('GESTAO OPERACAO'!$AA$2:$AA$632="SEMANA 05 / NOV / "&amp;IF($C$4="Todos","",$C$4))*('GESTAO OPERACAO'!$U$2:$U$632&gt;0)*(($C$4="Todos")+(YEAR('GESTAO OPERACAO'!$U$2:$U$632)=$C$4)&gt;0)*IFERROR('GESTAO OPERACAO'!$X$2:$X$632*1,0))/SUMPRODUCT(('GESTAO OPERACAO'!$AA$2:$AA$632="SEMANA 05 / NOV / "&amp;IF($C$4="Todos","",$C$4))*('GESTAO OPERACAO'!$U$2:$U$632&gt;0)*(($C$4="Todos")+(YEAR('GESTAO OPERACAO'!$U$2:$U$632)=$C$4)&gt;0)*ISNUMBER('GESTAO OPERACAO'!$X$2:$X$632)*1),0)</f>
        <v>0</v>
      </c>
      <c r="I76" s="199"/>
    </row>
    <row r="77" spans="1:9" x14ac:dyDescent="0.3">
      <c r="A77" s="198"/>
      <c r="B77" s="274" t="s">
        <v>1146</v>
      </c>
      <c r="C77" s="275"/>
      <c r="D77" s="275"/>
      <c r="E77" s="276">
        <f>SUM(E72:E76)</f>
        <v>0</v>
      </c>
      <c r="F77" s="277">
        <f>SUM(F72:F76)</f>
        <v>0</v>
      </c>
      <c r="G77" s="286">
        <f>SUM(G72:G76)</f>
        <v>0</v>
      </c>
      <c r="H77" s="278">
        <f>IFERROR(SUMPRODUCT(E72:E76,H72:H76)/SUM(E72:E76),0)</f>
        <v>0</v>
      </c>
      <c r="I77" s="199"/>
    </row>
    <row r="78" spans="1:9" x14ac:dyDescent="0.3">
      <c r="A78" s="198"/>
      <c r="B78" s="269" t="s">
        <v>1126</v>
      </c>
      <c r="C78" s="270" t="s">
        <v>1131</v>
      </c>
      <c r="D78" s="270" t="str">
        <f>IF(((DATE(IF($C$4="Todos",2026,$C$4),12,1)+MOD(8-WEEKDAY(DATE(IF($C$4="Todos",2026,$C$4),12,1),2),7))+(1-1)*7)&gt;EOMONTH(DATE(IF($C$4="Todos",2026,$C$4),12,1),0),"",TEXT(((DATE(IF($C$4="Todos",2026,$C$4),12,1)+MOD(8-WEEKDAY(DATE(IF($C$4="Todos",2026,$C$4),12,1),2),7))+(1-1)*7),"dd/mm")&amp;" - "&amp;TEXT(MIN((((DATE(IF($C$4="Todos",2026,$C$4),12,1)+MOD(8-WEEKDAY(DATE(IF($C$4="Todos",2026,$C$4),12,1),2),7))+(1-1)*7)+6),EOMONTH(DATE(IF($C$4="Todos",2026,$C$4),12,1),0)),"dd/mm"))</f>
        <v>07/12 - 13/12</v>
      </c>
      <c r="E78" s="271" cm="1">
        <f t="array" ref="E78">(($E$4="Todos")+($E$4="Dezembro")&gt;0)*SUMPRODUCT(('GESTAO OPERACAO'!$AA$2:$AA$632="SEMANA 01 / DEZ / "&amp;IF($C$4="Todos","",$C$4))*('GESTAO OPERACAO'!$U$2:$U$632&gt;0)*(($C$4="Todos")+(YEAR('GESTAO OPERACAO'!$U$2:$U$632)=$C$4)&gt;0))</f>
        <v>0</v>
      </c>
      <c r="F78" s="272" cm="1">
        <f t="array" ref="F78">(($E$4="Todos")+($E$4="Dezembro")&gt;0)*SUMPRODUCT(('GESTAO OPERACAO'!$AA$2:$AA$632="SEMANA 01 / DEZ / "&amp;IF($C$4="Todos","",$C$4))*('GESTAO OPERACAO'!$U$2:$U$632&gt;0)*(($C$4="Todos")+(YEAR('GESTAO OPERACAO'!$U$2:$U$632)=$C$4)&gt;0)*IFERROR('GESTAO OPERACAO'!$P$2:$P$632*1,0))</f>
        <v>0</v>
      </c>
      <c r="G78" s="285" cm="1">
        <f t="array" ref="G78">(($E$4="Todos")+($E$4="Dezembro")&gt;0)*SUMPRODUCT(('GESTAO OPERACAO'!$AA$2:$AA$632="SEMANA 01 / DEZ / "&amp;IF($C$4="Todos","",$C$4))*IFERROR('GESTAO OPERACAO'!$AC$2:$AC$632*1,0)*(($C$4="Todos")+(IFERROR(YEAR('GESTAO OPERACAO'!$AB$2:$AB$632),0)=$C$4)+(IFERROR(YEAR('GESTAO OPERACAO'!$AB$2:$AB$632),0)=0)&gt;0))</f>
        <v>0</v>
      </c>
      <c r="H78" s="273" cm="1">
        <f t="array" ref="H78">IFERROR((($E$4="Todos")+($E$4="Dezembro")&gt;0)*SUMPRODUCT(('GESTAO OPERACAO'!$AA$2:$AA$632="SEMANA 01 / DEZ / "&amp;IF($C$4="Todos","",$C$4))*('GESTAO OPERACAO'!$U$2:$U$632&gt;0)*(($C$4="Todos")+(YEAR('GESTAO OPERACAO'!$U$2:$U$632)=$C$4)&gt;0)*IFERROR('GESTAO OPERACAO'!$X$2:$X$632*1,0))/SUMPRODUCT(('GESTAO OPERACAO'!$AA$2:$AA$632="SEMANA 01 / DEZ / "&amp;IF($C$4="Todos","",$C$4))*('GESTAO OPERACAO'!$U$2:$U$632&gt;0)*(($C$4="Todos")+(YEAR('GESTAO OPERACAO'!$U$2:$U$632)=$C$4)&gt;0)*ISNUMBER('GESTAO OPERACAO'!$X$2:$X$632)*1),0)</f>
        <v>0</v>
      </c>
      <c r="I78" s="199"/>
    </row>
    <row r="79" spans="1:9" x14ac:dyDescent="0.3">
      <c r="A79" s="198"/>
      <c r="B79" s="269" t="s">
        <v>1126</v>
      </c>
      <c r="C79" s="270" t="s">
        <v>1132</v>
      </c>
      <c r="D79" s="270" t="str">
        <f>IF(((DATE(IF($C$4="Todos",2026,$C$4),12,1)+MOD(8-WEEKDAY(DATE(IF($C$4="Todos",2026,$C$4),12,1),2),7))+(2-1)*7)&gt;EOMONTH(DATE(IF($C$4="Todos",2026,$C$4),12,1),0),"",TEXT(((DATE(IF($C$4="Todos",2026,$C$4),12,1)+MOD(8-WEEKDAY(DATE(IF($C$4="Todos",2026,$C$4),12,1),2),7))+(2-1)*7),"dd/mm")&amp;" - "&amp;TEXT(MIN((((DATE(IF($C$4="Todos",2026,$C$4),12,1)+MOD(8-WEEKDAY(DATE(IF($C$4="Todos",2026,$C$4),12,1),2),7))+(2-1)*7)+6),EOMONTH(DATE(IF($C$4="Todos",2026,$C$4),12,1),0)),"dd/mm"))</f>
        <v>14/12 - 20/12</v>
      </c>
      <c r="E79" s="271" cm="1">
        <f t="array" ref="E79">(($E$4="Todos")+($E$4="Dezembro")&gt;0)*SUMPRODUCT(('GESTAO OPERACAO'!$AA$2:$AA$632="SEMANA 02 / DEZ / "&amp;IF($C$4="Todos","",$C$4))*('GESTAO OPERACAO'!$U$2:$U$632&gt;0)*(($C$4="Todos")+(YEAR('GESTAO OPERACAO'!$U$2:$U$632)=$C$4)&gt;0))</f>
        <v>0</v>
      </c>
      <c r="F79" s="272" cm="1">
        <f t="array" ref="F79">(($E$4="Todos")+($E$4="Dezembro")&gt;0)*SUMPRODUCT(('GESTAO OPERACAO'!$AA$2:$AA$632="SEMANA 02 / DEZ / "&amp;IF($C$4="Todos","",$C$4))*('GESTAO OPERACAO'!$U$2:$U$632&gt;0)*(($C$4="Todos")+(YEAR('GESTAO OPERACAO'!$U$2:$U$632)=$C$4)&gt;0)*IFERROR('GESTAO OPERACAO'!$P$2:$P$632*1,0))</f>
        <v>0</v>
      </c>
      <c r="G79" s="285" cm="1">
        <f t="array" ref="G79">(($E$4="Todos")+($E$4="Dezembro")&gt;0)*SUMPRODUCT(('GESTAO OPERACAO'!$AA$2:$AA$632="SEMANA 02 / DEZ / "&amp;IF($C$4="Todos","",$C$4))*IFERROR('GESTAO OPERACAO'!$AC$2:$AC$632*1,0)*(($C$4="Todos")+(IFERROR(YEAR('GESTAO OPERACAO'!$AB$2:$AB$632),0)=$C$4)+(IFERROR(YEAR('GESTAO OPERACAO'!$AB$2:$AB$632),0)=0)&gt;0))</f>
        <v>0</v>
      </c>
      <c r="H79" s="273" cm="1">
        <f t="array" ref="H79">IFERROR((($E$4="Todos")+($E$4="Dezembro")&gt;0)*SUMPRODUCT(('GESTAO OPERACAO'!$AA$2:$AA$632="SEMANA 02 / DEZ / "&amp;IF($C$4="Todos","",$C$4))*('GESTAO OPERACAO'!$U$2:$U$632&gt;0)*(($C$4="Todos")+(YEAR('GESTAO OPERACAO'!$U$2:$U$632)=$C$4)&gt;0)*IFERROR('GESTAO OPERACAO'!$X$2:$X$632*1,0))/SUMPRODUCT(('GESTAO OPERACAO'!$AA$2:$AA$632="SEMANA 02 / DEZ / "&amp;IF($C$4="Todos","",$C$4))*('GESTAO OPERACAO'!$U$2:$U$632&gt;0)*(($C$4="Todos")+(YEAR('GESTAO OPERACAO'!$U$2:$U$632)=$C$4)&gt;0)*ISNUMBER('GESTAO OPERACAO'!$X$2:$X$632)*1),0)</f>
        <v>0</v>
      </c>
      <c r="I79" s="199"/>
    </row>
    <row r="80" spans="1:9" x14ac:dyDescent="0.3">
      <c r="A80" s="198"/>
      <c r="B80" s="269" t="s">
        <v>1126</v>
      </c>
      <c r="C80" s="270" t="s">
        <v>1133</v>
      </c>
      <c r="D80" s="270" t="str">
        <f>IF(((DATE(IF($C$4="Todos",2026,$C$4),12,1)+MOD(8-WEEKDAY(DATE(IF($C$4="Todos",2026,$C$4),12,1),2),7))+(3-1)*7)&gt;EOMONTH(DATE(IF($C$4="Todos",2026,$C$4),12,1),0),"",TEXT(((DATE(IF($C$4="Todos",2026,$C$4),12,1)+MOD(8-WEEKDAY(DATE(IF($C$4="Todos",2026,$C$4),12,1),2),7))+(3-1)*7),"dd/mm")&amp;" - "&amp;TEXT(MIN((((DATE(IF($C$4="Todos",2026,$C$4),12,1)+MOD(8-WEEKDAY(DATE(IF($C$4="Todos",2026,$C$4),12,1),2),7))+(3-1)*7)+6),EOMONTH(DATE(IF($C$4="Todos",2026,$C$4),12,1),0)),"dd/mm"))</f>
        <v>21/12 - 27/12</v>
      </c>
      <c r="E80" s="271" cm="1">
        <f t="array" ref="E80">(($E$4="Todos")+($E$4="Dezembro")&gt;0)*SUMPRODUCT(('GESTAO OPERACAO'!$AA$2:$AA$632="SEMANA 03 / DEZ / "&amp;IF($C$4="Todos","",$C$4))*('GESTAO OPERACAO'!$U$2:$U$632&gt;0)*(($C$4="Todos")+(YEAR('GESTAO OPERACAO'!$U$2:$U$632)=$C$4)&gt;0))</f>
        <v>0</v>
      </c>
      <c r="F80" s="272" cm="1">
        <f t="array" ref="F80">(($E$4="Todos")+($E$4="Dezembro")&gt;0)*SUMPRODUCT(('GESTAO OPERACAO'!$AA$2:$AA$632="SEMANA 03 / DEZ / "&amp;IF($C$4="Todos","",$C$4))*('GESTAO OPERACAO'!$U$2:$U$632&gt;0)*(($C$4="Todos")+(YEAR('GESTAO OPERACAO'!$U$2:$U$632)=$C$4)&gt;0)*IFERROR('GESTAO OPERACAO'!$P$2:$P$632*1,0))</f>
        <v>0</v>
      </c>
      <c r="G80" s="285" cm="1">
        <f t="array" ref="G80">(($E$4="Todos")+($E$4="Dezembro")&gt;0)*SUMPRODUCT(('GESTAO OPERACAO'!$AA$2:$AA$632="SEMANA 03 / DEZ / "&amp;IF($C$4="Todos","",$C$4))*IFERROR('GESTAO OPERACAO'!$AC$2:$AC$632*1,0)*(($C$4="Todos")+(IFERROR(YEAR('GESTAO OPERACAO'!$AB$2:$AB$632),0)=$C$4)+(IFERROR(YEAR('GESTAO OPERACAO'!$AB$2:$AB$632),0)=0)&gt;0))</f>
        <v>0</v>
      </c>
      <c r="H80" s="273" cm="1">
        <f t="array" ref="H80">IFERROR((($E$4="Todos")+($E$4="Dezembro")&gt;0)*SUMPRODUCT(('GESTAO OPERACAO'!$AA$2:$AA$632="SEMANA 03 / DEZ / "&amp;IF($C$4="Todos","",$C$4))*('GESTAO OPERACAO'!$U$2:$U$632&gt;0)*(($C$4="Todos")+(YEAR('GESTAO OPERACAO'!$U$2:$U$632)=$C$4)&gt;0)*IFERROR('GESTAO OPERACAO'!$X$2:$X$632*1,0))/SUMPRODUCT(('GESTAO OPERACAO'!$AA$2:$AA$632="SEMANA 03 / DEZ / "&amp;IF($C$4="Todos","",$C$4))*('GESTAO OPERACAO'!$U$2:$U$632&gt;0)*(($C$4="Todos")+(YEAR('GESTAO OPERACAO'!$U$2:$U$632)=$C$4)&gt;0)*ISNUMBER('GESTAO OPERACAO'!$X$2:$X$632)*1),0)</f>
        <v>0</v>
      </c>
      <c r="I80" s="199"/>
    </row>
    <row r="81" spans="1:10" x14ac:dyDescent="0.3">
      <c r="A81" s="198"/>
      <c r="B81" s="269" t="s">
        <v>1126</v>
      </c>
      <c r="C81" s="270" t="s">
        <v>1134</v>
      </c>
      <c r="D81" s="270" t="str">
        <f>IF(((DATE(IF($C$4="Todos",2026,$C$4),12,1)+MOD(8-WEEKDAY(DATE(IF($C$4="Todos",2026,$C$4),12,1),2),7))+(4-1)*7)&gt;EOMONTH(DATE(IF($C$4="Todos",2026,$C$4),12,1),0),"",TEXT(((DATE(IF($C$4="Todos",2026,$C$4),12,1)+MOD(8-WEEKDAY(DATE(IF($C$4="Todos",2026,$C$4),12,1),2),7))+(4-1)*7),"dd/mm")&amp;" - "&amp;TEXT(MIN((((DATE(IF($C$4="Todos",2026,$C$4),12,1)+MOD(8-WEEKDAY(DATE(IF($C$4="Todos",2026,$C$4),12,1),2),7))+(4-1)*7)+6),EOMONTH(DATE(IF($C$4="Todos",2026,$C$4),12,1),0)),"dd/mm"))</f>
        <v>28/12 - 31/12</v>
      </c>
      <c r="E81" s="271" cm="1">
        <f t="array" ref="E81">(($E$4="Todos")+($E$4="Dezembro")&gt;0)*SUMPRODUCT(('GESTAO OPERACAO'!$AA$2:$AA$632="SEMANA 04 / DEZ / "&amp;IF($C$4="Todos","",$C$4))*('GESTAO OPERACAO'!$U$2:$U$632&gt;0)*(($C$4="Todos")+(YEAR('GESTAO OPERACAO'!$U$2:$U$632)=$C$4)&gt;0))</f>
        <v>0</v>
      </c>
      <c r="F81" s="272" cm="1">
        <f t="array" ref="F81">(($E$4="Todos")+($E$4="Dezembro")&gt;0)*SUMPRODUCT(('GESTAO OPERACAO'!$AA$2:$AA$632="SEMANA 04 / DEZ / "&amp;IF($C$4="Todos","",$C$4))*('GESTAO OPERACAO'!$U$2:$U$632&gt;0)*(($C$4="Todos")+(YEAR('GESTAO OPERACAO'!$U$2:$U$632)=$C$4)&gt;0)*IFERROR('GESTAO OPERACAO'!$P$2:$P$632*1,0))</f>
        <v>0</v>
      </c>
      <c r="G81" s="285" cm="1">
        <f t="array" ref="G81">(($E$4="Todos")+($E$4="Dezembro")&gt;0)*SUMPRODUCT(('GESTAO OPERACAO'!$AA$2:$AA$632="SEMANA 04 / DEZ / "&amp;IF($C$4="Todos","",$C$4))*IFERROR('GESTAO OPERACAO'!$AC$2:$AC$632*1,0)*(($C$4="Todos")+(IFERROR(YEAR('GESTAO OPERACAO'!$AB$2:$AB$632),0)=$C$4)+(IFERROR(YEAR('GESTAO OPERACAO'!$AB$2:$AB$632),0)=0)&gt;0))</f>
        <v>0</v>
      </c>
      <c r="H81" s="273" cm="1">
        <f t="array" ref="H81">IFERROR((($E$4="Todos")+($E$4="Dezembro")&gt;0)*SUMPRODUCT(('GESTAO OPERACAO'!$AA$2:$AA$632="SEMANA 04 / DEZ / "&amp;IF($C$4="Todos","",$C$4))*('GESTAO OPERACAO'!$U$2:$U$632&gt;0)*(($C$4="Todos")+(YEAR('GESTAO OPERACAO'!$U$2:$U$632)=$C$4)&gt;0)*IFERROR('GESTAO OPERACAO'!$X$2:$X$632*1,0))/SUMPRODUCT(('GESTAO OPERACAO'!$AA$2:$AA$632="SEMANA 04 / DEZ / "&amp;IF($C$4="Todos","",$C$4))*('GESTAO OPERACAO'!$U$2:$U$632&gt;0)*(($C$4="Todos")+(YEAR('GESTAO OPERACAO'!$U$2:$U$632)=$C$4)&gt;0)*ISNUMBER('GESTAO OPERACAO'!$X$2:$X$632)*1),0)</f>
        <v>0</v>
      </c>
      <c r="I81" s="199"/>
    </row>
    <row r="82" spans="1:10" x14ac:dyDescent="0.3">
      <c r="A82" s="198"/>
      <c r="B82" s="269" t="s">
        <v>1126</v>
      </c>
      <c r="C82" s="270" t="s">
        <v>1135</v>
      </c>
      <c r="D82" s="270" t="str">
        <f>IF(((DATE(IF($C$4="Todos",2026,$C$4),12,1)+MOD(8-WEEKDAY(DATE(IF($C$4="Todos",2026,$C$4),12,1),2),7))+(5-1)*7)&gt;EOMONTH(DATE(IF($C$4="Todos",2026,$C$4),12,1),0),"",TEXT(((DATE(IF($C$4="Todos",2026,$C$4),12,1)+MOD(8-WEEKDAY(DATE(IF($C$4="Todos",2026,$C$4),12,1),2),7))+(5-1)*7),"dd/mm")&amp;" - "&amp;TEXT(MIN((((DATE(IF($C$4="Todos",2026,$C$4),12,1)+MOD(8-WEEKDAY(DATE(IF($C$4="Todos",2026,$C$4),12,1),2),7))+(5-1)*7)+6),EOMONTH(DATE(IF($C$4="Todos",2026,$C$4),12,1),0)),"dd/mm"))</f>
        <v/>
      </c>
      <c r="E82" s="271" cm="1">
        <f t="array" ref="E82">(($E$4="Todos")+($E$4="Dezembro")&gt;0)*SUMPRODUCT(('GESTAO OPERACAO'!$AA$2:$AA$632="SEMANA 05 / DEZ / "&amp;IF($C$4="Todos","",$C$4))*('GESTAO OPERACAO'!$U$2:$U$632&gt;0)*(($C$4="Todos")+(YEAR('GESTAO OPERACAO'!$U$2:$U$632)=$C$4)&gt;0))</f>
        <v>0</v>
      </c>
      <c r="F82" s="272" cm="1">
        <f t="array" ref="F82">(($E$4="Todos")+($E$4="Dezembro")&gt;0)*SUMPRODUCT(('GESTAO OPERACAO'!$AA$2:$AA$632="SEMANA 05 / DEZ / "&amp;IF($C$4="Todos","",$C$4))*('GESTAO OPERACAO'!$U$2:$U$632&gt;0)*(($C$4="Todos")+(YEAR('GESTAO OPERACAO'!$U$2:$U$632)=$C$4)&gt;0)*IFERROR('GESTAO OPERACAO'!$P$2:$P$632*1,0))</f>
        <v>0</v>
      </c>
      <c r="G82" s="285" cm="1">
        <f t="array" ref="G82">(($E$4="Todos")+($E$4="Dezembro")&gt;0)*SUMPRODUCT(('GESTAO OPERACAO'!$AA$2:$AA$632="SEMANA 05 / DEZ / "&amp;IF($C$4="Todos","",$C$4))*IFERROR('GESTAO OPERACAO'!$AC$2:$AC$632*1,0)*(($C$4="Todos")+(IFERROR(YEAR('GESTAO OPERACAO'!$AB$2:$AB$632),0)=$C$4)+(IFERROR(YEAR('GESTAO OPERACAO'!$AB$2:$AB$632),0)=0)&gt;0))</f>
        <v>0</v>
      </c>
      <c r="H82" s="273" cm="1">
        <f t="array" ref="H82">IFERROR((($E$4="Todos")+($E$4="Dezembro")&gt;0)*SUMPRODUCT(('GESTAO OPERACAO'!$AA$2:$AA$632="SEMANA 05 / DEZ / "&amp;IF($C$4="Todos","",$C$4))*('GESTAO OPERACAO'!$U$2:$U$632&gt;0)*(($C$4="Todos")+(YEAR('GESTAO OPERACAO'!$U$2:$U$632)=$C$4)&gt;0)*IFERROR('GESTAO OPERACAO'!$X$2:$X$632*1,0))/SUMPRODUCT(('GESTAO OPERACAO'!$AA$2:$AA$632="SEMANA 05 / DEZ / "&amp;IF($C$4="Todos","",$C$4))*('GESTAO OPERACAO'!$U$2:$U$632&gt;0)*(($C$4="Todos")+(YEAR('GESTAO OPERACAO'!$U$2:$U$632)=$C$4)&gt;0)*ISNUMBER('GESTAO OPERACAO'!$X$2:$X$632)*1),0)</f>
        <v>0</v>
      </c>
      <c r="I82" s="199"/>
    </row>
    <row r="83" spans="1:10" x14ac:dyDescent="0.3">
      <c r="A83" s="198"/>
      <c r="B83" s="274" t="s">
        <v>1147</v>
      </c>
      <c r="C83" s="275"/>
      <c r="D83" s="275"/>
      <c r="E83" s="276">
        <f>SUM(E78:E82)</f>
        <v>0</v>
      </c>
      <c r="F83" s="277">
        <f>SUM(F78:F82)</f>
        <v>0</v>
      </c>
      <c r="G83" s="286">
        <f>SUM(G78:G82)</f>
        <v>0</v>
      </c>
      <c r="H83" s="278">
        <f>IFERROR(SUMPRODUCT(E78:E82,H78:H82)/SUM(E78:E82),0)</f>
        <v>0</v>
      </c>
      <c r="I83" s="199"/>
    </row>
    <row r="84" spans="1:10" x14ac:dyDescent="0.3">
      <c r="A84" s="198"/>
      <c r="B84" s="279" t="s">
        <v>1127</v>
      </c>
      <c r="C84" s="280"/>
      <c r="D84" s="280"/>
      <c r="E84" s="281">
        <f>SUM(E17,E23,E29,E35,E41,E47,E53,E59,E65,E71,E77,E83)</f>
        <v>418</v>
      </c>
      <c r="F84" s="282">
        <f>SUM(F17,F23,F29,F35,F41,F47,F53,F59,F65,F71,F77,F83)</f>
        <v>11220231.2689</v>
      </c>
      <c r="G84" s="287">
        <f>SUM(G17,G23,G29,G35,G41,G47,G53,G59,G65,G71,G77,G83)</f>
        <v>10742090.249999998</v>
      </c>
      <c r="H84" s="283">
        <f>IFERROR((E17*H17+E23*H23+E29*H29+E35*H35+E41*H41+E47*H47+E53*H53+E59*H59+E65*H65+E71*H71+E77*H77+E83*H83)/SUM(E17,E23,E29,E35,E41,E47,E53,E59,E65,E71,E77,E83),0)</f>
        <v>19.311004784688997</v>
      </c>
      <c r="I84" s="199"/>
    </row>
    <row r="85" spans="1:10" x14ac:dyDescent="0.3">
      <c r="B85" s="200"/>
      <c r="C85" s="200"/>
      <c r="D85" s="200"/>
      <c r="E85" s="200"/>
      <c r="F85" s="200"/>
      <c r="G85" s="200"/>
      <c r="H85" s="200"/>
    </row>
    <row r="86" spans="1:10" s="192" customFormat="1" ht="15.6" x14ac:dyDescent="0.3">
      <c r="B86" s="435" t="s">
        <v>1192</v>
      </c>
      <c r="C86" s="435"/>
      <c r="D86" s="435"/>
      <c r="E86" s="435"/>
      <c r="H86" s="435" t="s">
        <v>16</v>
      </c>
      <c r="I86" s="435"/>
      <c r="J86" s="435"/>
    </row>
    <row r="87" spans="1:10" x14ac:dyDescent="0.3">
      <c r="B87" s="216" t="s">
        <v>1193</v>
      </c>
      <c r="C87" s="216" t="s">
        <v>1194</v>
      </c>
      <c r="D87" s="216" t="s">
        <v>1113</v>
      </c>
      <c r="E87" s="216" t="s">
        <v>1150</v>
      </c>
      <c r="H87" s="216" t="s">
        <v>1195</v>
      </c>
      <c r="I87" s="216" t="s">
        <v>1194</v>
      </c>
      <c r="J87" s="216" t="s">
        <v>1150</v>
      </c>
    </row>
    <row r="88" spans="1:10" x14ac:dyDescent="0.3">
      <c r="B88" s="180" t="s">
        <v>61</v>
      </c>
      <c r="C88" s="186" cm="1">
        <f t="array" ref="C88">SUMPRODUCT(('GESTAO OPERACAO'!$S$2:$S$632=B88)*(($C$4="Todos")+(YEAR('GESTAO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393</v>
      </c>
      <c r="D88" s="187" cm="1">
        <f t="array" ref="D88">SUMPRODUCT(('GESTAO OPERACAO'!$S$2:$S$632=B88)*(($C$4="Todos")+(YEAR('GESTAO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9648115.7488999981</v>
      </c>
      <c r="E88" s="196">
        <f>IFERROR(C88/$C$91,"")</f>
        <v>0.94471153846153844</v>
      </c>
      <c r="H88" s="180" t="str" cm="1">
        <f t="array" ref="H88:H90">IFERROR(_xlfn._xlws.SORT(_xlfn.UNIQUE(_xlfn._xlws.FILTER('GESTAO OPERACAO'!Q2:Q632,('GESTAO OPERACAO'!Q2:Q632&lt;&gt;"")*(($C$4="Todos")+(YEAR('GESTAO OPERACAO'!U2:U632)=$C$4)&gt;0)*(($E$4="Todos")+(MONTH('GESTAO OPERACAO'!U2:U632)=IFERROR(MATCH($E$4,{"Janeiro";"Fevereiro";"Março";"Abril";"Maio";"Junho";"Julho";"Agosto";"Setembro";"Outubro";"Novembro";"Dezembro"},0),0))&gt;0)))),"")</f>
        <v>Alta</v>
      </c>
      <c r="I88" s="186" cm="1">
        <f t="array" ref="I88">IF(OR(H88="",ISERROR(H88)),"",SUMPRODUCT(('GESTAO OPERACAO'!$Q$2:$Q$632=H88)*(($C$4="Todos")+(YEAR('GESTAO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>142</v>
      </c>
      <c r="J88" s="196">
        <f>IFERROR(I88/$C$7,"")</f>
        <v>0.33890214797136037</v>
      </c>
    </row>
    <row r="89" spans="1:10" x14ac:dyDescent="0.3">
      <c r="B89" s="180" t="s">
        <v>610</v>
      </c>
      <c r="C89" s="186" cm="1">
        <f t="array" ref="C89">SUMPRODUCT(('GESTAO OPERACAO'!$S$2:$S$632=B89)*(($C$4="Todos")+(YEAR('GESTAO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16</v>
      </c>
      <c r="D89" s="187" cm="1">
        <f t="array" ref="D89">SUMPRODUCT(('GESTAO OPERACAO'!$S$2:$S$632=B89)*(($C$4="Todos")+(YEAR('GESTAO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676439.19</v>
      </c>
      <c r="E89" s="196">
        <f>IFERROR(C89/$C$91,"")</f>
        <v>3.8461538461538464E-2</v>
      </c>
      <c r="H89" s="180" t="str">
        <v>Baixa</v>
      </c>
      <c r="I89" s="186" cm="1">
        <f t="array" ref="I89">IF(OR(H89="",ISERROR(H89)),"",SUMPRODUCT(('GESTAO OPERACAO'!$Q$2:$Q$632=H89)*(($C$4="Todos")+(YEAR('GESTAO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>6</v>
      </c>
      <c r="J89" s="196">
        <f>IFERROR(I89/$C$7,"")</f>
        <v>1.4319809069212411E-2</v>
      </c>
    </row>
    <row r="90" spans="1:10" x14ac:dyDescent="0.3">
      <c r="B90" s="180" t="s">
        <v>1041</v>
      </c>
      <c r="C90" s="186" cm="1">
        <f t="array" ref="C90">SUMPRODUCT(('GESTAO OPERACAO'!$S$2:$S$632=B90)*(($C$4="Todos")+(YEAR('GESTAO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7</v>
      </c>
      <c r="D90" s="187" cm="1">
        <f t="array" ref="D90">SUMPRODUCT(('GESTAO OPERACAO'!$S$2:$S$632=B90)*(($C$4="Todos")+(YEAR('GESTAO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4796814.78</v>
      </c>
      <c r="E90" s="196">
        <f>IFERROR(C90/$C$91,"")</f>
        <v>1.6826923076923076E-2</v>
      </c>
      <c r="H90" s="180" t="str">
        <v>Média</v>
      </c>
      <c r="I90" s="186" cm="1">
        <f t="array" ref="I90">IF(OR(H90="",ISERROR(H90)),"",SUMPRODUCT(('GESTAO OPERACAO'!$Q$2:$Q$632=H90)*(($C$4="Todos")+(YEAR('GESTAO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>271</v>
      </c>
      <c r="J90" s="196">
        <f>IFERROR(I90/$C$7,"")</f>
        <v>0.6467780429594272</v>
      </c>
    </row>
    <row r="91" spans="1:10" x14ac:dyDescent="0.3">
      <c r="B91" s="218" t="s">
        <v>1196</v>
      </c>
      <c r="C91" s="219">
        <f>SUM(C88:C90)</f>
        <v>416</v>
      </c>
      <c r="D91" s="220">
        <f>SUM(D88:D90)</f>
        <v>15121369.718899999</v>
      </c>
      <c r="E91" s="221">
        <f>IFERROR(C91/$C$91,"")</f>
        <v>1</v>
      </c>
      <c r="I91" s="186" t="str" cm="1">
        <f t="array" ref="I91">IF(OR(H91="",ISERROR(H91)),"",SUMPRODUCT(('GESTAO OPERACAO'!$Q$2:$Q$632=H91)*(($C$4="Todos")+(YEAR('GESTAO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/>
      </c>
      <c r="J91" s="196" t="str">
        <f>IFERROR(I91/$C$7,"")</f>
        <v/>
      </c>
    </row>
    <row r="92" spans="1:10" x14ac:dyDescent="0.3">
      <c r="I92" s="186" t="str" cm="1">
        <f t="array" ref="I92">IF(OR(H92="",ISERROR(H92)),"",SUMPRODUCT(('GESTAO OPERACAO'!$Q$2:$Q$632=H92)*(($C$4="Todos")+(YEAR('GESTAO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/>
      </c>
      <c r="J92" s="196" t="str">
        <f>IFERROR(I92/$C$7,"")</f>
        <v/>
      </c>
    </row>
    <row r="93" spans="1:10" ht="15.6" x14ac:dyDescent="0.3">
      <c r="B93" s="436" t="s">
        <v>1197</v>
      </c>
      <c r="C93" s="437"/>
      <c r="D93" s="437"/>
      <c r="E93" s="438"/>
    </row>
    <row r="94" spans="1:10" x14ac:dyDescent="0.3">
      <c r="A94" s="198"/>
      <c r="B94" s="216" t="s">
        <v>1111</v>
      </c>
      <c r="C94" s="216" t="s">
        <v>1198</v>
      </c>
      <c r="D94" s="216" t="s">
        <v>1199</v>
      </c>
      <c r="E94" s="216" t="s">
        <v>1200</v>
      </c>
      <c r="F94" s="199"/>
      <c r="G94" s="199"/>
    </row>
    <row r="95" spans="1:10" hidden="1" x14ac:dyDescent="0.3">
      <c r="A95" s="198"/>
      <c r="B95" s="180" t="s">
        <v>1115</v>
      </c>
      <c r="C95" s="186" cm="1">
        <f t="array" ref="C95">(($E$4="Todos")+($E$4="Janeiro")&gt;0)*SUMPRODUCT(ISNUMBER(SEARCH("/ JAN /",'GESTAO OPERACAO'!$AA$2:$AA$632))*(($C$4="Todos")+(IFERROR(VALUE(RIGHT('GESTAO OPERACAO'!$AA$2:$AA$632,4)),0)=$C$4)&gt;0)*(('GESTAO OPERACAO'!$S$2:$S$632="EM PRODUÇÃO")+('GESTAO OPERACAO'!$S$2:$S$632="PENDENTE")&gt;0))</f>
        <v>0</v>
      </c>
      <c r="D95" s="187" cm="1">
        <f t="array" ref="D95">(($E$4="Todos")+($E$4="Janeiro")&gt;0)*SUMPRODUCT(ISNUMBER(SEARCH("/ JAN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5" s="196">
        <f t="shared" ref="E95:E107" si="0">IFERROR(C95/$C$107,"")</f>
        <v>0</v>
      </c>
      <c r="F95" s="199"/>
      <c r="G95" s="199"/>
    </row>
    <row r="96" spans="1:10" hidden="1" x14ac:dyDescent="0.3">
      <c r="A96" s="198"/>
      <c r="B96" s="180" t="s">
        <v>1116</v>
      </c>
      <c r="C96" s="186" cm="1">
        <f t="array" ref="C96">(($E$4="Todos")+($E$4="Fevereiro")&gt;0)*SUMPRODUCT(ISNUMBER(SEARCH("/ FEV /",'GESTAO OPERACAO'!$AA$2:$AA$632))*(($C$4="Todos")+(IFERROR(VALUE(RIGHT('GESTAO OPERACAO'!$AA$2:$AA$632,4)),0)=$C$4)&gt;0)*(('GESTAO OPERACAO'!$S$2:$S$632="EM PRODUÇÃO")+('GESTAO OPERACAO'!$S$2:$S$632="PENDENTE")&gt;0))</f>
        <v>0</v>
      </c>
      <c r="D96" s="187" cm="1">
        <f t="array" ref="D96">(($E$4="Todos")+($E$4="Fevereiro")&gt;0)*SUMPRODUCT(ISNUMBER(SEARCH("/ FEV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6" s="196">
        <f t="shared" si="0"/>
        <v>0</v>
      </c>
      <c r="F96" s="199"/>
      <c r="G96" s="199"/>
    </row>
    <row r="97" spans="1:8" hidden="1" x14ac:dyDescent="0.3">
      <c r="A97" s="198"/>
      <c r="B97" s="180" t="s">
        <v>1117</v>
      </c>
      <c r="C97" s="186" cm="1">
        <f t="array" ref="C97">(($E$4="Todos")+($E$4="Março")&gt;0)*SUMPRODUCT(ISNUMBER(SEARCH("/ MAR /",'GESTAO OPERACAO'!$AA$2:$AA$632))*(($C$4="Todos")+(IFERROR(VALUE(RIGHT('GESTAO OPERACAO'!$AA$2:$AA$632,4)),0)=$C$4)&gt;0)*(('GESTAO OPERACAO'!$S$2:$S$632="EM PRODUÇÃO")+('GESTAO OPERACAO'!$S$2:$S$632="PENDENTE")&gt;0))</f>
        <v>0</v>
      </c>
      <c r="D97" s="187" cm="1">
        <f t="array" ref="D97">(($E$4="Todos")+($E$4="Março")&gt;0)*SUMPRODUCT(ISNUMBER(SEARCH("/ MAR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7" s="196">
        <f t="shared" si="0"/>
        <v>0</v>
      </c>
      <c r="F97" s="199"/>
      <c r="G97" s="199"/>
    </row>
    <row r="98" spans="1:8" x14ac:dyDescent="0.3">
      <c r="A98" s="198"/>
      <c r="B98" s="180" t="s">
        <v>1118</v>
      </c>
      <c r="C98" s="186" cm="1">
        <f t="array" ref="C98">(($E$4="Todos")+($E$4="Abril")&gt;0)*SUMPRODUCT(ISNUMBER(SEARCH("/ ABR /",'GESTAO OPERACAO'!$AA$2:$AA$632))*(($C$4="Todos")+(IFERROR(VALUE(RIGHT('GESTAO OPERACAO'!$AA$2:$AA$632,4)),0)=$C$4)&gt;0)*(('GESTAO OPERACAO'!$S$2:$S$632="EM PRODUÇÃO")+('GESTAO OPERACAO'!$S$2:$S$632="PENDENTE")&gt;0))</f>
        <v>0</v>
      </c>
      <c r="D98" s="187" cm="1">
        <f t="array" ref="D98">(($E$4="Todos")+($E$4="Abril")&gt;0)*SUMPRODUCT(ISNUMBER(SEARCH("/ ABR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8" s="196">
        <f t="shared" si="0"/>
        <v>0</v>
      </c>
      <c r="F98" s="199"/>
      <c r="G98" s="199"/>
    </row>
    <row r="99" spans="1:8" x14ac:dyDescent="0.3">
      <c r="A99" s="198"/>
      <c r="B99" s="180" t="s">
        <v>1119</v>
      </c>
      <c r="C99" s="186" cm="1">
        <f t="array" ref="C99">(($E$4="Todos")+($E$4="Maio")&gt;0)*SUMPRODUCT(ISNUMBER(SEARCH("/ MAI /",'GESTAO OPERACAO'!$AA$2:$AA$632))*(($C$4="Todos")+(IFERROR(VALUE(RIGHT('GESTAO OPERACAO'!$AA$2:$AA$632,4)),0)=$C$4)&gt;0)*(('GESTAO OPERACAO'!$S$2:$S$632="EM PRODUÇÃO")+('GESTAO OPERACAO'!$S$2:$S$632="PENDENTE")&gt;0))</f>
        <v>0</v>
      </c>
      <c r="D99" s="187" cm="1">
        <f t="array" ref="D99">(($E$4="Todos")+($E$4="Maio")&gt;0)*SUMPRODUCT(ISNUMBER(SEARCH("/ MAI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9" s="196">
        <f t="shared" si="0"/>
        <v>0</v>
      </c>
      <c r="F99" s="199"/>
      <c r="G99" s="199"/>
    </row>
    <row r="100" spans="1:8" x14ac:dyDescent="0.3">
      <c r="A100" s="198"/>
      <c r="B100" s="180" t="s">
        <v>1120</v>
      </c>
      <c r="C100" s="186" cm="1">
        <f t="array" ref="C100">(($E$4="Todos")+($E$4="Junho")&gt;0)*SUMPRODUCT(ISNUMBER(SEARCH("/ JUN /",'GESTAO OPERACAO'!$AA$2:$AA$632))*(($C$4="Todos")+(IFERROR(VALUE(RIGHT('GESTAO OPERACAO'!$AA$2:$AA$632,4)),0)=$C$4)&gt;0)*(('GESTAO OPERACAO'!$S$2:$S$632="EM PRODUÇÃO")+('GESTAO OPERACAO'!$S$2:$S$632="PENDENTE")&gt;0))</f>
        <v>0</v>
      </c>
      <c r="D100" s="187" cm="1">
        <f t="array" ref="D100">(($E$4="Todos")+($E$4="Junho")&gt;0)*SUMPRODUCT(ISNUMBER(SEARCH("/ JUN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100" s="196">
        <f t="shared" si="0"/>
        <v>0</v>
      </c>
      <c r="F100" s="199"/>
      <c r="G100" s="199"/>
    </row>
    <row r="101" spans="1:8" x14ac:dyDescent="0.3">
      <c r="A101" s="198"/>
      <c r="B101" s="180" t="s">
        <v>1121</v>
      </c>
      <c r="C101" s="186" cm="1">
        <f t="array" ref="C101">(($E$4="Todos")+($E$4="Julho")&gt;0)*SUMPRODUCT(ISNUMBER(SEARCH("/ JUL /",'GESTAO OPERACAO'!$AA$2:$AA$632))*(($C$4="Todos")+(IFERROR(VALUE(RIGHT('GESTAO OPERACAO'!$AA$2:$AA$632,4)),0)=$C$4)&gt;0)*(('GESTAO OPERACAO'!$S$2:$S$632="EM PRODUÇÃO")+('GESTAO OPERACAO'!$S$2:$S$632="PENDENTE")&gt;0))</f>
        <v>0</v>
      </c>
      <c r="D101" s="187" cm="1">
        <f t="array" ref="D101">(($E$4="Todos")+($E$4="Julho")&gt;0)*SUMPRODUCT(ISNUMBER(SEARCH("/ JUL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101" s="196">
        <f t="shared" si="0"/>
        <v>0</v>
      </c>
      <c r="F101" s="199"/>
      <c r="G101" s="199"/>
    </row>
    <row r="102" spans="1:8" x14ac:dyDescent="0.3">
      <c r="A102" s="198"/>
      <c r="B102" s="180" t="s">
        <v>1122</v>
      </c>
      <c r="C102" s="186" cm="1">
        <f t="array" ref="C102">(($E$4="Todos")+($E$4="Agosto")&gt;0)*SUMPRODUCT(ISNUMBER(SEARCH("/ AGO /",'GESTAO OPERACAO'!$AA$2:$AA$632))*(($C$4="Todos")+(IFERROR(VALUE(RIGHT('GESTAO OPERACAO'!$AA$2:$AA$632,4)),0)=$C$4)&gt;0)*(('GESTAO OPERACAO'!$S$2:$S$632="EM PRODUÇÃO")+('GESTAO OPERACAO'!$S$2:$S$632="PENDENTE")&gt;0))</f>
        <v>12</v>
      </c>
      <c r="D102" s="187" cm="1">
        <f t="array" ref="D102">(($E$4="Todos")+($E$4="Agosto")&gt;0)*SUMPRODUCT(ISNUMBER(SEARCH("/ AGO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369841.20999999996</v>
      </c>
      <c r="E102" s="196">
        <f t="shared" si="0"/>
        <v>0.52173913043478259</v>
      </c>
      <c r="F102" s="199"/>
      <c r="G102" s="199"/>
    </row>
    <row r="103" spans="1:8" x14ac:dyDescent="0.3">
      <c r="A103" s="198"/>
      <c r="B103" s="180" t="s">
        <v>1123</v>
      </c>
      <c r="C103" s="186" cm="1">
        <f t="array" ref="C103">(($E$4="Todos")+($E$4="Setembro")&gt;0)*SUMPRODUCT(ISNUMBER(SEARCH("/ SET /",'GESTAO OPERACAO'!$AA$2:$AA$632))*(($C$4="Todos")+(IFERROR(VALUE(RIGHT('GESTAO OPERACAO'!$AA$2:$AA$632,4)),0)=$C$4)&gt;0)*(('GESTAO OPERACAO'!$S$2:$S$632="EM PRODUÇÃO")+('GESTAO OPERACAO'!$S$2:$S$632="PENDENTE")&gt;0))</f>
        <v>9</v>
      </c>
      <c r="D103" s="187" cm="1">
        <f t="array" ref="D103">(($E$4="Todos")+($E$4="Setembro")&gt;0)*SUMPRODUCT(ISNUMBER(SEARCH("/ SET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377765.33</v>
      </c>
      <c r="E103" s="196">
        <f t="shared" si="0"/>
        <v>0.39130434782608697</v>
      </c>
      <c r="F103" s="199"/>
      <c r="G103" s="199"/>
    </row>
    <row r="104" spans="1:8" x14ac:dyDescent="0.3">
      <c r="A104" s="198"/>
      <c r="B104" s="180" t="s">
        <v>1124</v>
      </c>
      <c r="C104" s="186" cm="1">
        <f t="array" ref="C104">(($E$4="Todos")+($E$4="Outubro")&gt;0)*SUMPRODUCT(ISNUMBER(SEARCH("/ OUT /",'GESTAO OPERACAO'!$AA$2:$AA$632))*(($C$4="Todos")+(IFERROR(VALUE(RIGHT('GESTAO OPERACAO'!$AA$2:$AA$632,4)),0)=$C$4)&gt;0)*(('GESTAO OPERACAO'!$S$2:$S$632="EM PRODUÇÃO")+('GESTAO OPERACAO'!$S$2:$S$632="PENDENTE")&gt;0))</f>
        <v>0</v>
      </c>
      <c r="D104" s="187" cm="1">
        <f t="array" ref="D104">(($E$4="Todos")+($E$4="Outubro")&gt;0)*SUMPRODUCT(ISNUMBER(SEARCH("/ OUT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104" s="196">
        <f t="shared" si="0"/>
        <v>0</v>
      </c>
      <c r="F104" s="199"/>
      <c r="G104" s="199"/>
    </row>
    <row r="105" spans="1:8" x14ac:dyDescent="0.3">
      <c r="A105" s="198"/>
      <c r="B105" s="180" t="s">
        <v>1125</v>
      </c>
      <c r="C105" s="186" cm="1">
        <f t="array" ref="C105">(($E$4="Todos")+($E$4="Novembro")&gt;0)*SUMPRODUCT(ISNUMBER(SEARCH("/ NOV /",'GESTAO OPERACAO'!$AA$2:$AA$632))*(($C$4="Todos")+(IFERROR(VALUE(RIGHT('GESTAO OPERACAO'!$AA$2:$AA$632,4)),0)=$C$4)&gt;0)*(('GESTAO OPERACAO'!$S$2:$S$632="EM PRODUÇÃO")+('GESTAO OPERACAO'!$S$2:$S$632="PENDENTE")&gt;0))</f>
        <v>1</v>
      </c>
      <c r="D105" s="187" cm="1">
        <f t="array" ref="D105">(($E$4="Todos")+($E$4="Novembro")&gt;0)*SUMPRODUCT(ISNUMBER(SEARCH("/ NOV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182457.35</v>
      </c>
      <c r="E105" s="196">
        <f t="shared" si="0"/>
        <v>4.3478260869565216E-2</v>
      </c>
      <c r="F105" s="199"/>
      <c r="G105" s="199"/>
    </row>
    <row r="106" spans="1:8" x14ac:dyDescent="0.3">
      <c r="A106" s="198"/>
      <c r="B106" s="180" t="s">
        <v>1126</v>
      </c>
      <c r="C106" s="186" cm="1">
        <f t="array" ref="C106">(($E$4="Todos")+($E$4="Dezembro")&gt;0)*SUMPRODUCT(ISNUMBER(SEARCH("/ DEZ /",'GESTAO OPERACAO'!$AA$2:$AA$632))*(($C$4="Todos")+(IFERROR(VALUE(RIGHT('GESTAO OPERACAO'!$AA$2:$AA$632,4)),0)=$C$4)&gt;0)*(('GESTAO OPERACAO'!$S$2:$S$632="EM PRODUÇÃO")+('GESTAO OPERACAO'!$S$2:$S$632="PENDENTE")&gt;0))</f>
        <v>1</v>
      </c>
      <c r="D106" s="187" cm="1">
        <f t="array" ref="D106">(($E$4="Todos")+($E$4="Dezembro")&gt;0)*SUMPRODUCT(ISNUMBER(SEARCH("/ DEZ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4543190.08</v>
      </c>
      <c r="E106" s="196">
        <f t="shared" si="0"/>
        <v>4.3478260869565216E-2</v>
      </c>
      <c r="F106" s="199"/>
      <c r="G106" s="199"/>
    </row>
    <row r="107" spans="1:8" x14ac:dyDescent="0.3">
      <c r="A107" s="198"/>
      <c r="B107" s="218" t="s">
        <v>1196</v>
      </c>
      <c r="C107" s="219">
        <f>SUM(C95:C106)</f>
        <v>23</v>
      </c>
      <c r="D107" s="220">
        <f>SUM(D95:D106)</f>
        <v>5473253.9699999997</v>
      </c>
      <c r="E107" s="221">
        <f t="shared" si="0"/>
        <v>1</v>
      </c>
      <c r="F107" s="199"/>
      <c r="G107" s="199"/>
    </row>
    <row r="108" spans="1:8" x14ac:dyDescent="0.3">
      <c r="B108" s="200"/>
      <c r="C108" s="200"/>
      <c r="D108" s="200"/>
      <c r="E108" s="200"/>
    </row>
    <row r="109" spans="1:8" ht="15.6" x14ac:dyDescent="0.3">
      <c r="B109" s="436" t="s">
        <v>1201</v>
      </c>
      <c r="C109" s="437"/>
      <c r="D109" s="437"/>
      <c r="E109" s="437"/>
      <c r="F109" s="438"/>
      <c r="G109" s="255"/>
    </row>
    <row r="110" spans="1:8" x14ac:dyDescent="0.3">
      <c r="A110" s="198"/>
      <c r="B110" s="216" t="s">
        <v>1111</v>
      </c>
      <c r="C110" s="216" t="s">
        <v>1129</v>
      </c>
      <c r="D110" s="216" t="s">
        <v>1130</v>
      </c>
      <c r="E110" s="216" t="s">
        <v>1198</v>
      </c>
      <c r="F110" s="216" t="s">
        <v>1199</v>
      </c>
      <c r="G110" s="288"/>
      <c r="H110" s="199"/>
    </row>
    <row r="111" spans="1:8" hidden="1" x14ac:dyDescent="0.3">
      <c r="A111" s="198"/>
      <c r="B111" s="180" t="s">
        <v>1115</v>
      </c>
      <c r="C111" s="192" t="s">
        <v>1131</v>
      </c>
      <c r="D111" s="192" t="str">
        <f>IF(((DATE(IF($C$4="Todos",2026,$C$4),1,1)+MOD(8-WEEKDAY(DATE(IF($C$4="Todos",2026,$C$4),1,1),2),7))+(1-1)*7)&gt;EOMONTH(DATE(IF($C$4="Todos",2026,$C$4),1,1),0),"",TEXT(((DATE(IF($C$4="Todos",2026,$C$4),1,1)+MOD(8-WEEKDAY(DATE(IF($C$4="Todos",2026,$C$4),1,1),2),7))+(1-1)*7),"dd/mm")&amp;" - "&amp;TEXT(MIN((((DATE(IF($C$4="Todos",2026,$C$4),1,1)+MOD(8-WEEKDAY(DATE(IF($C$4="Todos",2026,$C$4),1,1),2),7))+(1-1)*7)+6),EOMONTH(DATE(IF($C$4="Todos",2026,$C$4),1,1),0)),"dd/mm"))</f>
        <v>05/01 - 11/01</v>
      </c>
      <c r="E111" s="186" cm="1">
        <f t="array" ref="E111">(($E$4="Todos")+($E$4="Janeiro")&gt;0)*SUMPRODUCT(('GESTAO OPERACAO'!$AA$2:$AA$632="SEMANA 01 / JAN / "&amp;IF($C$4="Todos","",$C$4))*(('GESTAO OPERACAO'!$S$2:$S$632="EM PRODUÇÃO")+('GESTAO OPERACAO'!$S$2:$S$632="PENDENTE")&gt;0))</f>
        <v>0</v>
      </c>
      <c r="F111" s="187" cm="1">
        <f t="array" ref="F111">(($E$4="Todos")+($E$4="Janeiro")&gt;0)*SUMPRODUCT(('GESTAO OPERACAO'!$AA$2:$AA$632="SEMANA 01 / JAN / "&amp;IF($C$4="Todos","",$C$4))*(('GESTAO OPERACAO'!$S$2:$S$632="EM PRODUÇÃO")+('GESTAO OPERACAO'!$S$2:$S$632="PENDENTE")&gt;0)*IFERROR('GESTAO OPERACAO'!$P$2:$P$632*1,0))</f>
        <v>0</v>
      </c>
      <c r="G111" s="289"/>
      <c r="H111" s="199"/>
    </row>
    <row r="112" spans="1:8" hidden="1" x14ac:dyDescent="0.3">
      <c r="A112" s="198"/>
      <c r="B112" s="180" t="s">
        <v>1115</v>
      </c>
      <c r="C112" s="192" t="s">
        <v>1132</v>
      </c>
      <c r="D112" s="192" t="str">
        <f>IF(((DATE(IF($C$4="Todos",2026,$C$4),1,1)+MOD(8-WEEKDAY(DATE(IF($C$4="Todos",2026,$C$4),1,1),2),7))+(2-1)*7)&gt;EOMONTH(DATE(IF($C$4="Todos",2026,$C$4),1,1),0),"",TEXT(((DATE(IF($C$4="Todos",2026,$C$4),1,1)+MOD(8-WEEKDAY(DATE(IF($C$4="Todos",2026,$C$4),1,1),2),7))+(2-1)*7),"dd/mm")&amp;" - "&amp;TEXT(MIN((((DATE(IF($C$4="Todos",2026,$C$4),1,1)+MOD(8-WEEKDAY(DATE(IF($C$4="Todos",2026,$C$4),1,1),2),7))+(2-1)*7)+6),EOMONTH(DATE(IF($C$4="Todos",2026,$C$4),1,1),0)),"dd/mm"))</f>
        <v>12/01 - 18/01</v>
      </c>
      <c r="E112" s="186" cm="1">
        <f t="array" ref="E112">(($E$4="Todos")+($E$4="Janeiro")&gt;0)*SUMPRODUCT(('GESTAO OPERACAO'!$AA$2:$AA$632="SEMANA 02 / JAN / "&amp;IF($C$4="Todos","",$C$4))*(('GESTAO OPERACAO'!$S$2:$S$632="EM PRODUÇÃO")+('GESTAO OPERACAO'!$S$2:$S$632="PENDENTE")&gt;0))</f>
        <v>0</v>
      </c>
      <c r="F112" s="187" cm="1">
        <f t="array" ref="F112">(($E$4="Todos")+($E$4="Janeiro")&gt;0)*SUMPRODUCT(('GESTAO OPERACAO'!$AA$2:$AA$632="SEMANA 02 / JAN / "&amp;IF($C$4="Todos","",$C$4))*(('GESTAO OPERACAO'!$S$2:$S$632="EM PRODUÇÃO")+('GESTAO OPERACAO'!$S$2:$S$632="PENDENTE")&gt;0)*IFERROR('GESTAO OPERACAO'!$P$2:$P$632*1,0))</f>
        <v>0</v>
      </c>
      <c r="G112" s="289"/>
      <c r="H112" s="199"/>
    </row>
    <row r="113" spans="1:8" hidden="1" x14ac:dyDescent="0.3">
      <c r="A113" s="198"/>
      <c r="B113" s="180" t="s">
        <v>1115</v>
      </c>
      <c r="C113" s="192" t="s">
        <v>1133</v>
      </c>
      <c r="D113" s="192" t="str">
        <f>IF(((DATE(IF($C$4="Todos",2026,$C$4),1,1)+MOD(8-WEEKDAY(DATE(IF($C$4="Todos",2026,$C$4),1,1),2),7))+(3-1)*7)&gt;EOMONTH(DATE(IF($C$4="Todos",2026,$C$4),1,1),0),"",TEXT(((DATE(IF($C$4="Todos",2026,$C$4),1,1)+MOD(8-WEEKDAY(DATE(IF($C$4="Todos",2026,$C$4),1,1),2),7))+(3-1)*7),"dd/mm")&amp;" - "&amp;TEXT(MIN((((DATE(IF($C$4="Todos",2026,$C$4),1,1)+MOD(8-WEEKDAY(DATE(IF($C$4="Todos",2026,$C$4),1,1),2),7))+(3-1)*7)+6),EOMONTH(DATE(IF($C$4="Todos",2026,$C$4),1,1),0)),"dd/mm"))</f>
        <v>19/01 - 25/01</v>
      </c>
      <c r="E113" s="186" cm="1">
        <f t="array" ref="E113">(($E$4="Todos")+($E$4="Janeiro")&gt;0)*SUMPRODUCT(('GESTAO OPERACAO'!$AA$2:$AA$632="SEMANA 03 / JAN / "&amp;IF($C$4="Todos","",$C$4))*(('GESTAO OPERACAO'!$S$2:$S$632="EM PRODUÇÃO")+('GESTAO OPERACAO'!$S$2:$S$632="PENDENTE")&gt;0))</f>
        <v>0</v>
      </c>
      <c r="F113" s="187" cm="1">
        <f t="array" ref="F113">(($E$4="Todos")+($E$4="Janeiro")&gt;0)*SUMPRODUCT(('GESTAO OPERACAO'!$AA$2:$AA$632="SEMANA 03 / JAN / "&amp;IF($C$4="Todos","",$C$4))*(('GESTAO OPERACAO'!$S$2:$S$632="EM PRODUÇÃO")+('GESTAO OPERACAO'!$S$2:$S$632="PENDENTE")&gt;0)*IFERROR('GESTAO OPERACAO'!$P$2:$P$632*1,0))</f>
        <v>0</v>
      </c>
      <c r="G113" s="289"/>
      <c r="H113" s="199"/>
    </row>
    <row r="114" spans="1:8" hidden="1" x14ac:dyDescent="0.3">
      <c r="A114" s="198"/>
      <c r="B114" s="180" t="s">
        <v>1115</v>
      </c>
      <c r="C114" s="192" t="s">
        <v>1134</v>
      </c>
      <c r="D114" s="192" t="str">
        <f>IF(((DATE(IF($C$4="Todos",2026,$C$4),1,1)+MOD(8-WEEKDAY(DATE(IF($C$4="Todos",2026,$C$4),1,1),2),7))+(4-1)*7)&gt;EOMONTH(DATE(IF($C$4="Todos",2026,$C$4),1,1),0),"",TEXT(((DATE(IF($C$4="Todos",2026,$C$4),1,1)+MOD(8-WEEKDAY(DATE(IF($C$4="Todos",2026,$C$4),1,1),2),7))+(4-1)*7),"dd/mm")&amp;" - "&amp;TEXT(MIN((((DATE(IF($C$4="Todos",2026,$C$4),1,1)+MOD(8-WEEKDAY(DATE(IF($C$4="Todos",2026,$C$4),1,1),2),7))+(4-1)*7)+6),EOMONTH(DATE(IF($C$4="Todos",2026,$C$4),1,1),0)),"dd/mm"))</f>
        <v>26/01 - 31/01</v>
      </c>
      <c r="E114" s="186" cm="1">
        <f t="array" ref="E114">(($E$4="Todos")+($E$4="Janeiro")&gt;0)*SUMPRODUCT(('GESTAO OPERACAO'!$AA$2:$AA$632="SEMANA 04 / JAN / "&amp;IF($C$4="Todos","",$C$4))*(('GESTAO OPERACAO'!$S$2:$S$632="EM PRODUÇÃO")+('GESTAO OPERACAO'!$S$2:$S$632="PENDENTE")&gt;0))</f>
        <v>0</v>
      </c>
      <c r="F114" s="187" cm="1">
        <f t="array" ref="F114">(($E$4="Todos")+($E$4="Janeiro")&gt;0)*SUMPRODUCT(('GESTAO OPERACAO'!$AA$2:$AA$632="SEMANA 04 / JAN / "&amp;IF($C$4="Todos","",$C$4))*(('GESTAO OPERACAO'!$S$2:$S$632="EM PRODUÇÃO")+('GESTAO OPERACAO'!$S$2:$S$632="PENDENTE")&gt;0)*IFERROR('GESTAO OPERACAO'!$P$2:$P$632*1,0))</f>
        <v>0</v>
      </c>
      <c r="G114" s="289"/>
      <c r="H114" s="199"/>
    </row>
    <row r="115" spans="1:8" hidden="1" x14ac:dyDescent="0.3">
      <c r="A115" s="198"/>
      <c r="B115" s="180" t="s">
        <v>1115</v>
      </c>
      <c r="C115" s="192" t="s">
        <v>1135</v>
      </c>
      <c r="D115" s="192" t="str">
        <f>IF(((DATE(IF($C$4="Todos",2026,$C$4),1,1)+MOD(8-WEEKDAY(DATE(IF($C$4="Todos",2026,$C$4),1,1),2),7))+(5-1)*7)&gt;EOMONTH(DATE(IF($C$4="Todos",2026,$C$4),1,1),0),"",TEXT(((DATE(IF($C$4="Todos",2026,$C$4),1,1)+MOD(8-WEEKDAY(DATE(IF($C$4="Todos",2026,$C$4),1,1),2),7))+(5-1)*7),"dd/mm")&amp;" - "&amp;TEXT(MIN((((DATE(IF($C$4="Todos",2026,$C$4),1,1)+MOD(8-WEEKDAY(DATE(IF($C$4="Todos",2026,$C$4),1,1),2),7))+(5-1)*7)+6),EOMONTH(DATE(IF($C$4="Todos",2026,$C$4),1,1),0)),"dd/mm"))</f>
        <v/>
      </c>
      <c r="E115" s="186" cm="1">
        <f t="array" ref="E115">(($E$4="Todos")+($E$4="Janeiro")&gt;0)*SUMPRODUCT(('GESTAO OPERACAO'!$AA$2:$AA$632="SEMANA 05 / JAN / "&amp;IF($C$4="Todos","",$C$4))*(('GESTAO OPERACAO'!$S$2:$S$632="EM PRODUÇÃO")+('GESTAO OPERACAO'!$S$2:$S$632="PENDENTE")&gt;0))</f>
        <v>0</v>
      </c>
      <c r="F115" s="187" cm="1">
        <f t="array" ref="F115">(($E$4="Todos")+($E$4="Janeiro")&gt;0)*SUMPRODUCT(('GESTAO OPERACAO'!$AA$2:$AA$632="SEMANA 05 / JAN / "&amp;IF($C$4="Todos","",$C$4))*(('GESTAO OPERACAO'!$S$2:$S$632="EM PRODUÇÃO")+('GESTAO OPERACAO'!$S$2:$S$632="PENDENTE")&gt;0)*IFERROR('GESTAO OPERACAO'!$P$2:$P$632*1,0))</f>
        <v>0</v>
      </c>
      <c r="G115" s="289"/>
      <c r="H115" s="199"/>
    </row>
    <row r="116" spans="1:8" hidden="1" x14ac:dyDescent="0.3">
      <c r="A116" s="198"/>
      <c r="B116" s="214" t="s">
        <v>1136</v>
      </c>
      <c r="C116" s="434"/>
      <c r="D116" s="434"/>
      <c r="E116" s="225">
        <f>SUM(E111:E115)</f>
        <v>0</v>
      </c>
      <c r="F116" s="226">
        <f>SUM(F111:F115)</f>
        <v>0</v>
      </c>
      <c r="G116" s="290"/>
      <c r="H116" s="199"/>
    </row>
    <row r="117" spans="1:8" hidden="1" x14ac:dyDescent="0.3">
      <c r="A117" s="198"/>
      <c r="B117" s="180" t="s">
        <v>1116</v>
      </c>
      <c r="C117" s="192" t="s">
        <v>1131</v>
      </c>
      <c r="D117" s="192" t="str">
        <f>IF(((DATE(IF($C$4="Todos",2026,$C$4),2,1)+MOD(8-WEEKDAY(DATE(IF($C$4="Todos",2026,$C$4),2,1),2),7))+(1-1)*7)&gt;EOMONTH(DATE(IF($C$4="Todos",2026,$C$4),2,1),0),"",TEXT(((DATE(IF($C$4="Todos",2026,$C$4),2,1)+MOD(8-WEEKDAY(DATE(IF($C$4="Todos",2026,$C$4),2,1),2),7))+(1-1)*7),"dd/mm")&amp;" - "&amp;TEXT(MIN((((DATE(IF($C$4="Todos",2026,$C$4),2,1)+MOD(8-WEEKDAY(DATE(IF($C$4="Todos",2026,$C$4),2,1),2),7))+(1-1)*7)+6),EOMONTH(DATE(IF($C$4="Todos",2026,$C$4),2,1),0)),"dd/mm"))</f>
        <v>02/02 - 08/02</v>
      </c>
      <c r="E117" s="186" cm="1">
        <f t="array" ref="E117">(($E$4="Todos")+($E$4="Fevereiro")&gt;0)*SUMPRODUCT(('GESTAO OPERACAO'!$AA$2:$AA$632="SEMANA 01 / FEV / "&amp;IF($C$4="Todos","",$C$4))*(('GESTAO OPERACAO'!$S$2:$S$632="EM PRODUÇÃO")+('GESTAO OPERACAO'!$S$2:$S$632="PENDENTE")&gt;0))</f>
        <v>0</v>
      </c>
      <c r="F117" s="187" cm="1">
        <f t="array" ref="F117">(($E$4="Todos")+($E$4="Fevereiro")&gt;0)*SUMPRODUCT(('GESTAO OPERACAO'!$AA$2:$AA$632="SEMANA 01 / FEV / "&amp;IF($C$4="Todos","",$C$4))*(('GESTAO OPERACAO'!$S$2:$S$632="EM PRODUÇÃO")+('GESTAO OPERACAO'!$S$2:$S$632="PENDENTE")&gt;0)*IFERROR('GESTAO OPERACAO'!$P$2:$P$632*1,0))</f>
        <v>0</v>
      </c>
      <c r="G117" s="289"/>
      <c r="H117" s="199"/>
    </row>
    <row r="118" spans="1:8" hidden="1" x14ac:dyDescent="0.3">
      <c r="A118" s="198"/>
      <c r="B118" s="180" t="s">
        <v>1116</v>
      </c>
      <c r="C118" s="192" t="s">
        <v>1132</v>
      </c>
      <c r="D118" s="192" t="str">
        <f>IF(((DATE(IF($C$4="Todos",2026,$C$4),2,1)+MOD(8-WEEKDAY(DATE(IF($C$4="Todos",2026,$C$4),2,1),2),7))+(2-1)*7)&gt;EOMONTH(DATE(IF($C$4="Todos",2026,$C$4),2,1),0),"",TEXT(((DATE(IF($C$4="Todos",2026,$C$4),2,1)+MOD(8-WEEKDAY(DATE(IF($C$4="Todos",2026,$C$4),2,1),2),7))+(2-1)*7),"dd/mm")&amp;" - "&amp;TEXT(MIN((((DATE(IF($C$4="Todos",2026,$C$4),2,1)+MOD(8-WEEKDAY(DATE(IF($C$4="Todos",2026,$C$4),2,1),2),7))+(2-1)*7)+6),EOMONTH(DATE(IF($C$4="Todos",2026,$C$4),2,1),0)),"dd/mm"))</f>
        <v>09/02 - 15/02</v>
      </c>
      <c r="E118" s="186" cm="1">
        <f t="array" ref="E118">(($E$4="Todos")+($E$4="Fevereiro")&gt;0)*SUMPRODUCT(('GESTAO OPERACAO'!$AA$2:$AA$632="SEMANA 02 / FEV / "&amp;IF($C$4="Todos","",$C$4))*(('GESTAO OPERACAO'!$S$2:$S$632="EM PRODUÇÃO")+('GESTAO OPERACAO'!$S$2:$S$632="PENDENTE")&gt;0))</f>
        <v>0</v>
      </c>
      <c r="F118" s="187" cm="1">
        <f t="array" ref="F118">(($E$4="Todos")+($E$4="Fevereiro")&gt;0)*SUMPRODUCT(('GESTAO OPERACAO'!$AA$2:$AA$632="SEMANA 02 / FEV / "&amp;IF($C$4="Todos","",$C$4))*(('GESTAO OPERACAO'!$S$2:$S$632="EM PRODUÇÃO")+('GESTAO OPERACAO'!$S$2:$S$632="PENDENTE")&gt;0)*IFERROR('GESTAO OPERACAO'!$P$2:$P$632*1,0))</f>
        <v>0</v>
      </c>
      <c r="G118" s="289"/>
      <c r="H118" s="199"/>
    </row>
    <row r="119" spans="1:8" hidden="1" x14ac:dyDescent="0.3">
      <c r="A119" s="198"/>
      <c r="B119" s="180" t="s">
        <v>1116</v>
      </c>
      <c r="C119" s="192" t="s">
        <v>1133</v>
      </c>
      <c r="D119" s="192" t="str">
        <f>IF(((DATE(IF($C$4="Todos",2026,$C$4),2,1)+MOD(8-WEEKDAY(DATE(IF($C$4="Todos",2026,$C$4),2,1),2),7))+(3-1)*7)&gt;EOMONTH(DATE(IF($C$4="Todos",2026,$C$4),2,1),0),"",TEXT(((DATE(IF($C$4="Todos",2026,$C$4),2,1)+MOD(8-WEEKDAY(DATE(IF($C$4="Todos",2026,$C$4),2,1),2),7))+(3-1)*7),"dd/mm")&amp;" - "&amp;TEXT(MIN((((DATE(IF($C$4="Todos",2026,$C$4),2,1)+MOD(8-WEEKDAY(DATE(IF($C$4="Todos",2026,$C$4),2,1),2),7))+(3-1)*7)+6),EOMONTH(DATE(IF($C$4="Todos",2026,$C$4),2,1),0)),"dd/mm"))</f>
        <v>16/02 - 22/02</v>
      </c>
      <c r="E119" s="186" cm="1">
        <f t="array" ref="E119">(($E$4="Todos")+($E$4="Fevereiro")&gt;0)*SUMPRODUCT(('GESTAO OPERACAO'!$AA$2:$AA$632="SEMANA 03 / FEV / "&amp;IF($C$4="Todos","",$C$4))*(('GESTAO OPERACAO'!$S$2:$S$632="EM PRODUÇÃO")+('GESTAO OPERACAO'!$S$2:$S$632="PENDENTE")&gt;0))</f>
        <v>0</v>
      </c>
      <c r="F119" s="187" cm="1">
        <f t="array" ref="F119">(($E$4="Todos")+($E$4="Fevereiro")&gt;0)*SUMPRODUCT(('GESTAO OPERACAO'!$AA$2:$AA$632="SEMANA 03 / FEV / "&amp;IF($C$4="Todos","",$C$4))*(('GESTAO OPERACAO'!$S$2:$S$632="EM PRODUÇÃO")+('GESTAO OPERACAO'!$S$2:$S$632="PENDENTE")&gt;0)*IFERROR('GESTAO OPERACAO'!$P$2:$P$632*1,0))</f>
        <v>0</v>
      </c>
      <c r="G119" s="289"/>
      <c r="H119" s="199"/>
    </row>
    <row r="120" spans="1:8" hidden="1" x14ac:dyDescent="0.3">
      <c r="A120" s="198"/>
      <c r="B120" s="180" t="s">
        <v>1116</v>
      </c>
      <c r="C120" s="192" t="s">
        <v>1134</v>
      </c>
      <c r="D120" s="192" t="str">
        <f>IF(((DATE(IF($C$4="Todos",2026,$C$4),2,1)+MOD(8-WEEKDAY(DATE(IF($C$4="Todos",2026,$C$4),2,1),2),7))+(4-1)*7)&gt;EOMONTH(DATE(IF($C$4="Todos",2026,$C$4),2,1),0),"",TEXT(((DATE(IF($C$4="Todos",2026,$C$4),2,1)+MOD(8-WEEKDAY(DATE(IF($C$4="Todos",2026,$C$4),2,1),2),7))+(4-1)*7),"dd/mm")&amp;" - "&amp;TEXT(MIN((((DATE(IF($C$4="Todos",2026,$C$4),2,1)+MOD(8-WEEKDAY(DATE(IF($C$4="Todos",2026,$C$4),2,1),2),7))+(4-1)*7)+6),EOMONTH(DATE(IF($C$4="Todos",2026,$C$4),2,1),0)),"dd/mm"))</f>
        <v>23/02 - 28/02</v>
      </c>
      <c r="E120" s="186" cm="1">
        <f t="array" ref="E120">(($E$4="Todos")+($E$4="Fevereiro")&gt;0)*SUMPRODUCT(('GESTAO OPERACAO'!$AA$2:$AA$632="SEMANA 04 / FEV / "&amp;IF($C$4="Todos","",$C$4))*(('GESTAO OPERACAO'!$S$2:$S$632="EM PRODUÇÃO")+('GESTAO OPERACAO'!$S$2:$S$632="PENDENTE")&gt;0))</f>
        <v>0</v>
      </c>
      <c r="F120" s="187" cm="1">
        <f t="array" ref="F120">(($E$4="Todos")+($E$4="Fevereiro")&gt;0)*SUMPRODUCT(('GESTAO OPERACAO'!$AA$2:$AA$632="SEMANA 04 / FEV / "&amp;IF($C$4="Todos","",$C$4))*(('GESTAO OPERACAO'!$S$2:$S$632="EM PRODUÇÃO")+('GESTAO OPERACAO'!$S$2:$S$632="PENDENTE")&gt;0)*IFERROR('GESTAO OPERACAO'!$P$2:$P$632*1,0))</f>
        <v>0</v>
      </c>
      <c r="G120" s="289"/>
      <c r="H120" s="199"/>
    </row>
    <row r="121" spans="1:8" hidden="1" x14ac:dyDescent="0.3">
      <c r="A121" s="198"/>
      <c r="B121" s="180" t="s">
        <v>1116</v>
      </c>
      <c r="C121" s="192" t="s">
        <v>1135</v>
      </c>
      <c r="D121" s="192" t="str">
        <f>IF(((DATE(IF($C$4="Todos",2026,$C$4),2,1)+MOD(8-WEEKDAY(DATE(IF($C$4="Todos",2026,$C$4),2,1),2),7))+(5-1)*7)&gt;EOMONTH(DATE(IF($C$4="Todos",2026,$C$4),2,1),0),"",TEXT(((DATE(IF($C$4="Todos",2026,$C$4),2,1)+MOD(8-WEEKDAY(DATE(IF($C$4="Todos",2026,$C$4),2,1),2),7))+(5-1)*7),"dd/mm")&amp;" - "&amp;TEXT(MIN((((DATE(IF($C$4="Todos",2026,$C$4),2,1)+MOD(8-WEEKDAY(DATE(IF($C$4="Todos",2026,$C$4),2,1),2),7))+(5-1)*7)+6),EOMONTH(DATE(IF($C$4="Todos",2026,$C$4),2,1),0)),"dd/mm"))</f>
        <v/>
      </c>
      <c r="E121" s="186" cm="1">
        <f t="array" ref="E121">(($E$4="Todos")+($E$4="Fevereiro")&gt;0)*SUMPRODUCT(('GESTAO OPERACAO'!$AA$2:$AA$632="SEMANA 05 / FEV / "&amp;IF($C$4="Todos","",$C$4))*(('GESTAO OPERACAO'!$S$2:$S$632="EM PRODUÇÃO")+('GESTAO OPERACAO'!$S$2:$S$632="PENDENTE")&gt;0))</f>
        <v>0</v>
      </c>
      <c r="F121" s="187" cm="1">
        <f t="array" ref="F121">(($E$4="Todos")+($E$4="Fevereiro")&gt;0)*SUMPRODUCT(('GESTAO OPERACAO'!$AA$2:$AA$632="SEMANA 05 / FEV / "&amp;IF($C$4="Todos","",$C$4))*(('GESTAO OPERACAO'!$S$2:$S$632="EM PRODUÇÃO")+('GESTAO OPERACAO'!$S$2:$S$632="PENDENTE")&gt;0)*IFERROR('GESTAO OPERACAO'!$P$2:$P$632*1,0))</f>
        <v>0</v>
      </c>
      <c r="G121" s="289"/>
      <c r="H121" s="199"/>
    </row>
    <row r="122" spans="1:8" hidden="1" x14ac:dyDescent="0.3">
      <c r="A122" s="198"/>
      <c r="B122" s="214" t="s">
        <v>1137</v>
      </c>
      <c r="C122" s="434"/>
      <c r="D122" s="434"/>
      <c r="E122" s="225">
        <f>SUM(E117:E121)</f>
        <v>0</v>
      </c>
      <c r="F122" s="226">
        <f>SUM(F117:F121)</f>
        <v>0</v>
      </c>
      <c r="G122" s="290"/>
      <c r="H122" s="199"/>
    </row>
    <row r="123" spans="1:8" hidden="1" x14ac:dyDescent="0.3">
      <c r="A123" s="198"/>
      <c r="B123" s="180" t="s">
        <v>1117</v>
      </c>
      <c r="C123" s="192" t="s">
        <v>1131</v>
      </c>
      <c r="D123" s="192" t="str">
        <f>IF(((DATE(IF($C$4="Todos",2026,$C$4),3,1)+MOD(8-WEEKDAY(DATE(IF($C$4="Todos",2026,$C$4),3,1),2),7))+(1-1)*7)&gt;EOMONTH(DATE(IF($C$4="Todos",2026,$C$4),3,1),0),"",TEXT(((DATE(IF($C$4="Todos",2026,$C$4),3,1)+MOD(8-WEEKDAY(DATE(IF($C$4="Todos",2026,$C$4),3,1),2),7))+(1-1)*7),"dd/mm")&amp;" - "&amp;TEXT(MIN((((DATE(IF($C$4="Todos",2026,$C$4),3,1)+MOD(8-WEEKDAY(DATE(IF($C$4="Todos",2026,$C$4),3,1),2),7))+(1-1)*7)+6),EOMONTH(DATE(IF($C$4="Todos",2026,$C$4),3,1),0)),"dd/mm"))</f>
        <v>02/03 - 08/03</v>
      </c>
      <c r="E123" s="186" cm="1">
        <f t="array" ref="E123">(($E$4="Todos")+($E$4="Março")&gt;0)*SUMPRODUCT(('GESTAO OPERACAO'!$AA$2:$AA$632="SEMANA 01 / MAR / "&amp;IF($C$4="Todos","",$C$4))*(('GESTAO OPERACAO'!$S$2:$S$632="EM PRODUÇÃO")+('GESTAO OPERACAO'!$S$2:$S$632="PENDENTE")&gt;0))</f>
        <v>0</v>
      </c>
      <c r="F123" s="187" cm="1">
        <f t="array" ref="F123">(($E$4="Todos")+($E$4="Março")&gt;0)*SUMPRODUCT(('GESTAO OPERACAO'!$AA$2:$AA$632="SEMANA 01 / MAR / "&amp;IF($C$4="Todos","",$C$4))*(('GESTAO OPERACAO'!$S$2:$S$632="EM PRODUÇÃO")+('GESTAO OPERACAO'!$S$2:$S$632="PENDENTE")&gt;0)*IFERROR('GESTAO OPERACAO'!$P$2:$P$632*1,0))</f>
        <v>0</v>
      </c>
      <c r="G123" s="289"/>
      <c r="H123" s="199"/>
    </row>
    <row r="124" spans="1:8" hidden="1" x14ac:dyDescent="0.3">
      <c r="A124" s="198"/>
      <c r="B124" s="180" t="s">
        <v>1117</v>
      </c>
      <c r="C124" s="192" t="s">
        <v>1132</v>
      </c>
      <c r="D124" s="192" t="str">
        <f>IF(((DATE(IF($C$4="Todos",2026,$C$4),3,1)+MOD(8-WEEKDAY(DATE(IF($C$4="Todos",2026,$C$4),3,1),2),7))+(2-1)*7)&gt;EOMONTH(DATE(IF($C$4="Todos",2026,$C$4),3,1),0),"",TEXT(((DATE(IF($C$4="Todos",2026,$C$4),3,1)+MOD(8-WEEKDAY(DATE(IF($C$4="Todos",2026,$C$4),3,1),2),7))+(2-1)*7),"dd/mm")&amp;" - "&amp;TEXT(MIN((((DATE(IF($C$4="Todos",2026,$C$4),3,1)+MOD(8-WEEKDAY(DATE(IF($C$4="Todos",2026,$C$4),3,1),2),7))+(2-1)*7)+6),EOMONTH(DATE(IF($C$4="Todos",2026,$C$4),3,1),0)),"dd/mm"))</f>
        <v>09/03 - 15/03</v>
      </c>
      <c r="E124" s="186" cm="1">
        <f t="array" ref="E124">(($E$4="Todos")+($E$4="Março")&gt;0)*SUMPRODUCT(('GESTAO OPERACAO'!$AA$2:$AA$632="SEMANA 02 / MAR / "&amp;IF($C$4="Todos","",$C$4))*(('GESTAO OPERACAO'!$S$2:$S$632="EM PRODUÇÃO")+('GESTAO OPERACAO'!$S$2:$S$632="PENDENTE")&gt;0))</f>
        <v>0</v>
      </c>
      <c r="F124" s="187" cm="1">
        <f t="array" ref="F124">(($E$4="Todos")+($E$4="Março")&gt;0)*SUMPRODUCT(('GESTAO OPERACAO'!$AA$2:$AA$632="SEMANA 02 / MAR / "&amp;IF($C$4="Todos","",$C$4))*(('GESTAO OPERACAO'!$S$2:$S$632="EM PRODUÇÃO")+('GESTAO OPERACAO'!$S$2:$S$632="PENDENTE")&gt;0)*IFERROR('GESTAO OPERACAO'!$P$2:$P$632*1,0))</f>
        <v>0</v>
      </c>
      <c r="G124" s="289"/>
      <c r="H124" s="199"/>
    </row>
    <row r="125" spans="1:8" hidden="1" x14ac:dyDescent="0.3">
      <c r="A125" s="198"/>
      <c r="B125" s="180" t="s">
        <v>1117</v>
      </c>
      <c r="C125" s="192" t="s">
        <v>1133</v>
      </c>
      <c r="D125" s="192" t="str">
        <f>IF(((DATE(IF($C$4="Todos",2026,$C$4),3,1)+MOD(8-WEEKDAY(DATE(IF($C$4="Todos",2026,$C$4),3,1),2),7))+(3-1)*7)&gt;EOMONTH(DATE(IF($C$4="Todos",2026,$C$4),3,1),0),"",TEXT(((DATE(IF($C$4="Todos",2026,$C$4),3,1)+MOD(8-WEEKDAY(DATE(IF($C$4="Todos",2026,$C$4),3,1),2),7))+(3-1)*7),"dd/mm")&amp;" - "&amp;TEXT(MIN((((DATE(IF($C$4="Todos",2026,$C$4),3,1)+MOD(8-WEEKDAY(DATE(IF($C$4="Todos",2026,$C$4),3,1),2),7))+(3-1)*7)+6),EOMONTH(DATE(IF($C$4="Todos",2026,$C$4),3,1),0)),"dd/mm"))</f>
        <v>16/03 - 22/03</v>
      </c>
      <c r="E125" s="186" cm="1">
        <f t="array" ref="E125">(($E$4="Todos")+($E$4="Março")&gt;0)*SUMPRODUCT(('GESTAO OPERACAO'!$AA$2:$AA$632="SEMANA 03 / MAR / "&amp;IF($C$4="Todos","",$C$4))*(('GESTAO OPERACAO'!$S$2:$S$632="EM PRODUÇÃO")+('GESTAO OPERACAO'!$S$2:$S$632="PENDENTE")&gt;0))</f>
        <v>0</v>
      </c>
      <c r="F125" s="187" cm="1">
        <f t="array" ref="F125">(($E$4="Todos")+($E$4="Março")&gt;0)*SUMPRODUCT(('GESTAO OPERACAO'!$AA$2:$AA$632="SEMANA 03 / MAR / "&amp;IF($C$4="Todos","",$C$4))*(('GESTAO OPERACAO'!$S$2:$S$632="EM PRODUÇÃO")+('GESTAO OPERACAO'!$S$2:$S$632="PENDENTE")&gt;0)*IFERROR('GESTAO OPERACAO'!$P$2:$P$632*1,0))</f>
        <v>0</v>
      </c>
      <c r="G125" s="289"/>
      <c r="H125" s="199"/>
    </row>
    <row r="126" spans="1:8" hidden="1" x14ac:dyDescent="0.3">
      <c r="A126" s="198"/>
      <c r="B126" s="180" t="s">
        <v>1117</v>
      </c>
      <c r="C126" s="192" t="s">
        <v>1134</v>
      </c>
      <c r="D126" s="192" t="str">
        <f>IF(((DATE(IF($C$4="Todos",2026,$C$4),3,1)+MOD(8-WEEKDAY(DATE(IF($C$4="Todos",2026,$C$4),3,1),2),7))+(4-1)*7)&gt;EOMONTH(DATE(IF($C$4="Todos",2026,$C$4),3,1),0),"",TEXT(((DATE(IF($C$4="Todos",2026,$C$4),3,1)+MOD(8-WEEKDAY(DATE(IF($C$4="Todos",2026,$C$4),3,1),2),7))+(4-1)*7),"dd/mm")&amp;" - "&amp;TEXT(MIN((((DATE(IF($C$4="Todos",2026,$C$4),3,1)+MOD(8-WEEKDAY(DATE(IF($C$4="Todos",2026,$C$4),3,1),2),7))+(4-1)*7)+6),EOMONTH(DATE(IF($C$4="Todos",2026,$C$4),3,1),0)),"dd/mm"))</f>
        <v>23/03 - 29/03</v>
      </c>
      <c r="E126" s="186" cm="1">
        <f t="array" ref="E126">(($E$4="Todos")+($E$4="Março")&gt;0)*SUMPRODUCT(('GESTAO OPERACAO'!$AA$2:$AA$632="SEMANA 04 / MAR / "&amp;IF($C$4="Todos","",$C$4))*(('GESTAO OPERACAO'!$S$2:$S$632="EM PRODUÇÃO")+('GESTAO OPERACAO'!$S$2:$S$632="PENDENTE")&gt;0))</f>
        <v>0</v>
      </c>
      <c r="F126" s="187" cm="1">
        <f t="array" ref="F126">(($E$4="Todos")+($E$4="Março")&gt;0)*SUMPRODUCT(('GESTAO OPERACAO'!$AA$2:$AA$632="SEMANA 04 / MAR / "&amp;IF($C$4="Todos","",$C$4))*(('GESTAO OPERACAO'!$S$2:$S$632="EM PRODUÇÃO")+('GESTAO OPERACAO'!$S$2:$S$632="PENDENTE")&gt;0)*IFERROR('GESTAO OPERACAO'!$P$2:$P$632*1,0))</f>
        <v>0</v>
      </c>
      <c r="G126" s="289"/>
      <c r="H126" s="199"/>
    </row>
    <row r="127" spans="1:8" hidden="1" x14ac:dyDescent="0.3">
      <c r="A127" s="198"/>
      <c r="B127" s="180" t="s">
        <v>1117</v>
      </c>
      <c r="C127" s="192" t="s">
        <v>1135</v>
      </c>
      <c r="D127" s="192" t="str">
        <f>IF(((DATE(IF($C$4="Todos",2026,$C$4),3,1)+MOD(8-WEEKDAY(DATE(IF($C$4="Todos",2026,$C$4),3,1),2),7))+(5-1)*7)&gt;EOMONTH(DATE(IF($C$4="Todos",2026,$C$4),3,1),0),"",TEXT(((DATE(IF($C$4="Todos",2026,$C$4),3,1)+MOD(8-WEEKDAY(DATE(IF($C$4="Todos",2026,$C$4),3,1),2),7))+(5-1)*7),"dd/mm")&amp;" - "&amp;TEXT(MIN((((DATE(IF($C$4="Todos",2026,$C$4),3,1)+MOD(8-WEEKDAY(DATE(IF($C$4="Todos",2026,$C$4),3,1),2),7))+(5-1)*7)+6),EOMONTH(DATE(IF($C$4="Todos",2026,$C$4),3,1),0)),"dd/mm"))</f>
        <v>30/03 - 31/03</v>
      </c>
      <c r="E127" s="186" cm="1">
        <f t="array" ref="E127">(($E$4="Todos")+($E$4="Março")&gt;0)*SUMPRODUCT(('GESTAO OPERACAO'!$AA$2:$AA$632="SEMANA 05 / MAR / "&amp;IF($C$4="Todos","",$C$4))*(('GESTAO OPERACAO'!$S$2:$S$632="EM PRODUÇÃO")+('GESTAO OPERACAO'!$S$2:$S$632="PENDENTE")&gt;0))</f>
        <v>0</v>
      </c>
      <c r="F127" s="187" cm="1">
        <f t="array" ref="F127">(($E$4="Todos")+($E$4="Março")&gt;0)*SUMPRODUCT(('GESTAO OPERACAO'!$AA$2:$AA$632="SEMANA 05 / MAR / "&amp;IF($C$4="Todos","",$C$4))*(('GESTAO OPERACAO'!$S$2:$S$632="EM PRODUÇÃO")+('GESTAO OPERACAO'!$S$2:$S$632="PENDENTE")&gt;0)*IFERROR('GESTAO OPERACAO'!$P$2:$P$632*1,0))</f>
        <v>0</v>
      </c>
      <c r="G127" s="289"/>
      <c r="H127" s="199"/>
    </row>
    <row r="128" spans="1:8" hidden="1" x14ac:dyDescent="0.3">
      <c r="A128" s="198"/>
      <c r="B128" s="214" t="s">
        <v>1138</v>
      </c>
      <c r="C128" s="434"/>
      <c r="D128" s="434"/>
      <c r="E128" s="225">
        <f>SUM(E123:E127)</f>
        <v>0</v>
      </c>
      <c r="F128" s="226">
        <f>SUM(F123:F127)</f>
        <v>0</v>
      </c>
      <c r="G128" s="290"/>
      <c r="H128" s="199"/>
    </row>
    <row r="129" spans="1:8" hidden="1" x14ac:dyDescent="0.3">
      <c r="A129" s="198"/>
      <c r="B129" s="180" t="s">
        <v>1118</v>
      </c>
      <c r="C129" s="192" t="s">
        <v>1131</v>
      </c>
      <c r="D129" s="192" t="str">
        <f>IF(((DATE(IF($C$4="Todos",2026,$C$4),4,1)+MOD(8-WEEKDAY(DATE(IF($C$4="Todos",2026,$C$4),4,1),2),7))+(1-1)*7)&gt;EOMONTH(DATE(IF($C$4="Todos",2026,$C$4),4,1),0),"",TEXT(((DATE(IF($C$4="Todos",2026,$C$4),4,1)+MOD(8-WEEKDAY(DATE(IF($C$4="Todos",2026,$C$4),4,1),2),7))+(1-1)*7),"dd/mm")&amp;" - "&amp;TEXT(MIN((((DATE(IF($C$4="Todos",2026,$C$4),4,1)+MOD(8-WEEKDAY(DATE(IF($C$4="Todos",2026,$C$4),4,1),2),7))+(1-1)*7)+6),EOMONTH(DATE(IF($C$4="Todos",2026,$C$4),4,1),0)),"dd/mm"))</f>
        <v>06/04 - 12/04</v>
      </c>
      <c r="E129" s="186" cm="1">
        <f t="array" ref="E129">(($E$4="Todos")+($E$4="Abril")&gt;0)*SUMPRODUCT(('GESTAO OPERACAO'!$AA$2:$AA$632="SEMANA 01 / ABR / "&amp;IF($C$4="Todos","",$C$4))*(('GESTAO OPERACAO'!$S$2:$S$632="EM PRODUÇÃO")+('GESTAO OPERACAO'!$S$2:$S$632="PENDENTE")&gt;0))</f>
        <v>0</v>
      </c>
      <c r="F129" s="187" cm="1">
        <f t="array" ref="F129">(($E$4="Todos")+($E$4="Abril")&gt;0)*SUMPRODUCT(('GESTAO OPERACAO'!$AA$2:$AA$632="SEMANA 01 / ABR / "&amp;IF($C$4="Todos","",$C$4))*(('GESTAO OPERACAO'!$S$2:$S$632="EM PRODUÇÃO")+('GESTAO OPERACAO'!$S$2:$S$632="PENDENTE")&gt;0)*IFERROR('GESTAO OPERACAO'!$P$2:$P$632*1,0))</f>
        <v>0</v>
      </c>
      <c r="G129" s="289"/>
      <c r="H129" s="199"/>
    </row>
    <row r="130" spans="1:8" hidden="1" x14ac:dyDescent="0.3">
      <c r="A130" s="198"/>
      <c r="B130" s="180" t="s">
        <v>1118</v>
      </c>
      <c r="C130" s="192" t="s">
        <v>1132</v>
      </c>
      <c r="D130" s="192" t="str">
        <f>IF(((DATE(IF($C$4="Todos",2026,$C$4),4,1)+MOD(8-WEEKDAY(DATE(IF($C$4="Todos",2026,$C$4),4,1),2),7))+(2-1)*7)&gt;EOMONTH(DATE(IF($C$4="Todos",2026,$C$4),4,1),0),"",TEXT(((DATE(IF($C$4="Todos",2026,$C$4),4,1)+MOD(8-WEEKDAY(DATE(IF($C$4="Todos",2026,$C$4),4,1),2),7))+(2-1)*7),"dd/mm")&amp;" - "&amp;TEXT(MIN((((DATE(IF($C$4="Todos",2026,$C$4),4,1)+MOD(8-WEEKDAY(DATE(IF($C$4="Todos",2026,$C$4),4,1),2),7))+(2-1)*7)+6),EOMONTH(DATE(IF($C$4="Todos",2026,$C$4),4,1),0)),"dd/mm"))</f>
        <v>13/04 - 19/04</v>
      </c>
      <c r="E130" s="186" cm="1">
        <f t="array" ref="E130">(($E$4="Todos")+($E$4="Abril")&gt;0)*SUMPRODUCT(('GESTAO OPERACAO'!$AA$2:$AA$632="SEMANA 02 / ABR / "&amp;IF($C$4="Todos","",$C$4))*(('GESTAO OPERACAO'!$S$2:$S$632="EM PRODUÇÃO")+('GESTAO OPERACAO'!$S$2:$S$632="PENDENTE")&gt;0))</f>
        <v>0</v>
      </c>
      <c r="F130" s="187" cm="1">
        <f t="array" ref="F130">(($E$4="Todos")+($E$4="Abril")&gt;0)*SUMPRODUCT(('GESTAO OPERACAO'!$AA$2:$AA$632="SEMANA 02 / ABR / "&amp;IF($C$4="Todos","",$C$4))*(('GESTAO OPERACAO'!$S$2:$S$632="EM PRODUÇÃO")+('GESTAO OPERACAO'!$S$2:$S$632="PENDENTE")&gt;0)*IFERROR('GESTAO OPERACAO'!$P$2:$P$632*1,0))</f>
        <v>0</v>
      </c>
      <c r="G130" s="289"/>
      <c r="H130" s="199"/>
    </row>
    <row r="131" spans="1:8" hidden="1" x14ac:dyDescent="0.3">
      <c r="A131" s="198"/>
      <c r="B131" s="180" t="s">
        <v>1118</v>
      </c>
      <c r="C131" s="192" t="s">
        <v>1133</v>
      </c>
      <c r="D131" s="192" t="str">
        <f>IF(((DATE(IF($C$4="Todos",2026,$C$4),4,1)+MOD(8-WEEKDAY(DATE(IF($C$4="Todos",2026,$C$4),4,1),2),7))+(3-1)*7)&gt;EOMONTH(DATE(IF($C$4="Todos",2026,$C$4),4,1),0),"",TEXT(((DATE(IF($C$4="Todos",2026,$C$4),4,1)+MOD(8-WEEKDAY(DATE(IF($C$4="Todos",2026,$C$4),4,1),2),7))+(3-1)*7),"dd/mm")&amp;" - "&amp;TEXT(MIN((((DATE(IF($C$4="Todos",2026,$C$4),4,1)+MOD(8-WEEKDAY(DATE(IF($C$4="Todos",2026,$C$4),4,1),2),7))+(3-1)*7)+6),EOMONTH(DATE(IF($C$4="Todos",2026,$C$4),4,1),0)),"dd/mm"))</f>
        <v>20/04 - 26/04</v>
      </c>
      <c r="E131" s="186" cm="1">
        <f t="array" ref="E131">(($E$4="Todos")+($E$4="Abril")&gt;0)*SUMPRODUCT(('GESTAO OPERACAO'!$AA$2:$AA$632="SEMANA 03 / ABR / "&amp;IF($C$4="Todos","",$C$4))*(('GESTAO OPERACAO'!$S$2:$S$632="EM PRODUÇÃO")+('GESTAO OPERACAO'!$S$2:$S$632="PENDENTE")&gt;0))</f>
        <v>0</v>
      </c>
      <c r="F131" s="187" cm="1">
        <f t="array" ref="F131">(($E$4="Todos")+($E$4="Abril")&gt;0)*SUMPRODUCT(('GESTAO OPERACAO'!$AA$2:$AA$632="SEMANA 03 / ABR / "&amp;IF($C$4="Todos","",$C$4))*(('GESTAO OPERACAO'!$S$2:$S$632="EM PRODUÇÃO")+('GESTAO OPERACAO'!$S$2:$S$632="PENDENTE")&gt;0)*IFERROR('GESTAO OPERACAO'!$P$2:$P$632*1,0))</f>
        <v>0</v>
      </c>
      <c r="G131" s="289"/>
      <c r="H131" s="199"/>
    </row>
    <row r="132" spans="1:8" hidden="1" x14ac:dyDescent="0.3">
      <c r="A132" s="198"/>
      <c r="B132" s="180" t="s">
        <v>1118</v>
      </c>
      <c r="C132" s="192" t="s">
        <v>1134</v>
      </c>
      <c r="D132" s="192" t="str">
        <f>IF(((DATE(IF($C$4="Todos",2026,$C$4),4,1)+MOD(8-WEEKDAY(DATE(IF($C$4="Todos",2026,$C$4),4,1),2),7))+(4-1)*7)&gt;EOMONTH(DATE(IF($C$4="Todos",2026,$C$4),4,1),0),"",TEXT(((DATE(IF($C$4="Todos",2026,$C$4),4,1)+MOD(8-WEEKDAY(DATE(IF($C$4="Todos",2026,$C$4),4,1),2),7))+(4-1)*7),"dd/mm")&amp;" - "&amp;TEXT(MIN((((DATE(IF($C$4="Todos",2026,$C$4),4,1)+MOD(8-WEEKDAY(DATE(IF($C$4="Todos",2026,$C$4),4,1),2),7))+(4-1)*7)+6),EOMONTH(DATE(IF($C$4="Todos",2026,$C$4),4,1),0)),"dd/mm"))</f>
        <v>27/04 - 30/04</v>
      </c>
      <c r="E132" s="186" cm="1">
        <f t="array" ref="E132">(($E$4="Todos")+($E$4="Abril")&gt;0)*SUMPRODUCT(('GESTAO OPERACAO'!$AA$2:$AA$632="SEMANA 04 / ABR / "&amp;IF($C$4="Todos","",$C$4))*(('GESTAO OPERACAO'!$S$2:$S$632="EM PRODUÇÃO")+('GESTAO OPERACAO'!$S$2:$S$632="PENDENTE")&gt;0))</f>
        <v>0</v>
      </c>
      <c r="F132" s="187" cm="1">
        <f t="array" ref="F132">(($E$4="Todos")+($E$4="Abril")&gt;0)*SUMPRODUCT(('GESTAO OPERACAO'!$AA$2:$AA$632="SEMANA 04 / ABR / "&amp;IF($C$4="Todos","",$C$4))*(('GESTAO OPERACAO'!$S$2:$S$632="EM PRODUÇÃO")+('GESTAO OPERACAO'!$S$2:$S$632="PENDENTE")&gt;0)*IFERROR('GESTAO OPERACAO'!$P$2:$P$632*1,0))</f>
        <v>0</v>
      </c>
      <c r="G132" s="289"/>
      <c r="H132" s="199"/>
    </row>
    <row r="133" spans="1:8" hidden="1" x14ac:dyDescent="0.3">
      <c r="A133" s="198"/>
      <c r="B133" s="180" t="s">
        <v>1118</v>
      </c>
      <c r="C133" s="192" t="s">
        <v>1135</v>
      </c>
      <c r="D133" s="192" t="str">
        <f>IF(((DATE(IF($C$4="Todos",2026,$C$4),4,1)+MOD(8-WEEKDAY(DATE(IF($C$4="Todos",2026,$C$4),4,1),2),7))+(5-1)*7)&gt;EOMONTH(DATE(IF($C$4="Todos",2026,$C$4),4,1),0),"",TEXT(((DATE(IF($C$4="Todos",2026,$C$4),4,1)+MOD(8-WEEKDAY(DATE(IF($C$4="Todos",2026,$C$4),4,1),2),7))+(5-1)*7),"dd/mm")&amp;" - "&amp;TEXT(MIN((((DATE(IF($C$4="Todos",2026,$C$4),4,1)+MOD(8-WEEKDAY(DATE(IF($C$4="Todos",2026,$C$4),4,1),2),7))+(5-1)*7)+6),EOMONTH(DATE(IF($C$4="Todos",2026,$C$4),4,1),0)),"dd/mm"))</f>
        <v/>
      </c>
      <c r="E133" s="186" cm="1">
        <f t="array" ref="E133">(($E$4="Todos")+($E$4="Abril")&gt;0)*SUMPRODUCT(('GESTAO OPERACAO'!$AA$2:$AA$632="SEMANA 05 / ABR / "&amp;IF($C$4="Todos","",$C$4))*(('GESTAO OPERACAO'!$S$2:$S$632="EM PRODUÇÃO")+('GESTAO OPERACAO'!$S$2:$S$632="PENDENTE")&gt;0))</f>
        <v>0</v>
      </c>
      <c r="F133" s="187" cm="1">
        <f t="array" ref="F133">(($E$4="Todos")+($E$4="Abril")&gt;0)*SUMPRODUCT(('GESTAO OPERACAO'!$AA$2:$AA$632="SEMANA 05 / ABR / "&amp;IF($C$4="Todos","",$C$4))*(('GESTAO OPERACAO'!$S$2:$S$632="EM PRODUÇÃO")+('GESTAO OPERACAO'!$S$2:$S$632="PENDENTE")&gt;0)*IFERROR('GESTAO OPERACAO'!$P$2:$P$632*1,0))</f>
        <v>0</v>
      </c>
      <c r="G133" s="289"/>
      <c r="H133" s="199"/>
    </row>
    <row r="134" spans="1:8" x14ac:dyDescent="0.3">
      <c r="A134" s="198"/>
      <c r="B134" s="214" t="s">
        <v>1139</v>
      </c>
      <c r="C134" s="434"/>
      <c r="D134" s="434"/>
      <c r="E134" s="225">
        <f>SUM(E129:E133)</f>
        <v>0</v>
      </c>
      <c r="F134" s="226">
        <f>SUM(F129:F133)</f>
        <v>0</v>
      </c>
      <c r="G134" s="290"/>
      <c r="H134" s="199"/>
    </row>
    <row r="135" spans="1:8" x14ac:dyDescent="0.3">
      <c r="A135" s="198"/>
      <c r="B135" s="180" t="s">
        <v>1119</v>
      </c>
      <c r="C135" s="192" t="s">
        <v>1131</v>
      </c>
      <c r="D135" s="192" t="str">
        <f>IF(((DATE(IF($C$4="Todos",2026,$C$4),5,1)+MOD(8-WEEKDAY(DATE(IF($C$4="Todos",2026,$C$4),5,1),2),7))+(1-1)*7)&gt;EOMONTH(DATE(IF($C$4="Todos",2026,$C$4),5,1),0),"",TEXT(((DATE(IF($C$4="Todos",2026,$C$4),5,1)+MOD(8-WEEKDAY(DATE(IF($C$4="Todos",2026,$C$4),5,1),2),7))+(1-1)*7),"dd/mm")&amp;" - "&amp;TEXT(MIN((((DATE(IF($C$4="Todos",2026,$C$4),5,1)+MOD(8-WEEKDAY(DATE(IF($C$4="Todos",2026,$C$4),5,1),2),7))+(1-1)*7)+6),EOMONTH(DATE(IF($C$4="Todos",2026,$C$4),5,1),0)),"dd/mm"))</f>
        <v>04/05 - 10/05</v>
      </c>
      <c r="E135" s="186" cm="1">
        <f t="array" ref="E135">(($E$4="Todos")+($E$4="Maio")&gt;0)*SUMPRODUCT(('GESTAO OPERACAO'!$AA$2:$AA$632="SEMANA 01 / MAI / "&amp;IF($C$4="Todos","",$C$4))*(('GESTAO OPERACAO'!$S$2:$S$632="EM PRODUÇÃO")+('GESTAO OPERACAO'!$S$2:$S$632="PENDENTE")&gt;0))</f>
        <v>0</v>
      </c>
      <c r="F135" s="187" cm="1">
        <f t="array" ref="F135">(($E$4="Todos")+($E$4="Maio")&gt;0)*SUMPRODUCT(('GESTAO OPERACAO'!$AA$2:$AA$632="SEMANA 01 / MAI / "&amp;IF($C$4="Todos","",$C$4))*(('GESTAO OPERACAO'!$S$2:$S$632="EM PRODUÇÃO")+('GESTAO OPERACAO'!$S$2:$S$632="PENDENTE")&gt;0)*IFERROR('GESTAO OPERACAO'!$P$2:$P$632*1,0))</f>
        <v>0</v>
      </c>
      <c r="G135" s="289"/>
      <c r="H135" s="199"/>
    </row>
    <row r="136" spans="1:8" x14ac:dyDescent="0.3">
      <c r="A136" s="198"/>
      <c r="B136" s="180" t="s">
        <v>1119</v>
      </c>
      <c r="C136" s="192" t="s">
        <v>1132</v>
      </c>
      <c r="D136" s="192" t="str">
        <f>IF(((DATE(IF($C$4="Todos",2026,$C$4),5,1)+MOD(8-WEEKDAY(DATE(IF($C$4="Todos",2026,$C$4),5,1),2),7))+(2-1)*7)&gt;EOMONTH(DATE(IF($C$4="Todos",2026,$C$4),5,1),0),"",TEXT(((DATE(IF($C$4="Todos",2026,$C$4),5,1)+MOD(8-WEEKDAY(DATE(IF($C$4="Todos",2026,$C$4),5,1),2),7))+(2-1)*7),"dd/mm")&amp;" - "&amp;TEXT(MIN((((DATE(IF($C$4="Todos",2026,$C$4),5,1)+MOD(8-WEEKDAY(DATE(IF($C$4="Todos",2026,$C$4),5,1),2),7))+(2-1)*7)+6),EOMONTH(DATE(IF($C$4="Todos",2026,$C$4),5,1),0)),"dd/mm"))</f>
        <v>11/05 - 17/05</v>
      </c>
      <c r="E136" s="186" cm="1">
        <f t="array" ref="E136">(($E$4="Todos")+($E$4="Maio")&gt;0)*SUMPRODUCT(('GESTAO OPERACAO'!$AA$2:$AA$632="SEMANA 02 / MAI / "&amp;IF($C$4="Todos","",$C$4))*(('GESTAO OPERACAO'!$S$2:$S$632="EM PRODUÇÃO")+('GESTAO OPERACAO'!$S$2:$S$632="PENDENTE")&gt;0))</f>
        <v>0</v>
      </c>
      <c r="F136" s="187" cm="1">
        <f t="array" ref="F136">(($E$4="Todos")+($E$4="Maio")&gt;0)*SUMPRODUCT(('GESTAO OPERACAO'!$AA$2:$AA$632="SEMANA 02 / MAI / "&amp;IF($C$4="Todos","",$C$4))*(('GESTAO OPERACAO'!$S$2:$S$632="EM PRODUÇÃO")+('GESTAO OPERACAO'!$S$2:$S$632="PENDENTE")&gt;0)*IFERROR('GESTAO OPERACAO'!$P$2:$P$632*1,0))</f>
        <v>0</v>
      </c>
      <c r="G136" s="289"/>
      <c r="H136" s="199"/>
    </row>
    <row r="137" spans="1:8" x14ac:dyDescent="0.3">
      <c r="A137" s="198"/>
      <c r="B137" s="180" t="s">
        <v>1119</v>
      </c>
      <c r="C137" s="192" t="s">
        <v>1133</v>
      </c>
      <c r="D137" s="192" t="str">
        <f>IF(((DATE(IF($C$4="Todos",2026,$C$4),5,1)+MOD(8-WEEKDAY(DATE(IF($C$4="Todos",2026,$C$4),5,1),2),7))+(3-1)*7)&gt;EOMONTH(DATE(IF($C$4="Todos",2026,$C$4),5,1),0),"",TEXT(((DATE(IF($C$4="Todos",2026,$C$4),5,1)+MOD(8-WEEKDAY(DATE(IF($C$4="Todos",2026,$C$4),5,1),2),7))+(3-1)*7),"dd/mm")&amp;" - "&amp;TEXT(MIN((((DATE(IF($C$4="Todos",2026,$C$4),5,1)+MOD(8-WEEKDAY(DATE(IF($C$4="Todos",2026,$C$4),5,1),2),7))+(3-1)*7)+6),EOMONTH(DATE(IF($C$4="Todos",2026,$C$4),5,1),0)),"dd/mm"))</f>
        <v>18/05 - 24/05</v>
      </c>
      <c r="E137" s="186" cm="1">
        <f t="array" ref="E137">(($E$4="Todos")+($E$4="Maio")&gt;0)*SUMPRODUCT(('GESTAO OPERACAO'!$AA$2:$AA$632="SEMANA 03 / MAI / "&amp;IF($C$4="Todos","",$C$4))*(('GESTAO OPERACAO'!$S$2:$S$632="EM PRODUÇÃO")+('GESTAO OPERACAO'!$S$2:$S$632="PENDENTE")&gt;0))</f>
        <v>0</v>
      </c>
      <c r="F137" s="187" cm="1">
        <f t="array" ref="F137">(($E$4="Todos")+($E$4="Maio")&gt;0)*SUMPRODUCT(('GESTAO OPERACAO'!$AA$2:$AA$632="SEMANA 03 / MAI / "&amp;IF($C$4="Todos","",$C$4))*(('GESTAO OPERACAO'!$S$2:$S$632="EM PRODUÇÃO")+('GESTAO OPERACAO'!$S$2:$S$632="PENDENTE")&gt;0)*IFERROR('GESTAO OPERACAO'!$P$2:$P$632*1,0))</f>
        <v>0</v>
      </c>
      <c r="G137" s="289"/>
      <c r="H137" s="199"/>
    </row>
    <row r="138" spans="1:8" x14ac:dyDescent="0.3">
      <c r="A138" s="198"/>
      <c r="B138" s="180" t="s">
        <v>1119</v>
      </c>
      <c r="C138" s="192" t="s">
        <v>1134</v>
      </c>
      <c r="D138" s="192" t="str">
        <f>IF(((DATE(IF($C$4="Todos",2026,$C$4),5,1)+MOD(8-WEEKDAY(DATE(IF($C$4="Todos",2026,$C$4),5,1),2),7))+(4-1)*7)&gt;EOMONTH(DATE(IF($C$4="Todos",2026,$C$4),5,1),0),"",TEXT(((DATE(IF($C$4="Todos",2026,$C$4),5,1)+MOD(8-WEEKDAY(DATE(IF($C$4="Todos",2026,$C$4),5,1),2),7))+(4-1)*7),"dd/mm")&amp;" - "&amp;TEXT(MIN((((DATE(IF($C$4="Todos",2026,$C$4),5,1)+MOD(8-WEEKDAY(DATE(IF($C$4="Todos",2026,$C$4),5,1),2),7))+(4-1)*7)+6),EOMONTH(DATE(IF($C$4="Todos",2026,$C$4),5,1),0)),"dd/mm"))</f>
        <v>25/05 - 31/05</v>
      </c>
      <c r="E138" s="186" cm="1">
        <f t="array" ref="E138">(($E$4="Todos")+($E$4="Maio")&gt;0)*SUMPRODUCT(('GESTAO OPERACAO'!$AA$2:$AA$632="SEMANA 04 / MAI / "&amp;IF($C$4="Todos","",$C$4))*(('GESTAO OPERACAO'!$S$2:$S$632="EM PRODUÇÃO")+('GESTAO OPERACAO'!$S$2:$S$632="PENDENTE")&gt;0))</f>
        <v>0</v>
      </c>
      <c r="F138" s="187" cm="1">
        <f t="array" ref="F138">(($E$4="Todos")+($E$4="Maio")&gt;0)*SUMPRODUCT(('GESTAO OPERACAO'!$AA$2:$AA$632="SEMANA 04 / MAI / "&amp;IF($C$4="Todos","",$C$4))*(('GESTAO OPERACAO'!$S$2:$S$632="EM PRODUÇÃO")+('GESTAO OPERACAO'!$S$2:$S$632="PENDENTE")&gt;0)*IFERROR('GESTAO OPERACAO'!$P$2:$P$632*1,0))</f>
        <v>0</v>
      </c>
      <c r="G138" s="289"/>
      <c r="H138" s="199"/>
    </row>
    <row r="139" spans="1:8" x14ac:dyDescent="0.3">
      <c r="A139" s="198"/>
      <c r="B139" s="180" t="s">
        <v>1119</v>
      </c>
      <c r="C139" s="192" t="s">
        <v>1135</v>
      </c>
      <c r="D139" s="192" t="str">
        <f>IF(((DATE(IF($C$4="Todos",2026,$C$4),5,1)+MOD(8-WEEKDAY(DATE(IF($C$4="Todos",2026,$C$4),5,1),2),7))+(5-1)*7)&gt;EOMONTH(DATE(IF($C$4="Todos",2026,$C$4),5,1),0),"",TEXT(((DATE(IF($C$4="Todos",2026,$C$4),5,1)+MOD(8-WEEKDAY(DATE(IF($C$4="Todos",2026,$C$4),5,1),2),7))+(5-1)*7),"dd/mm")&amp;" - "&amp;TEXT(MIN((((DATE(IF($C$4="Todos",2026,$C$4),5,1)+MOD(8-WEEKDAY(DATE(IF($C$4="Todos",2026,$C$4),5,1),2),7))+(5-1)*7)+6),EOMONTH(DATE(IF($C$4="Todos",2026,$C$4),5,1),0)),"dd/mm"))</f>
        <v/>
      </c>
      <c r="E139" s="186" cm="1">
        <f t="array" ref="E139">(($E$4="Todos")+($E$4="Maio")&gt;0)*SUMPRODUCT(('GESTAO OPERACAO'!$AA$2:$AA$632="SEMANA 05 / MAI / "&amp;IF($C$4="Todos","",$C$4))*(('GESTAO OPERACAO'!$S$2:$S$632="EM PRODUÇÃO")+('GESTAO OPERACAO'!$S$2:$S$632="PENDENTE")&gt;0))</f>
        <v>0</v>
      </c>
      <c r="F139" s="187" cm="1">
        <f t="array" ref="F139">(($E$4="Todos")+($E$4="Maio")&gt;0)*SUMPRODUCT(('GESTAO OPERACAO'!$AA$2:$AA$632="SEMANA 05 / MAI / "&amp;IF($C$4="Todos","",$C$4))*(('GESTAO OPERACAO'!$S$2:$S$632="EM PRODUÇÃO")+('GESTAO OPERACAO'!$S$2:$S$632="PENDENTE")&gt;0)*IFERROR('GESTAO OPERACAO'!$P$2:$P$632*1,0))</f>
        <v>0</v>
      </c>
      <c r="G139" s="289"/>
      <c r="H139" s="199"/>
    </row>
    <row r="140" spans="1:8" x14ac:dyDescent="0.3">
      <c r="A140" s="198"/>
      <c r="B140" s="214" t="s">
        <v>1140</v>
      </c>
      <c r="C140" s="434"/>
      <c r="D140" s="434"/>
      <c r="E140" s="225">
        <f>SUM(E135:E139)</f>
        <v>0</v>
      </c>
      <c r="F140" s="226">
        <f>SUM(F135:F139)</f>
        <v>0</v>
      </c>
      <c r="G140" s="290"/>
      <c r="H140" s="199"/>
    </row>
    <row r="141" spans="1:8" x14ac:dyDescent="0.3">
      <c r="A141" s="198"/>
      <c r="B141" s="180" t="s">
        <v>1120</v>
      </c>
      <c r="C141" s="192" t="s">
        <v>1131</v>
      </c>
      <c r="D141" s="192" t="str">
        <f>IF(((DATE(IF($C$4="Todos",2026,$C$4),6,1)+MOD(8-WEEKDAY(DATE(IF($C$4="Todos",2026,$C$4),6,1),2),7))+(1-1)*7)&gt;EOMONTH(DATE(IF($C$4="Todos",2026,$C$4),6,1),0),"",TEXT(((DATE(IF($C$4="Todos",2026,$C$4),6,1)+MOD(8-WEEKDAY(DATE(IF($C$4="Todos",2026,$C$4),6,1),2),7))+(1-1)*7),"dd/mm")&amp;" - "&amp;TEXT(MIN((((DATE(IF($C$4="Todos",2026,$C$4),6,1)+MOD(8-WEEKDAY(DATE(IF($C$4="Todos",2026,$C$4),6,1),2),7))+(1-1)*7)+6),EOMONTH(DATE(IF($C$4="Todos",2026,$C$4),6,1),0)),"dd/mm"))</f>
        <v>01/06 - 07/06</v>
      </c>
      <c r="E141" s="186" cm="1">
        <f t="array" ref="E141">(($E$4="Todos")+($E$4="Junho")&gt;0)*SUMPRODUCT(('GESTAO OPERACAO'!$AA$2:$AA$632="SEMANA 01 / JUN / "&amp;IF($C$4="Todos","",$C$4))*(('GESTAO OPERACAO'!$S$2:$S$632="EM PRODUÇÃO")+('GESTAO OPERACAO'!$S$2:$S$632="PENDENTE")&gt;0))</f>
        <v>0</v>
      </c>
      <c r="F141" s="187" cm="1">
        <f t="array" ref="F141">(($E$4="Todos")+($E$4="Junho")&gt;0)*SUMPRODUCT(('GESTAO OPERACAO'!$AA$2:$AA$632="SEMANA 01 / JUN / "&amp;IF($C$4="Todos","",$C$4))*(('GESTAO OPERACAO'!$S$2:$S$632="EM PRODUÇÃO")+('GESTAO OPERACAO'!$S$2:$S$632="PENDENTE")&gt;0)*IFERROR('GESTAO OPERACAO'!$P$2:$P$632*1,0))</f>
        <v>0</v>
      </c>
      <c r="G141" s="289"/>
      <c r="H141" s="199"/>
    </row>
    <row r="142" spans="1:8" x14ac:dyDescent="0.3">
      <c r="A142" s="198"/>
      <c r="B142" s="180" t="s">
        <v>1120</v>
      </c>
      <c r="C142" s="192" t="s">
        <v>1132</v>
      </c>
      <c r="D142" s="192" t="str">
        <f>IF(((DATE(IF($C$4="Todos",2026,$C$4),6,1)+MOD(8-WEEKDAY(DATE(IF($C$4="Todos",2026,$C$4),6,1),2),7))+(2-1)*7)&gt;EOMONTH(DATE(IF($C$4="Todos",2026,$C$4),6,1),0),"",TEXT(((DATE(IF($C$4="Todos",2026,$C$4),6,1)+MOD(8-WEEKDAY(DATE(IF($C$4="Todos",2026,$C$4),6,1),2),7))+(2-1)*7),"dd/mm")&amp;" - "&amp;TEXT(MIN((((DATE(IF($C$4="Todos",2026,$C$4),6,1)+MOD(8-WEEKDAY(DATE(IF($C$4="Todos",2026,$C$4),6,1),2),7))+(2-1)*7)+6),EOMONTH(DATE(IF($C$4="Todos",2026,$C$4),6,1),0)),"dd/mm"))</f>
        <v>08/06 - 14/06</v>
      </c>
      <c r="E142" s="186" cm="1">
        <f t="array" ref="E142">(($E$4="Todos")+($E$4="Junho")&gt;0)*SUMPRODUCT(('GESTAO OPERACAO'!$AA$2:$AA$632="SEMANA 02 / JUN / "&amp;IF($C$4="Todos","",$C$4))*(('GESTAO OPERACAO'!$S$2:$S$632="EM PRODUÇÃO")+('GESTAO OPERACAO'!$S$2:$S$632="PENDENTE")&gt;0))</f>
        <v>0</v>
      </c>
      <c r="F142" s="187" cm="1">
        <f t="array" ref="F142">(($E$4="Todos")+($E$4="Junho")&gt;0)*SUMPRODUCT(('GESTAO OPERACAO'!$AA$2:$AA$632="SEMANA 02 / JUN / "&amp;IF($C$4="Todos","",$C$4))*(('GESTAO OPERACAO'!$S$2:$S$632="EM PRODUÇÃO")+('GESTAO OPERACAO'!$S$2:$S$632="PENDENTE")&gt;0)*IFERROR('GESTAO OPERACAO'!$P$2:$P$632*1,0))</f>
        <v>0</v>
      </c>
      <c r="G142" s="289"/>
      <c r="H142" s="199"/>
    </row>
    <row r="143" spans="1:8" x14ac:dyDescent="0.3">
      <c r="A143" s="198"/>
      <c r="B143" s="180" t="s">
        <v>1120</v>
      </c>
      <c r="C143" s="192" t="s">
        <v>1133</v>
      </c>
      <c r="D143" s="192" t="str">
        <f>IF(((DATE(IF($C$4="Todos",2026,$C$4),6,1)+MOD(8-WEEKDAY(DATE(IF($C$4="Todos",2026,$C$4),6,1),2),7))+(3-1)*7)&gt;EOMONTH(DATE(IF($C$4="Todos",2026,$C$4),6,1),0),"",TEXT(((DATE(IF($C$4="Todos",2026,$C$4),6,1)+MOD(8-WEEKDAY(DATE(IF($C$4="Todos",2026,$C$4),6,1),2),7))+(3-1)*7),"dd/mm")&amp;" - "&amp;TEXT(MIN((((DATE(IF($C$4="Todos",2026,$C$4),6,1)+MOD(8-WEEKDAY(DATE(IF($C$4="Todos",2026,$C$4),6,1),2),7))+(3-1)*7)+6),EOMONTH(DATE(IF($C$4="Todos",2026,$C$4),6,1),0)),"dd/mm"))</f>
        <v>15/06 - 21/06</v>
      </c>
      <c r="E143" s="186" cm="1">
        <f t="array" ref="E143">(($E$4="Todos")+($E$4="Junho")&gt;0)*SUMPRODUCT(('GESTAO OPERACAO'!$AA$2:$AA$632="SEMANA 03 / JUN / "&amp;IF($C$4="Todos","",$C$4))*(('GESTAO OPERACAO'!$S$2:$S$632="EM PRODUÇÃO")+('GESTAO OPERACAO'!$S$2:$S$632="PENDENTE")&gt;0))</f>
        <v>0</v>
      </c>
      <c r="F143" s="187" cm="1">
        <f t="array" ref="F143">(($E$4="Todos")+($E$4="Junho")&gt;0)*SUMPRODUCT(('GESTAO OPERACAO'!$AA$2:$AA$632="SEMANA 03 / JUN / "&amp;IF($C$4="Todos","",$C$4))*(('GESTAO OPERACAO'!$S$2:$S$632="EM PRODUÇÃO")+('GESTAO OPERACAO'!$S$2:$S$632="PENDENTE")&gt;0)*IFERROR('GESTAO OPERACAO'!$P$2:$P$632*1,0))</f>
        <v>0</v>
      </c>
      <c r="G143" s="289"/>
      <c r="H143" s="199"/>
    </row>
    <row r="144" spans="1:8" x14ac:dyDescent="0.3">
      <c r="A144" s="198"/>
      <c r="B144" s="180" t="s">
        <v>1120</v>
      </c>
      <c r="C144" s="192" t="s">
        <v>1134</v>
      </c>
      <c r="D144" s="192" t="str">
        <f>IF(((DATE(IF($C$4="Todos",2026,$C$4),6,1)+MOD(8-WEEKDAY(DATE(IF($C$4="Todos",2026,$C$4),6,1),2),7))+(4-1)*7)&gt;EOMONTH(DATE(IF($C$4="Todos",2026,$C$4),6,1),0),"",TEXT(((DATE(IF($C$4="Todos",2026,$C$4),6,1)+MOD(8-WEEKDAY(DATE(IF($C$4="Todos",2026,$C$4),6,1),2),7))+(4-1)*7),"dd/mm")&amp;" - "&amp;TEXT(MIN((((DATE(IF($C$4="Todos",2026,$C$4),6,1)+MOD(8-WEEKDAY(DATE(IF($C$4="Todos",2026,$C$4),6,1),2),7))+(4-1)*7)+6),EOMONTH(DATE(IF($C$4="Todos",2026,$C$4),6,1),0)),"dd/mm"))</f>
        <v>22/06 - 28/06</v>
      </c>
      <c r="E144" s="186" cm="1">
        <f t="array" ref="E144">(($E$4="Todos")+($E$4="Junho")&gt;0)*SUMPRODUCT(('GESTAO OPERACAO'!$AA$2:$AA$632="SEMANA 04 / JUN / "&amp;IF($C$4="Todos","",$C$4))*(('GESTAO OPERACAO'!$S$2:$S$632="EM PRODUÇÃO")+('GESTAO OPERACAO'!$S$2:$S$632="PENDENTE")&gt;0))</f>
        <v>0</v>
      </c>
      <c r="F144" s="187" cm="1">
        <f t="array" ref="F144">(($E$4="Todos")+($E$4="Junho")&gt;0)*SUMPRODUCT(('GESTAO OPERACAO'!$AA$2:$AA$632="SEMANA 04 / JUN / "&amp;IF($C$4="Todos","",$C$4))*(('GESTAO OPERACAO'!$S$2:$S$632="EM PRODUÇÃO")+('GESTAO OPERACAO'!$S$2:$S$632="PENDENTE")&gt;0)*IFERROR('GESTAO OPERACAO'!$P$2:$P$632*1,0))</f>
        <v>0</v>
      </c>
      <c r="G144" s="289"/>
      <c r="H144" s="199"/>
    </row>
    <row r="145" spans="1:8" x14ac:dyDescent="0.3">
      <c r="A145" s="198"/>
      <c r="B145" s="180" t="s">
        <v>1120</v>
      </c>
      <c r="C145" s="192" t="s">
        <v>1135</v>
      </c>
      <c r="D145" s="192" t="str">
        <f>IF(((DATE(IF($C$4="Todos",2026,$C$4),6,1)+MOD(8-WEEKDAY(DATE(IF($C$4="Todos",2026,$C$4),6,1),2),7))+(5-1)*7)&gt;EOMONTH(DATE(IF($C$4="Todos",2026,$C$4),6,1),0),"",TEXT(((DATE(IF($C$4="Todos",2026,$C$4),6,1)+MOD(8-WEEKDAY(DATE(IF($C$4="Todos",2026,$C$4),6,1),2),7))+(5-1)*7),"dd/mm")&amp;" - "&amp;TEXT(MIN((((DATE(IF($C$4="Todos",2026,$C$4),6,1)+MOD(8-WEEKDAY(DATE(IF($C$4="Todos",2026,$C$4),6,1),2),7))+(5-1)*7)+6),EOMONTH(DATE(IF($C$4="Todos",2026,$C$4),6,1),0)),"dd/mm"))</f>
        <v>29/06 - 30/06</v>
      </c>
      <c r="E145" s="186" cm="1">
        <f t="array" ref="E145">(($E$4="Todos")+($E$4="Junho")&gt;0)*SUMPRODUCT(('GESTAO OPERACAO'!$AA$2:$AA$632="SEMANA 05 / JUN / "&amp;IF($C$4="Todos","",$C$4))*(('GESTAO OPERACAO'!$S$2:$S$632="EM PRODUÇÃO")+('GESTAO OPERACAO'!$S$2:$S$632="PENDENTE")&gt;0))</f>
        <v>0</v>
      </c>
      <c r="F145" s="187" cm="1">
        <f t="array" ref="F145">(($E$4="Todos")+($E$4="Junho")&gt;0)*SUMPRODUCT(('GESTAO OPERACAO'!$AA$2:$AA$632="SEMANA 05 / JUN / "&amp;IF($C$4="Todos","",$C$4))*(('GESTAO OPERACAO'!$S$2:$S$632="EM PRODUÇÃO")+('GESTAO OPERACAO'!$S$2:$S$632="PENDENTE")&gt;0)*IFERROR('GESTAO OPERACAO'!$P$2:$P$632*1,0))</f>
        <v>0</v>
      </c>
      <c r="G145" s="289"/>
      <c r="H145" s="199"/>
    </row>
    <row r="146" spans="1:8" x14ac:dyDescent="0.3">
      <c r="A146" s="198"/>
      <c r="B146" s="214" t="s">
        <v>1141</v>
      </c>
      <c r="C146" s="434"/>
      <c r="D146" s="434"/>
      <c r="E146" s="225">
        <f>SUM(E141:E145)</f>
        <v>0</v>
      </c>
      <c r="F146" s="226">
        <f>SUM(F141:F145)</f>
        <v>0</v>
      </c>
      <c r="G146" s="290"/>
      <c r="H146" s="199"/>
    </row>
    <row r="147" spans="1:8" x14ac:dyDescent="0.3">
      <c r="A147" s="198"/>
      <c r="B147" s="180" t="s">
        <v>1121</v>
      </c>
      <c r="C147" s="192" t="s">
        <v>1131</v>
      </c>
      <c r="D147" s="192" t="str">
        <f>IF(((DATE(IF($C$4="Todos",2026,$C$4),7,1)+MOD(8-WEEKDAY(DATE(IF($C$4="Todos",2026,$C$4),7,1),2),7))+(1-1)*7)&gt;EOMONTH(DATE(IF($C$4="Todos",2026,$C$4),7,1),0),"",TEXT(((DATE(IF($C$4="Todos",2026,$C$4),7,1)+MOD(8-WEEKDAY(DATE(IF($C$4="Todos",2026,$C$4),7,1),2),7))+(1-1)*7),"dd/mm")&amp;" - "&amp;TEXT(MIN((((DATE(IF($C$4="Todos",2026,$C$4),7,1)+MOD(8-WEEKDAY(DATE(IF($C$4="Todos",2026,$C$4),7,1),2),7))+(1-1)*7)+6),EOMONTH(DATE(IF($C$4="Todos",2026,$C$4),7,1),0)),"dd/mm"))</f>
        <v>06/07 - 12/07</v>
      </c>
      <c r="E147" s="186" cm="1">
        <f t="array" ref="E147">(($E$4="Todos")+($E$4="Julho")&gt;0)*SUMPRODUCT(('GESTAO OPERACAO'!$AA$2:$AA$632="SEMANA 01 / JUL / "&amp;IF($C$4="Todos","",$C$4))*(('GESTAO OPERACAO'!$S$2:$S$632="EM PRODUÇÃO")+('GESTAO OPERACAO'!$S$2:$S$632="PENDENTE")&gt;0))</f>
        <v>0</v>
      </c>
      <c r="F147" s="187" cm="1">
        <f t="array" ref="F147">(($E$4="Todos")+($E$4="Julho")&gt;0)*SUMPRODUCT(('GESTAO OPERACAO'!$AA$2:$AA$632="SEMANA 01 / JUL / "&amp;IF($C$4="Todos","",$C$4))*(('GESTAO OPERACAO'!$S$2:$S$632="EM PRODUÇÃO")+('GESTAO OPERACAO'!$S$2:$S$632="PENDENTE")&gt;0)*IFERROR('GESTAO OPERACAO'!$P$2:$P$632*1,0))</f>
        <v>0</v>
      </c>
      <c r="G147" s="289"/>
      <c r="H147" s="199"/>
    </row>
    <row r="148" spans="1:8" x14ac:dyDescent="0.3">
      <c r="A148" s="198"/>
      <c r="B148" s="180" t="s">
        <v>1121</v>
      </c>
      <c r="C148" s="192" t="s">
        <v>1132</v>
      </c>
      <c r="D148" s="192" t="str">
        <f>IF(((DATE(IF($C$4="Todos",2026,$C$4),7,1)+MOD(8-WEEKDAY(DATE(IF($C$4="Todos",2026,$C$4),7,1),2),7))+(2-1)*7)&gt;EOMONTH(DATE(IF($C$4="Todos",2026,$C$4),7,1),0),"",TEXT(((DATE(IF($C$4="Todos",2026,$C$4),7,1)+MOD(8-WEEKDAY(DATE(IF($C$4="Todos",2026,$C$4),7,1),2),7))+(2-1)*7),"dd/mm")&amp;" - "&amp;TEXT(MIN((((DATE(IF($C$4="Todos",2026,$C$4),7,1)+MOD(8-WEEKDAY(DATE(IF($C$4="Todos",2026,$C$4),7,1),2),7))+(2-1)*7)+6),EOMONTH(DATE(IF($C$4="Todos",2026,$C$4),7,1),0)),"dd/mm"))</f>
        <v>13/07 - 19/07</v>
      </c>
      <c r="E148" s="186" cm="1">
        <f t="array" ref="E148">(($E$4="Todos")+($E$4="Julho")&gt;0)*SUMPRODUCT(('GESTAO OPERACAO'!$AA$2:$AA$632="SEMANA 02 / JUL / "&amp;IF($C$4="Todos","",$C$4))*(('GESTAO OPERACAO'!$S$2:$S$632="EM PRODUÇÃO")+('GESTAO OPERACAO'!$S$2:$S$632="PENDENTE")&gt;0))</f>
        <v>0</v>
      </c>
      <c r="F148" s="187" cm="1">
        <f t="array" ref="F148">(($E$4="Todos")+($E$4="Julho")&gt;0)*SUMPRODUCT(('GESTAO OPERACAO'!$AA$2:$AA$632="SEMANA 02 / JUL / "&amp;IF($C$4="Todos","",$C$4))*(('GESTAO OPERACAO'!$S$2:$S$632="EM PRODUÇÃO")+('GESTAO OPERACAO'!$S$2:$S$632="PENDENTE")&gt;0)*IFERROR('GESTAO OPERACAO'!$P$2:$P$632*1,0))</f>
        <v>0</v>
      </c>
      <c r="G148" s="289"/>
      <c r="H148" s="199"/>
    </row>
    <row r="149" spans="1:8" x14ac:dyDescent="0.3">
      <c r="A149" s="198"/>
      <c r="B149" s="180" t="s">
        <v>1121</v>
      </c>
      <c r="C149" s="192" t="s">
        <v>1133</v>
      </c>
      <c r="D149" s="192" t="str">
        <f>IF(((DATE(IF($C$4="Todos",2026,$C$4),7,1)+MOD(8-WEEKDAY(DATE(IF($C$4="Todos",2026,$C$4),7,1),2),7))+(3-1)*7)&gt;EOMONTH(DATE(IF($C$4="Todos",2026,$C$4),7,1),0),"",TEXT(((DATE(IF($C$4="Todos",2026,$C$4),7,1)+MOD(8-WEEKDAY(DATE(IF($C$4="Todos",2026,$C$4),7,1),2),7))+(3-1)*7),"dd/mm")&amp;" - "&amp;TEXT(MIN((((DATE(IF($C$4="Todos",2026,$C$4),7,1)+MOD(8-WEEKDAY(DATE(IF($C$4="Todos",2026,$C$4),7,1),2),7))+(3-1)*7)+6),EOMONTH(DATE(IF($C$4="Todos",2026,$C$4),7,1),0)),"dd/mm"))</f>
        <v>20/07 - 26/07</v>
      </c>
      <c r="E149" s="186" cm="1">
        <f t="array" ref="E149">(($E$4="Todos")+($E$4="Julho")&gt;0)*SUMPRODUCT(('GESTAO OPERACAO'!$AA$2:$AA$632="SEMANA 03 / JUL / "&amp;IF($C$4="Todos","",$C$4))*(('GESTAO OPERACAO'!$S$2:$S$632="EM PRODUÇÃO")+('GESTAO OPERACAO'!$S$2:$S$632="PENDENTE")&gt;0))</f>
        <v>0</v>
      </c>
      <c r="F149" s="187" cm="1">
        <f t="array" ref="F149">(($E$4="Todos")+($E$4="Julho")&gt;0)*SUMPRODUCT(('GESTAO OPERACAO'!$AA$2:$AA$632="SEMANA 03 / JUL / "&amp;IF($C$4="Todos","",$C$4))*(('GESTAO OPERACAO'!$S$2:$S$632="EM PRODUÇÃO")+('GESTAO OPERACAO'!$S$2:$S$632="PENDENTE")&gt;0)*IFERROR('GESTAO OPERACAO'!$P$2:$P$632*1,0))</f>
        <v>0</v>
      </c>
      <c r="G149" s="289"/>
      <c r="H149" s="199"/>
    </row>
    <row r="150" spans="1:8" x14ac:dyDescent="0.3">
      <c r="A150" s="198"/>
      <c r="B150" s="180" t="s">
        <v>1121</v>
      </c>
      <c r="C150" s="192" t="s">
        <v>1134</v>
      </c>
      <c r="D150" s="192" t="str">
        <f>IF(((DATE(IF($C$4="Todos",2026,$C$4),7,1)+MOD(8-WEEKDAY(DATE(IF($C$4="Todos",2026,$C$4),7,1),2),7))+(4-1)*7)&gt;EOMONTH(DATE(IF($C$4="Todos",2026,$C$4),7,1),0),"",TEXT(((DATE(IF($C$4="Todos",2026,$C$4),7,1)+MOD(8-WEEKDAY(DATE(IF($C$4="Todos",2026,$C$4),7,1),2),7))+(4-1)*7),"dd/mm")&amp;" - "&amp;TEXT(MIN((((DATE(IF($C$4="Todos",2026,$C$4),7,1)+MOD(8-WEEKDAY(DATE(IF($C$4="Todos",2026,$C$4),7,1),2),7))+(4-1)*7)+6),EOMONTH(DATE(IF($C$4="Todos",2026,$C$4),7,1),0)),"dd/mm"))</f>
        <v>27/07 - 31/07</v>
      </c>
      <c r="E150" s="186" cm="1">
        <f t="array" ref="E150">(($E$4="Todos")+($E$4="Julho")&gt;0)*SUMPRODUCT(('GESTAO OPERACAO'!$AA$2:$AA$632="SEMANA 04 / JUL / "&amp;IF($C$4="Todos","",$C$4))*(('GESTAO OPERACAO'!$S$2:$S$632="EM PRODUÇÃO")+('GESTAO OPERACAO'!$S$2:$S$632="PENDENTE")&gt;0))</f>
        <v>0</v>
      </c>
      <c r="F150" s="187" cm="1">
        <f t="array" ref="F150">(($E$4="Todos")+($E$4="Julho")&gt;0)*SUMPRODUCT(('GESTAO OPERACAO'!$AA$2:$AA$632="SEMANA 04 / JUL / "&amp;IF($C$4="Todos","",$C$4))*(('GESTAO OPERACAO'!$S$2:$S$632="EM PRODUÇÃO")+('GESTAO OPERACAO'!$S$2:$S$632="PENDENTE")&gt;0)*IFERROR('GESTAO OPERACAO'!$P$2:$P$632*1,0))</f>
        <v>0</v>
      </c>
      <c r="G150" s="289"/>
      <c r="H150" s="199"/>
    </row>
    <row r="151" spans="1:8" x14ac:dyDescent="0.3">
      <c r="A151" s="198"/>
      <c r="B151" s="180" t="s">
        <v>1121</v>
      </c>
      <c r="C151" s="192" t="s">
        <v>1135</v>
      </c>
      <c r="D151" s="192" t="str">
        <f>IF(((DATE(IF($C$4="Todos",2026,$C$4),7,1)+MOD(8-WEEKDAY(DATE(IF($C$4="Todos",2026,$C$4),7,1),2),7))+(5-1)*7)&gt;EOMONTH(DATE(IF($C$4="Todos",2026,$C$4),7,1),0),"",TEXT(((DATE(IF($C$4="Todos",2026,$C$4),7,1)+MOD(8-WEEKDAY(DATE(IF($C$4="Todos",2026,$C$4),7,1),2),7))+(5-1)*7),"dd/mm")&amp;" - "&amp;TEXT(MIN((((DATE(IF($C$4="Todos",2026,$C$4),7,1)+MOD(8-WEEKDAY(DATE(IF($C$4="Todos",2026,$C$4),7,1),2),7))+(5-1)*7)+6),EOMONTH(DATE(IF($C$4="Todos",2026,$C$4),7,1),0)),"dd/mm"))</f>
        <v/>
      </c>
      <c r="E151" s="186" cm="1">
        <f t="array" ref="E151">(($E$4="Todos")+($E$4="Julho")&gt;0)*SUMPRODUCT(('GESTAO OPERACAO'!$AA$2:$AA$632="SEMANA 05 / JUL / "&amp;IF($C$4="Todos","",$C$4))*(('GESTAO OPERACAO'!$S$2:$S$632="EM PRODUÇÃO")+('GESTAO OPERACAO'!$S$2:$S$632="PENDENTE")&gt;0))</f>
        <v>0</v>
      </c>
      <c r="F151" s="187" cm="1">
        <f t="array" ref="F151">(($E$4="Todos")+($E$4="Julho")&gt;0)*SUMPRODUCT(('GESTAO OPERACAO'!$AA$2:$AA$632="SEMANA 05 / JUL / "&amp;IF($C$4="Todos","",$C$4))*(('GESTAO OPERACAO'!$S$2:$S$632="EM PRODUÇÃO")+('GESTAO OPERACAO'!$S$2:$S$632="PENDENTE")&gt;0)*IFERROR('GESTAO OPERACAO'!$P$2:$P$632*1,0))</f>
        <v>0</v>
      </c>
      <c r="G151" s="289"/>
      <c r="H151" s="199"/>
    </row>
    <row r="152" spans="1:8" x14ac:dyDescent="0.3">
      <c r="A152" s="198"/>
      <c r="B152" s="214" t="s">
        <v>1142</v>
      </c>
      <c r="C152" s="434"/>
      <c r="D152" s="434"/>
      <c r="E152" s="225">
        <f>SUM(E147:E151)</f>
        <v>0</v>
      </c>
      <c r="F152" s="226">
        <f>SUM(F147:F151)</f>
        <v>0</v>
      </c>
      <c r="G152" s="290"/>
      <c r="H152" s="199"/>
    </row>
    <row r="153" spans="1:8" x14ac:dyDescent="0.3">
      <c r="A153" s="198"/>
      <c r="B153" s="180" t="s">
        <v>1122</v>
      </c>
      <c r="C153" s="192" t="s">
        <v>1131</v>
      </c>
      <c r="D153" s="192" t="str">
        <f>IF(((DATE(IF($C$4="Todos",2026,$C$4),8,1)+MOD(8-WEEKDAY(DATE(IF($C$4="Todos",2026,$C$4),8,1),2),7))+(1-1)*7)&gt;EOMONTH(DATE(IF($C$4="Todos",2026,$C$4),8,1),0),"",TEXT(((DATE(IF($C$4="Todos",2026,$C$4),8,1)+MOD(8-WEEKDAY(DATE(IF($C$4="Todos",2026,$C$4),8,1),2),7))+(1-1)*7),"dd/mm")&amp;" - "&amp;TEXT(MIN((((DATE(IF($C$4="Todos",2026,$C$4),8,1)+MOD(8-WEEKDAY(DATE(IF($C$4="Todos",2026,$C$4),8,1),2),7))+(1-1)*7)+6),EOMONTH(DATE(IF($C$4="Todos",2026,$C$4),8,1),0)),"dd/mm"))</f>
        <v>03/08 - 09/08</v>
      </c>
      <c r="E153" s="186" cm="1">
        <f t="array" ref="E153">(($E$4="Todos")+($E$4="Agosto")&gt;0)*SUMPRODUCT(('GESTAO OPERACAO'!$AA$2:$AA$632="SEMANA 01 / AGO / "&amp;IF($C$4="Todos","",$C$4))*(('GESTAO OPERACAO'!$S$2:$S$632="EM PRODUÇÃO")+('GESTAO OPERACAO'!$S$2:$S$632="PENDENTE")&gt;0))</f>
        <v>0</v>
      </c>
      <c r="F153" s="187" cm="1">
        <f t="array" ref="F153">(($E$4="Todos")+($E$4="Agosto")&gt;0)*SUMPRODUCT(('GESTAO OPERACAO'!$AA$2:$AA$632="SEMANA 01 / AGO / "&amp;IF($C$4="Todos","",$C$4))*(('GESTAO OPERACAO'!$S$2:$S$632="EM PRODUÇÃO")+('GESTAO OPERACAO'!$S$2:$S$632="PENDENTE")&gt;0)*IFERROR('GESTAO OPERACAO'!$P$2:$P$632*1,0))</f>
        <v>0</v>
      </c>
      <c r="G153" s="289"/>
      <c r="H153" s="199"/>
    </row>
    <row r="154" spans="1:8" x14ac:dyDescent="0.3">
      <c r="A154" s="198"/>
      <c r="B154" s="180" t="s">
        <v>1122</v>
      </c>
      <c r="C154" s="192" t="s">
        <v>1132</v>
      </c>
      <c r="D154" s="192" t="str">
        <f>IF(((DATE(IF($C$4="Todos",2026,$C$4),8,1)+MOD(8-WEEKDAY(DATE(IF($C$4="Todos",2026,$C$4),8,1),2),7))+(2-1)*7)&gt;EOMONTH(DATE(IF($C$4="Todos",2026,$C$4),8,1),0),"",TEXT(((DATE(IF($C$4="Todos",2026,$C$4),8,1)+MOD(8-WEEKDAY(DATE(IF($C$4="Todos",2026,$C$4),8,1),2),7))+(2-1)*7),"dd/mm")&amp;" - "&amp;TEXT(MIN((((DATE(IF($C$4="Todos",2026,$C$4),8,1)+MOD(8-WEEKDAY(DATE(IF($C$4="Todos",2026,$C$4),8,1),2),7))+(2-1)*7)+6),EOMONTH(DATE(IF($C$4="Todos",2026,$C$4),8,1),0)),"dd/mm"))</f>
        <v>10/08 - 16/08</v>
      </c>
      <c r="E154" s="186" cm="1">
        <f t="array" ref="E154">(($E$4="Todos")+($E$4="Agosto")&gt;0)*SUMPRODUCT(('GESTAO OPERACAO'!$AA$2:$AA$632="SEMANA 02 / AGO / "&amp;IF($C$4="Todos","",$C$4))*(('GESTAO OPERACAO'!$S$2:$S$632="EM PRODUÇÃO")+('GESTAO OPERACAO'!$S$2:$S$632="PENDENTE")&gt;0))</f>
        <v>0</v>
      </c>
      <c r="F154" s="187" cm="1">
        <f t="array" ref="F154">(($E$4="Todos")+($E$4="Agosto")&gt;0)*SUMPRODUCT(('GESTAO OPERACAO'!$AA$2:$AA$632="SEMANA 02 / AGO / "&amp;IF($C$4="Todos","",$C$4))*(('GESTAO OPERACAO'!$S$2:$S$632="EM PRODUÇÃO")+('GESTAO OPERACAO'!$S$2:$S$632="PENDENTE")&gt;0)*IFERROR('GESTAO OPERACAO'!$P$2:$P$632*1,0))</f>
        <v>0</v>
      </c>
      <c r="G154" s="289"/>
      <c r="H154" s="199"/>
    </row>
    <row r="155" spans="1:8" x14ac:dyDescent="0.3">
      <c r="A155" s="198"/>
      <c r="B155" s="180" t="s">
        <v>1122</v>
      </c>
      <c r="C155" s="192" t="s">
        <v>1133</v>
      </c>
      <c r="D155" s="192" t="str">
        <f>IF(((DATE(IF($C$4="Todos",2026,$C$4),8,1)+MOD(8-WEEKDAY(DATE(IF($C$4="Todos",2026,$C$4),8,1),2),7))+(3-1)*7)&gt;EOMONTH(DATE(IF($C$4="Todos",2026,$C$4),8,1),0),"",TEXT(((DATE(IF($C$4="Todos",2026,$C$4),8,1)+MOD(8-WEEKDAY(DATE(IF($C$4="Todos",2026,$C$4),8,1),2),7))+(3-1)*7),"dd/mm")&amp;" - "&amp;TEXT(MIN((((DATE(IF($C$4="Todos",2026,$C$4),8,1)+MOD(8-WEEKDAY(DATE(IF($C$4="Todos",2026,$C$4),8,1),2),7))+(3-1)*7)+6),EOMONTH(DATE(IF($C$4="Todos",2026,$C$4),8,1),0)),"dd/mm"))</f>
        <v>17/08 - 23/08</v>
      </c>
      <c r="E155" s="186" cm="1">
        <f t="array" ref="E155">(($E$4="Todos")+($E$4="Agosto")&gt;0)*SUMPRODUCT(('GESTAO OPERACAO'!$AA$2:$AA$632="SEMANA 03 / AGO / "&amp;IF($C$4="Todos","",$C$4))*(('GESTAO OPERACAO'!$S$2:$S$632="EM PRODUÇÃO")+('GESTAO OPERACAO'!$S$2:$S$632="PENDENTE")&gt;0))</f>
        <v>0</v>
      </c>
      <c r="F155" s="187" cm="1">
        <f t="array" ref="F155">(($E$4="Todos")+($E$4="Agosto")&gt;0)*SUMPRODUCT(('GESTAO OPERACAO'!$AA$2:$AA$632="SEMANA 03 / AGO / "&amp;IF($C$4="Todos","",$C$4))*(('GESTAO OPERACAO'!$S$2:$S$632="EM PRODUÇÃO")+('GESTAO OPERACAO'!$S$2:$S$632="PENDENTE")&gt;0)*IFERROR('GESTAO OPERACAO'!$P$2:$P$632*1,0))</f>
        <v>0</v>
      </c>
      <c r="G155" s="289"/>
      <c r="H155" s="199"/>
    </row>
    <row r="156" spans="1:8" x14ac:dyDescent="0.3">
      <c r="A156" s="198"/>
      <c r="B156" s="180" t="s">
        <v>1122</v>
      </c>
      <c r="C156" s="192" t="s">
        <v>1134</v>
      </c>
      <c r="D156" s="192" t="str">
        <f>IF(((DATE(IF($C$4="Todos",2026,$C$4),8,1)+MOD(8-WEEKDAY(DATE(IF($C$4="Todos",2026,$C$4),8,1),2),7))+(4-1)*7)&gt;EOMONTH(DATE(IF($C$4="Todos",2026,$C$4),8,1),0),"",TEXT(((DATE(IF($C$4="Todos",2026,$C$4),8,1)+MOD(8-WEEKDAY(DATE(IF($C$4="Todos",2026,$C$4),8,1),2),7))+(4-1)*7),"dd/mm")&amp;" - "&amp;TEXT(MIN((((DATE(IF($C$4="Todos",2026,$C$4),8,1)+MOD(8-WEEKDAY(DATE(IF($C$4="Todos",2026,$C$4),8,1),2),7))+(4-1)*7)+6),EOMONTH(DATE(IF($C$4="Todos",2026,$C$4),8,1),0)),"dd/mm"))</f>
        <v>24/08 - 30/08</v>
      </c>
      <c r="E156" s="186" cm="1">
        <f t="array" ref="E156">(($E$4="Todos")+($E$4="Agosto")&gt;0)*SUMPRODUCT(('GESTAO OPERACAO'!$AA$2:$AA$632="SEMANA 04 / AGO / "&amp;IF($C$4="Todos","",$C$4))*(('GESTAO OPERACAO'!$S$2:$S$632="EM PRODUÇÃO")+('GESTAO OPERACAO'!$S$2:$S$632="PENDENTE")&gt;0))</f>
        <v>12</v>
      </c>
      <c r="F156" s="187" cm="1">
        <f t="array" ref="F156">(($E$4="Todos")+($E$4="Agosto")&gt;0)*SUMPRODUCT(('GESTAO OPERACAO'!$AA$2:$AA$632="SEMANA 04 / AGO / "&amp;IF($C$4="Todos","",$C$4))*(('GESTAO OPERACAO'!$S$2:$S$632="EM PRODUÇÃO")+('GESTAO OPERACAO'!$S$2:$S$632="PENDENTE")&gt;0)*IFERROR('GESTAO OPERACAO'!$P$2:$P$632*1,0))</f>
        <v>369841.20999999996</v>
      </c>
      <c r="G156" s="289"/>
      <c r="H156" s="199"/>
    </row>
    <row r="157" spans="1:8" x14ac:dyDescent="0.3">
      <c r="A157" s="198"/>
      <c r="B157" s="180" t="s">
        <v>1122</v>
      </c>
      <c r="C157" s="192" t="s">
        <v>1135</v>
      </c>
      <c r="D157" s="192" t="str">
        <f>IF(((DATE(IF($C$4="Todos",2026,$C$4),8,1)+MOD(8-WEEKDAY(DATE(IF($C$4="Todos",2026,$C$4),8,1),2),7))+(5-1)*7)&gt;EOMONTH(DATE(IF($C$4="Todos",2026,$C$4),8,1),0),"",TEXT(((DATE(IF($C$4="Todos",2026,$C$4),8,1)+MOD(8-WEEKDAY(DATE(IF($C$4="Todos",2026,$C$4),8,1),2),7))+(5-1)*7),"dd/mm")&amp;" - "&amp;TEXT(MIN((((DATE(IF($C$4="Todos",2026,$C$4),8,1)+MOD(8-WEEKDAY(DATE(IF($C$4="Todos",2026,$C$4),8,1),2),7))+(5-1)*7)+6),EOMONTH(DATE(IF($C$4="Todos",2026,$C$4),8,1),0)),"dd/mm"))</f>
        <v>31/08 - 31/08</v>
      </c>
      <c r="E157" s="186" cm="1">
        <f t="array" ref="E157">(($E$4="Todos")+($E$4="Agosto")&gt;0)*SUMPRODUCT(('GESTAO OPERACAO'!$AA$2:$AA$632="SEMANA 05 / AGO / "&amp;IF($C$4="Todos","",$C$4))*(('GESTAO OPERACAO'!$S$2:$S$632="EM PRODUÇÃO")+('GESTAO OPERACAO'!$S$2:$S$632="PENDENTE")&gt;0))</f>
        <v>0</v>
      </c>
      <c r="F157" s="187" cm="1">
        <f t="array" ref="F157">(($E$4="Todos")+($E$4="Agosto")&gt;0)*SUMPRODUCT(('GESTAO OPERACAO'!$AA$2:$AA$632="SEMANA 05 / AGO / "&amp;IF($C$4="Todos","",$C$4))*(('GESTAO OPERACAO'!$S$2:$S$632="EM PRODUÇÃO")+('GESTAO OPERACAO'!$S$2:$S$632="PENDENTE")&gt;0)*IFERROR('GESTAO OPERACAO'!$P$2:$P$632*1,0))</f>
        <v>0</v>
      </c>
      <c r="G157" s="289"/>
      <c r="H157" s="199"/>
    </row>
    <row r="158" spans="1:8" x14ac:dyDescent="0.3">
      <c r="A158" s="198"/>
      <c r="B158" s="214" t="s">
        <v>1143</v>
      </c>
      <c r="C158" s="434"/>
      <c r="D158" s="434"/>
      <c r="E158" s="225">
        <f>SUM(E153:E157)</f>
        <v>12</v>
      </c>
      <c r="F158" s="226">
        <f>SUM(F153:F157)</f>
        <v>369841.20999999996</v>
      </c>
      <c r="G158" s="290"/>
      <c r="H158" s="199"/>
    </row>
    <row r="159" spans="1:8" x14ac:dyDescent="0.3">
      <c r="A159" s="198"/>
      <c r="B159" s="180" t="s">
        <v>1123</v>
      </c>
      <c r="C159" s="192" t="s">
        <v>1131</v>
      </c>
      <c r="D159" s="192" t="str">
        <f>IF(((DATE(IF($C$4="Todos",2026,$C$4),9,1)+MOD(8-WEEKDAY(DATE(IF($C$4="Todos",2026,$C$4),9,1),2),7))+(1-1)*7)&gt;EOMONTH(DATE(IF($C$4="Todos",2026,$C$4),9,1),0),"",TEXT(((DATE(IF($C$4="Todos",2026,$C$4),9,1)+MOD(8-WEEKDAY(DATE(IF($C$4="Todos",2026,$C$4),9,1),2),7))+(1-1)*7),"dd/mm")&amp;" - "&amp;TEXT(MIN((((DATE(IF($C$4="Todos",2026,$C$4),9,1)+MOD(8-WEEKDAY(DATE(IF($C$4="Todos",2026,$C$4),9,1),2),7))+(1-1)*7)+6),EOMONTH(DATE(IF($C$4="Todos",2026,$C$4),9,1),0)),"dd/mm"))</f>
        <v>07/09 - 13/09</v>
      </c>
      <c r="E159" s="186" cm="1">
        <f t="array" ref="E159">(($E$4="Todos")+($E$4="Setembro")&gt;0)*SUMPRODUCT(('GESTAO OPERACAO'!$AA$2:$AA$632="SEMANA 01 / SET / "&amp;IF($C$4="Todos","",$C$4))*(('GESTAO OPERACAO'!$S$2:$S$632="EM PRODUÇÃO")+('GESTAO OPERACAO'!$S$2:$S$632="PENDENTE")&gt;0))</f>
        <v>2</v>
      </c>
      <c r="F159" s="187" cm="1">
        <f t="array" ref="F159">(($E$4="Todos")+($E$4="Setembro")&gt;0)*SUMPRODUCT(('GESTAO OPERACAO'!$AA$2:$AA$632="SEMANA 01 / SET / "&amp;IF($C$4="Todos","",$C$4))*(('GESTAO OPERACAO'!$S$2:$S$632="EM PRODUÇÃO")+('GESTAO OPERACAO'!$S$2:$S$632="PENDENTE")&gt;0)*IFERROR('GESTAO OPERACAO'!$P$2:$P$632*1,0))</f>
        <v>27968.35</v>
      </c>
      <c r="G159" s="289"/>
      <c r="H159" s="199"/>
    </row>
    <row r="160" spans="1:8" x14ac:dyDescent="0.3">
      <c r="A160" s="198"/>
      <c r="B160" s="180" t="s">
        <v>1123</v>
      </c>
      <c r="C160" s="192" t="s">
        <v>1132</v>
      </c>
      <c r="D160" s="192" t="str">
        <f>IF(((DATE(IF($C$4="Todos",2026,$C$4),9,1)+MOD(8-WEEKDAY(DATE(IF($C$4="Todos",2026,$C$4),9,1),2),7))+(2-1)*7)&gt;EOMONTH(DATE(IF($C$4="Todos",2026,$C$4),9,1),0),"",TEXT(((DATE(IF($C$4="Todos",2026,$C$4),9,1)+MOD(8-WEEKDAY(DATE(IF($C$4="Todos",2026,$C$4),9,1),2),7))+(2-1)*7),"dd/mm")&amp;" - "&amp;TEXT(MIN((((DATE(IF($C$4="Todos",2026,$C$4),9,1)+MOD(8-WEEKDAY(DATE(IF($C$4="Todos",2026,$C$4),9,1),2),7))+(2-1)*7)+6),EOMONTH(DATE(IF($C$4="Todos",2026,$C$4),9,1),0)),"dd/mm"))</f>
        <v>14/09 - 20/09</v>
      </c>
      <c r="E160" s="186" cm="1">
        <f t="array" ref="E160">(($E$4="Todos")+($E$4="Setembro")&gt;0)*SUMPRODUCT(('GESTAO OPERACAO'!$AA$2:$AA$632="SEMANA 02 / SET / "&amp;IF($C$4="Todos","",$C$4))*(('GESTAO OPERACAO'!$S$2:$S$632="EM PRODUÇÃO")+('GESTAO OPERACAO'!$S$2:$S$632="PENDENTE")&gt;0))</f>
        <v>2</v>
      </c>
      <c r="F160" s="187" cm="1">
        <f t="array" ref="F160">(($E$4="Todos")+($E$4="Setembro")&gt;0)*SUMPRODUCT(('GESTAO OPERACAO'!$AA$2:$AA$632="SEMANA 02 / SET / "&amp;IF($C$4="Todos","",$C$4))*(('GESTAO OPERACAO'!$S$2:$S$632="EM PRODUÇÃO")+('GESTAO OPERACAO'!$S$2:$S$632="PENDENTE")&gt;0)*IFERROR('GESTAO OPERACAO'!$P$2:$P$632*1,0))</f>
        <v>72864.97</v>
      </c>
      <c r="G160" s="289"/>
      <c r="H160" s="199"/>
    </row>
    <row r="161" spans="1:8" x14ac:dyDescent="0.3">
      <c r="A161" s="198"/>
      <c r="B161" s="180" t="s">
        <v>1123</v>
      </c>
      <c r="C161" s="192" t="s">
        <v>1133</v>
      </c>
      <c r="D161" s="192" t="str">
        <f>IF(((DATE(IF($C$4="Todos",2026,$C$4),9,1)+MOD(8-WEEKDAY(DATE(IF($C$4="Todos",2026,$C$4),9,1),2),7))+(3-1)*7)&gt;EOMONTH(DATE(IF($C$4="Todos",2026,$C$4),9,1),0),"",TEXT(((DATE(IF($C$4="Todos",2026,$C$4),9,1)+MOD(8-WEEKDAY(DATE(IF($C$4="Todos",2026,$C$4),9,1),2),7))+(3-1)*7),"dd/mm")&amp;" - "&amp;TEXT(MIN((((DATE(IF($C$4="Todos",2026,$C$4),9,1)+MOD(8-WEEKDAY(DATE(IF($C$4="Todos",2026,$C$4),9,1),2),7))+(3-1)*7)+6),EOMONTH(DATE(IF($C$4="Todos",2026,$C$4),9,1),0)),"dd/mm"))</f>
        <v>21/09 - 27/09</v>
      </c>
      <c r="E161" s="186" cm="1">
        <f t="array" ref="E161">(($E$4="Todos")+($E$4="Setembro")&gt;0)*SUMPRODUCT(('GESTAO OPERACAO'!$AA$2:$AA$632="SEMANA 03 / SET / "&amp;IF($C$4="Todos","",$C$4))*(('GESTAO OPERACAO'!$S$2:$S$632="EM PRODUÇÃO")+('GESTAO OPERACAO'!$S$2:$S$632="PENDENTE")&gt;0))</f>
        <v>2</v>
      </c>
      <c r="F161" s="187" cm="1">
        <f t="array" ref="F161">(($E$4="Todos")+($E$4="Setembro")&gt;0)*SUMPRODUCT(('GESTAO OPERACAO'!$AA$2:$AA$632="SEMANA 03 / SET / "&amp;IF($C$4="Todos","",$C$4))*(('GESTAO OPERACAO'!$S$2:$S$632="EM PRODUÇÃO")+('GESTAO OPERACAO'!$S$2:$S$632="PENDENTE")&gt;0)*IFERROR('GESTAO OPERACAO'!$P$2:$P$632*1,0))</f>
        <v>74056.73</v>
      </c>
      <c r="G161" s="289"/>
      <c r="H161" s="199"/>
    </row>
    <row r="162" spans="1:8" x14ac:dyDescent="0.3">
      <c r="A162" s="198"/>
      <c r="B162" s="180" t="s">
        <v>1123</v>
      </c>
      <c r="C162" s="192" t="s">
        <v>1134</v>
      </c>
      <c r="D162" s="192" t="str">
        <f>IF(((DATE(IF($C$4="Todos",2026,$C$4),9,1)+MOD(8-WEEKDAY(DATE(IF($C$4="Todos",2026,$C$4),9,1),2),7))+(4-1)*7)&gt;EOMONTH(DATE(IF($C$4="Todos",2026,$C$4),9,1),0),"",TEXT(((DATE(IF($C$4="Todos",2026,$C$4),9,1)+MOD(8-WEEKDAY(DATE(IF($C$4="Todos",2026,$C$4),9,1),2),7))+(4-1)*7),"dd/mm")&amp;" - "&amp;TEXT(MIN((((DATE(IF($C$4="Todos",2026,$C$4),9,1)+MOD(8-WEEKDAY(DATE(IF($C$4="Todos",2026,$C$4),9,1),2),7))+(4-1)*7)+6),EOMONTH(DATE(IF($C$4="Todos",2026,$C$4),9,1),0)),"dd/mm"))</f>
        <v>28/09 - 30/09</v>
      </c>
      <c r="E162" s="186" cm="1">
        <f t="array" ref="E162">(($E$4="Todos")+($E$4="Setembro")&gt;0)*SUMPRODUCT(('GESTAO OPERACAO'!$AA$2:$AA$632="SEMANA 04 / SET / "&amp;IF($C$4="Todos","",$C$4))*(('GESTAO OPERACAO'!$S$2:$S$632="EM PRODUÇÃO")+('GESTAO OPERACAO'!$S$2:$S$632="PENDENTE")&gt;0))</f>
        <v>1</v>
      </c>
      <c r="F162" s="187" cm="1">
        <f t="array" ref="F162">(($E$4="Todos")+($E$4="Setembro")&gt;0)*SUMPRODUCT(('GESTAO OPERACAO'!$AA$2:$AA$632="SEMANA 04 / SET / "&amp;IF($C$4="Todos","",$C$4))*(('GESTAO OPERACAO'!$S$2:$S$632="EM PRODUÇÃO")+('GESTAO OPERACAO'!$S$2:$S$632="PENDENTE")&gt;0)*IFERROR('GESTAO OPERACAO'!$P$2:$P$632*1,0))</f>
        <v>81400</v>
      </c>
      <c r="G162" s="289"/>
      <c r="H162" s="199"/>
    </row>
    <row r="163" spans="1:8" x14ac:dyDescent="0.3">
      <c r="A163" s="198"/>
      <c r="B163" s="180" t="s">
        <v>1123</v>
      </c>
      <c r="C163" s="192" t="s">
        <v>1135</v>
      </c>
      <c r="D163" s="192" t="str">
        <f>IF(((DATE(IF($C$4="Todos",2026,$C$4),9,1)+MOD(8-WEEKDAY(DATE(IF($C$4="Todos",2026,$C$4),9,1),2),7))+(5-1)*7)&gt;EOMONTH(DATE(IF($C$4="Todos",2026,$C$4),9,1),0),"",TEXT(((DATE(IF($C$4="Todos",2026,$C$4),9,1)+MOD(8-WEEKDAY(DATE(IF($C$4="Todos",2026,$C$4),9,1),2),7))+(5-1)*7),"dd/mm")&amp;" - "&amp;TEXT(MIN((((DATE(IF($C$4="Todos",2026,$C$4),9,1)+MOD(8-WEEKDAY(DATE(IF($C$4="Todos",2026,$C$4),9,1),2),7))+(5-1)*7)+6),EOMONTH(DATE(IF($C$4="Todos",2026,$C$4),9,1),0)),"dd/mm"))</f>
        <v/>
      </c>
      <c r="E163" s="186" cm="1">
        <f t="array" ref="E163">(($E$4="Todos")+($E$4="Setembro")&gt;0)*SUMPRODUCT(('GESTAO OPERACAO'!$AA$2:$AA$632="SEMANA 05 / SET / "&amp;IF($C$4="Todos","",$C$4))*(('GESTAO OPERACAO'!$S$2:$S$632="EM PRODUÇÃO")+('GESTAO OPERACAO'!$S$2:$S$632="PENDENTE")&gt;0))</f>
        <v>2</v>
      </c>
      <c r="F163" s="187" cm="1">
        <f t="array" ref="F163">(($E$4="Todos")+($E$4="Setembro")&gt;0)*SUMPRODUCT(('GESTAO OPERACAO'!$AA$2:$AA$632="SEMANA 05 / SET / "&amp;IF($C$4="Todos","",$C$4))*(('GESTAO OPERACAO'!$S$2:$S$632="EM PRODUÇÃO")+('GESTAO OPERACAO'!$S$2:$S$632="PENDENTE")&gt;0)*IFERROR('GESTAO OPERACAO'!$P$2:$P$632*1,0))</f>
        <v>121475.28</v>
      </c>
      <c r="G163" s="289"/>
      <c r="H163" s="199"/>
    </row>
    <row r="164" spans="1:8" x14ac:dyDescent="0.3">
      <c r="A164" s="198"/>
      <c r="B164" s="214" t="s">
        <v>1144</v>
      </c>
      <c r="C164" s="434"/>
      <c r="D164" s="434"/>
      <c r="E164" s="225">
        <f>SUM(E159:E163)</f>
        <v>9</v>
      </c>
      <c r="F164" s="226">
        <f>SUM(F159:F163)</f>
        <v>377765.32999999996</v>
      </c>
      <c r="G164" s="290"/>
      <c r="H164" s="199"/>
    </row>
    <row r="165" spans="1:8" x14ac:dyDescent="0.3">
      <c r="A165" s="198"/>
      <c r="B165" s="180" t="s">
        <v>1124</v>
      </c>
      <c r="C165" s="192" t="s">
        <v>1131</v>
      </c>
      <c r="D165" s="192" t="str">
        <f>IF(((DATE(IF($C$4="Todos",2026,$C$4),10,1)+MOD(8-WEEKDAY(DATE(IF($C$4="Todos",2026,$C$4),10,1),2),7))+(1-1)*7)&gt;EOMONTH(DATE(IF($C$4="Todos",2026,$C$4),10,1),0),"",TEXT(((DATE(IF($C$4="Todos",2026,$C$4),10,1)+MOD(8-WEEKDAY(DATE(IF($C$4="Todos",2026,$C$4),10,1),2),7))+(1-1)*7),"dd/mm")&amp;" - "&amp;TEXT(MIN((((DATE(IF($C$4="Todos",2026,$C$4),10,1)+MOD(8-WEEKDAY(DATE(IF($C$4="Todos",2026,$C$4),10,1),2),7))+(1-1)*7)+6),EOMONTH(DATE(IF($C$4="Todos",2026,$C$4),10,1),0)),"dd/mm"))</f>
        <v>05/10 - 11/10</v>
      </c>
      <c r="E165" s="186" cm="1">
        <f t="array" ref="E165">(($E$4="Todos")+($E$4="Outubro")&gt;0)*SUMPRODUCT(('GESTAO OPERACAO'!$AA$2:$AA$632="SEMANA 01 / OUT / "&amp;IF($C$4="Todos","",$C$4))*(('GESTAO OPERACAO'!$S$2:$S$632="EM PRODUÇÃO")+('GESTAO OPERACAO'!$S$2:$S$632="PENDENTE")&gt;0))</f>
        <v>0</v>
      </c>
      <c r="F165" s="187" cm="1">
        <f t="array" ref="F165">(($E$4="Todos")+($E$4="Outubro")&gt;0)*SUMPRODUCT(('GESTAO OPERACAO'!$AA$2:$AA$632="SEMANA 01 / OUT / "&amp;IF($C$4="Todos","",$C$4))*(('GESTAO OPERACAO'!$S$2:$S$632="EM PRODUÇÃO")+('GESTAO OPERACAO'!$S$2:$S$632="PENDENTE")&gt;0)*IFERROR('GESTAO OPERACAO'!$P$2:$P$632*1,0))</f>
        <v>0</v>
      </c>
      <c r="G165" s="289"/>
      <c r="H165" s="199"/>
    </row>
    <row r="166" spans="1:8" x14ac:dyDescent="0.3">
      <c r="A166" s="198"/>
      <c r="B166" s="180" t="s">
        <v>1124</v>
      </c>
      <c r="C166" s="192" t="s">
        <v>1132</v>
      </c>
      <c r="D166" s="192" t="str">
        <f>IF(((DATE(IF($C$4="Todos",2026,$C$4),10,1)+MOD(8-WEEKDAY(DATE(IF($C$4="Todos",2026,$C$4),10,1),2),7))+(2-1)*7)&gt;EOMONTH(DATE(IF($C$4="Todos",2026,$C$4),10,1),0),"",TEXT(((DATE(IF($C$4="Todos",2026,$C$4),10,1)+MOD(8-WEEKDAY(DATE(IF($C$4="Todos",2026,$C$4),10,1),2),7))+(2-1)*7),"dd/mm")&amp;" - "&amp;TEXT(MIN((((DATE(IF($C$4="Todos",2026,$C$4),10,1)+MOD(8-WEEKDAY(DATE(IF($C$4="Todos",2026,$C$4),10,1),2),7))+(2-1)*7)+6),EOMONTH(DATE(IF($C$4="Todos",2026,$C$4),10,1),0)),"dd/mm"))</f>
        <v>12/10 - 18/10</v>
      </c>
      <c r="E166" s="186" cm="1">
        <f t="array" ref="E166">(($E$4="Todos")+($E$4="Outubro")&gt;0)*SUMPRODUCT(('GESTAO OPERACAO'!$AA$2:$AA$632="SEMANA 02 / OUT / "&amp;IF($C$4="Todos","",$C$4))*(('GESTAO OPERACAO'!$S$2:$S$632="EM PRODUÇÃO")+('GESTAO OPERACAO'!$S$2:$S$632="PENDENTE")&gt;0))</f>
        <v>0</v>
      </c>
      <c r="F166" s="187" cm="1">
        <f t="array" ref="F166">(($E$4="Todos")+($E$4="Outubro")&gt;0)*SUMPRODUCT(('GESTAO OPERACAO'!$AA$2:$AA$632="SEMANA 02 / OUT / "&amp;IF($C$4="Todos","",$C$4))*(('GESTAO OPERACAO'!$S$2:$S$632="EM PRODUÇÃO")+('GESTAO OPERACAO'!$S$2:$S$632="PENDENTE")&gt;0)*IFERROR('GESTAO OPERACAO'!$P$2:$P$632*1,0))</f>
        <v>0</v>
      </c>
      <c r="G166" s="289"/>
      <c r="H166" s="199"/>
    </row>
    <row r="167" spans="1:8" x14ac:dyDescent="0.3">
      <c r="A167" s="198"/>
      <c r="B167" s="180" t="s">
        <v>1124</v>
      </c>
      <c r="C167" s="192" t="s">
        <v>1133</v>
      </c>
      <c r="D167" s="192" t="str">
        <f>IF(((DATE(IF($C$4="Todos",2026,$C$4),10,1)+MOD(8-WEEKDAY(DATE(IF($C$4="Todos",2026,$C$4),10,1),2),7))+(3-1)*7)&gt;EOMONTH(DATE(IF($C$4="Todos",2026,$C$4),10,1),0),"",TEXT(((DATE(IF($C$4="Todos",2026,$C$4),10,1)+MOD(8-WEEKDAY(DATE(IF($C$4="Todos",2026,$C$4),10,1),2),7))+(3-1)*7),"dd/mm")&amp;" - "&amp;TEXT(MIN((((DATE(IF($C$4="Todos",2026,$C$4),10,1)+MOD(8-WEEKDAY(DATE(IF($C$4="Todos",2026,$C$4),10,1),2),7))+(3-1)*7)+6),EOMONTH(DATE(IF($C$4="Todos",2026,$C$4),10,1),0)),"dd/mm"))</f>
        <v>19/10 - 25/10</v>
      </c>
      <c r="E167" s="186" cm="1">
        <f t="array" ref="E167">(($E$4="Todos")+($E$4="Outubro")&gt;0)*SUMPRODUCT(('GESTAO OPERACAO'!$AA$2:$AA$632="SEMANA 03 / OUT / "&amp;IF($C$4="Todos","",$C$4))*(('GESTAO OPERACAO'!$S$2:$S$632="EM PRODUÇÃO")+('GESTAO OPERACAO'!$S$2:$S$632="PENDENTE")&gt;0))</f>
        <v>0</v>
      </c>
      <c r="F167" s="187" cm="1">
        <f t="array" ref="F167">(($E$4="Todos")+($E$4="Outubro")&gt;0)*SUMPRODUCT(('GESTAO OPERACAO'!$AA$2:$AA$632="SEMANA 03 / OUT / "&amp;IF($C$4="Todos","",$C$4))*(('GESTAO OPERACAO'!$S$2:$S$632="EM PRODUÇÃO")+('GESTAO OPERACAO'!$S$2:$S$632="PENDENTE")&gt;0)*IFERROR('GESTAO OPERACAO'!$P$2:$P$632*1,0))</f>
        <v>0</v>
      </c>
      <c r="G167" s="289"/>
      <c r="H167" s="199"/>
    </row>
    <row r="168" spans="1:8" x14ac:dyDescent="0.3">
      <c r="A168" s="198"/>
      <c r="B168" s="180" t="s">
        <v>1124</v>
      </c>
      <c r="C168" s="192" t="s">
        <v>1134</v>
      </c>
      <c r="D168" s="192" t="str">
        <f>IF(((DATE(IF($C$4="Todos",2026,$C$4),10,1)+MOD(8-WEEKDAY(DATE(IF($C$4="Todos",2026,$C$4),10,1),2),7))+(4-1)*7)&gt;EOMONTH(DATE(IF($C$4="Todos",2026,$C$4),10,1),0),"",TEXT(((DATE(IF($C$4="Todos",2026,$C$4),10,1)+MOD(8-WEEKDAY(DATE(IF($C$4="Todos",2026,$C$4),10,1),2),7))+(4-1)*7),"dd/mm")&amp;" - "&amp;TEXT(MIN((((DATE(IF($C$4="Todos",2026,$C$4),10,1)+MOD(8-WEEKDAY(DATE(IF($C$4="Todos",2026,$C$4),10,1),2),7))+(4-1)*7)+6),EOMONTH(DATE(IF($C$4="Todos",2026,$C$4),10,1),0)),"dd/mm"))</f>
        <v>26/10 - 31/10</v>
      </c>
      <c r="E168" s="186" cm="1">
        <f t="array" ref="E168">(($E$4="Todos")+($E$4="Outubro")&gt;0)*SUMPRODUCT(('GESTAO OPERACAO'!$AA$2:$AA$632="SEMANA 04 / OUT / "&amp;IF($C$4="Todos","",$C$4))*(('GESTAO OPERACAO'!$S$2:$S$632="EM PRODUÇÃO")+('GESTAO OPERACAO'!$S$2:$S$632="PENDENTE")&gt;0))</f>
        <v>0</v>
      </c>
      <c r="F168" s="187" cm="1">
        <f t="array" ref="F168">(($E$4="Todos")+($E$4="Outubro")&gt;0)*SUMPRODUCT(('GESTAO OPERACAO'!$AA$2:$AA$632="SEMANA 04 / OUT / "&amp;IF($C$4="Todos","",$C$4))*(('GESTAO OPERACAO'!$S$2:$S$632="EM PRODUÇÃO")+('GESTAO OPERACAO'!$S$2:$S$632="PENDENTE")&gt;0)*IFERROR('GESTAO OPERACAO'!$P$2:$P$632*1,0))</f>
        <v>0</v>
      </c>
      <c r="G168" s="289"/>
      <c r="H168" s="199"/>
    </row>
    <row r="169" spans="1:8" x14ac:dyDescent="0.3">
      <c r="A169" s="198"/>
      <c r="B169" s="180" t="s">
        <v>1124</v>
      </c>
      <c r="C169" s="192" t="s">
        <v>1135</v>
      </c>
      <c r="D169" s="192" t="str">
        <f>IF(((DATE(IF($C$4="Todos",2026,$C$4),10,1)+MOD(8-WEEKDAY(DATE(IF($C$4="Todos",2026,$C$4),10,1),2),7))+(5-1)*7)&gt;EOMONTH(DATE(IF($C$4="Todos",2026,$C$4),10,1),0),"",TEXT(((DATE(IF($C$4="Todos",2026,$C$4),10,1)+MOD(8-WEEKDAY(DATE(IF($C$4="Todos",2026,$C$4),10,1),2),7))+(5-1)*7),"dd/mm")&amp;" - "&amp;TEXT(MIN((((DATE(IF($C$4="Todos",2026,$C$4),10,1)+MOD(8-WEEKDAY(DATE(IF($C$4="Todos",2026,$C$4),10,1),2),7))+(5-1)*7)+6),EOMONTH(DATE(IF($C$4="Todos",2026,$C$4),10,1),0)),"dd/mm"))</f>
        <v/>
      </c>
      <c r="E169" s="186" cm="1">
        <f t="array" ref="E169">(($E$4="Todos")+($E$4="Outubro")&gt;0)*SUMPRODUCT(('GESTAO OPERACAO'!$AA$2:$AA$632="SEMANA 05 / OUT / "&amp;IF($C$4="Todos","",$C$4))*(('GESTAO OPERACAO'!$S$2:$S$632="EM PRODUÇÃO")+('GESTAO OPERACAO'!$S$2:$S$632="PENDENTE")&gt;0))</f>
        <v>0</v>
      </c>
      <c r="F169" s="187" cm="1">
        <f t="array" ref="F169">(($E$4="Todos")+($E$4="Outubro")&gt;0)*SUMPRODUCT(('GESTAO OPERACAO'!$AA$2:$AA$632="SEMANA 05 / OUT / "&amp;IF($C$4="Todos","",$C$4))*(('GESTAO OPERACAO'!$S$2:$S$632="EM PRODUÇÃO")+('GESTAO OPERACAO'!$S$2:$S$632="PENDENTE")&gt;0)*IFERROR('GESTAO OPERACAO'!$P$2:$P$632*1,0))</f>
        <v>0</v>
      </c>
      <c r="G169" s="289"/>
      <c r="H169" s="199"/>
    </row>
    <row r="170" spans="1:8" x14ac:dyDescent="0.3">
      <c r="A170" s="198"/>
      <c r="B170" s="214" t="s">
        <v>1145</v>
      </c>
      <c r="C170" s="434"/>
      <c r="D170" s="434"/>
      <c r="E170" s="225">
        <f>SUM(E165:E169)</f>
        <v>0</v>
      </c>
      <c r="F170" s="226">
        <f>SUM(F165:F169)</f>
        <v>0</v>
      </c>
      <c r="G170" s="290"/>
      <c r="H170" s="199"/>
    </row>
    <row r="171" spans="1:8" x14ac:dyDescent="0.3">
      <c r="A171" s="198"/>
      <c r="B171" s="180" t="s">
        <v>1125</v>
      </c>
      <c r="C171" s="192" t="s">
        <v>1131</v>
      </c>
      <c r="D171" s="192" t="str">
        <f>IF(((DATE(IF($C$4="Todos",2026,$C$4),11,1)+MOD(8-WEEKDAY(DATE(IF($C$4="Todos",2026,$C$4),11,1),2),7))+(1-1)*7)&gt;EOMONTH(DATE(IF($C$4="Todos",2026,$C$4),11,1),0),"",TEXT(((DATE(IF($C$4="Todos",2026,$C$4),11,1)+MOD(8-WEEKDAY(DATE(IF($C$4="Todos",2026,$C$4),11,1),2),7))+(1-1)*7),"dd/mm")&amp;" - "&amp;TEXT(MIN((((DATE(IF($C$4="Todos",2026,$C$4),11,1)+MOD(8-WEEKDAY(DATE(IF($C$4="Todos",2026,$C$4),11,1),2),7))+(1-1)*7)+6),EOMONTH(DATE(IF($C$4="Todos",2026,$C$4),11,1),0)),"dd/mm"))</f>
        <v>02/11 - 08/11</v>
      </c>
      <c r="E171" s="186" cm="1">
        <f t="array" ref="E171">(($E$4="Todos")+($E$4="Novembro")&gt;0)*SUMPRODUCT(('GESTAO OPERACAO'!$AA$2:$AA$632="SEMANA 01 / NOV / "&amp;IF($C$4="Todos","",$C$4))*(('GESTAO OPERACAO'!$S$2:$S$632="EM PRODUÇÃO")+('GESTAO OPERACAO'!$S$2:$S$632="PENDENTE")&gt;0))</f>
        <v>0</v>
      </c>
      <c r="F171" s="187" cm="1">
        <f t="array" ref="F171">(($E$4="Todos")+($E$4="Novembro")&gt;0)*SUMPRODUCT(('GESTAO OPERACAO'!$AA$2:$AA$632="SEMANA 01 / NOV / "&amp;IF($C$4="Todos","",$C$4))*(('GESTAO OPERACAO'!$S$2:$S$632="EM PRODUÇÃO")+('GESTAO OPERACAO'!$S$2:$S$632="PENDENTE")&gt;0)*IFERROR('GESTAO OPERACAO'!$P$2:$P$632*1,0))</f>
        <v>0</v>
      </c>
      <c r="G171" s="289"/>
      <c r="H171" s="199"/>
    </row>
    <row r="172" spans="1:8" x14ac:dyDescent="0.3">
      <c r="A172" s="198"/>
      <c r="B172" s="180" t="s">
        <v>1125</v>
      </c>
      <c r="C172" s="192" t="s">
        <v>1132</v>
      </c>
      <c r="D172" s="192" t="str">
        <f>IF(((DATE(IF($C$4="Todos",2026,$C$4),11,1)+MOD(8-WEEKDAY(DATE(IF($C$4="Todos",2026,$C$4),11,1),2),7))+(2-1)*7)&gt;EOMONTH(DATE(IF($C$4="Todos",2026,$C$4),11,1),0),"",TEXT(((DATE(IF($C$4="Todos",2026,$C$4),11,1)+MOD(8-WEEKDAY(DATE(IF($C$4="Todos",2026,$C$4),11,1),2),7))+(2-1)*7),"dd/mm")&amp;" - "&amp;TEXT(MIN((((DATE(IF($C$4="Todos",2026,$C$4),11,1)+MOD(8-WEEKDAY(DATE(IF($C$4="Todos",2026,$C$4),11,1),2),7))+(2-1)*7)+6),EOMONTH(DATE(IF($C$4="Todos",2026,$C$4),11,1),0)),"dd/mm"))</f>
        <v>09/11 - 15/11</v>
      </c>
      <c r="E172" s="186" cm="1">
        <f t="array" ref="E172">(($E$4="Todos")+($E$4="Novembro")&gt;0)*SUMPRODUCT(('GESTAO OPERACAO'!$AA$2:$AA$632="SEMANA 02 / NOV / "&amp;IF($C$4="Todos","",$C$4))*(('GESTAO OPERACAO'!$S$2:$S$632="EM PRODUÇÃO")+('GESTAO OPERACAO'!$S$2:$S$632="PENDENTE")&gt;0))</f>
        <v>0</v>
      </c>
      <c r="F172" s="187" cm="1">
        <f t="array" ref="F172">(($E$4="Todos")+($E$4="Novembro")&gt;0)*SUMPRODUCT(('GESTAO OPERACAO'!$AA$2:$AA$632="SEMANA 02 / NOV / "&amp;IF($C$4="Todos","",$C$4))*(('GESTAO OPERACAO'!$S$2:$S$632="EM PRODUÇÃO")+('GESTAO OPERACAO'!$S$2:$S$632="PENDENTE")&gt;0)*IFERROR('GESTAO OPERACAO'!$P$2:$P$632*1,0))</f>
        <v>0</v>
      </c>
      <c r="G172" s="289"/>
      <c r="H172" s="199"/>
    </row>
    <row r="173" spans="1:8" x14ac:dyDescent="0.3">
      <c r="A173" s="198"/>
      <c r="B173" s="180" t="s">
        <v>1125</v>
      </c>
      <c r="C173" s="192" t="s">
        <v>1133</v>
      </c>
      <c r="D173" s="192" t="str">
        <f>IF(((DATE(IF($C$4="Todos",2026,$C$4),11,1)+MOD(8-WEEKDAY(DATE(IF($C$4="Todos",2026,$C$4),11,1),2),7))+(3-1)*7)&gt;EOMONTH(DATE(IF($C$4="Todos",2026,$C$4),11,1),0),"",TEXT(((DATE(IF($C$4="Todos",2026,$C$4),11,1)+MOD(8-WEEKDAY(DATE(IF($C$4="Todos",2026,$C$4),11,1),2),7))+(3-1)*7),"dd/mm")&amp;" - "&amp;TEXT(MIN((((DATE(IF($C$4="Todos",2026,$C$4),11,1)+MOD(8-WEEKDAY(DATE(IF($C$4="Todos",2026,$C$4),11,1),2),7))+(3-1)*7)+6),EOMONTH(DATE(IF($C$4="Todos",2026,$C$4),11,1),0)),"dd/mm"))</f>
        <v>16/11 - 22/11</v>
      </c>
      <c r="E173" s="186" cm="1">
        <f t="array" ref="E173">(($E$4="Todos")+($E$4="Novembro")&gt;0)*SUMPRODUCT(('GESTAO OPERACAO'!$AA$2:$AA$632="SEMANA 03 / NOV / "&amp;IF($C$4="Todos","",$C$4))*(('GESTAO OPERACAO'!$S$2:$S$632="EM PRODUÇÃO")+('GESTAO OPERACAO'!$S$2:$S$632="PENDENTE")&gt;0))</f>
        <v>0</v>
      </c>
      <c r="F173" s="187" cm="1">
        <f t="array" ref="F173">(($E$4="Todos")+($E$4="Novembro")&gt;0)*SUMPRODUCT(('GESTAO OPERACAO'!$AA$2:$AA$632="SEMANA 03 / NOV / "&amp;IF($C$4="Todos","",$C$4))*(('GESTAO OPERACAO'!$S$2:$S$632="EM PRODUÇÃO")+('GESTAO OPERACAO'!$S$2:$S$632="PENDENTE")&gt;0)*IFERROR('GESTAO OPERACAO'!$P$2:$P$632*1,0))</f>
        <v>0</v>
      </c>
      <c r="G173" s="289"/>
      <c r="H173" s="199"/>
    </row>
    <row r="174" spans="1:8" x14ac:dyDescent="0.3">
      <c r="A174" s="198"/>
      <c r="B174" s="180" t="s">
        <v>1125</v>
      </c>
      <c r="C174" s="192" t="s">
        <v>1134</v>
      </c>
      <c r="D174" s="192" t="str">
        <f>IF(((DATE(IF($C$4="Todos",2026,$C$4),11,1)+MOD(8-WEEKDAY(DATE(IF($C$4="Todos",2026,$C$4),11,1),2),7))+(4-1)*7)&gt;EOMONTH(DATE(IF($C$4="Todos",2026,$C$4),11,1),0),"",TEXT(((DATE(IF($C$4="Todos",2026,$C$4),11,1)+MOD(8-WEEKDAY(DATE(IF($C$4="Todos",2026,$C$4),11,1),2),7))+(4-1)*7),"dd/mm")&amp;" - "&amp;TEXT(MIN((((DATE(IF($C$4="Todos",2026,$C$4),11,1)+MOD(8-WEEKDAY(DATE(IF($C$4="Todos",2026,$C$4),11,1),2),7))+(4-1)*7)+6),EOMONTH(DATE(IF($C$4="Todos",2026,$C$4),11,1),0)),"dd/mm"))</f>
        <v>23/11 - 29/11</v>
      </c>
      <c r="E174" s="186" cm="1">
        <f t="array" ref="E174">(($E$4="Todos")+($E$4="Novembro")&gt;0)*SUMPRODUCT(('GESTAO OPERACAO'!$AA$2:$AA$632="SEMANA 04 / NOV / "&amp;IF($C$4="Todos","",$C$4))*(('GESTAO OPERACAO'!$S$2:$S$632="EM PRODUÇÃO")+('GESTAO OPERACAO'!$S$2:$S$632="PENDENTE")&gt;0))</f>
        <v>1</v>
      </c>
      <c r="F174" s="187" cm="1">
        <f t="array" ref="F174">(($E$4="Todos")+($E$4="Novembro")&gt;0)*SUMPRODUCT(('GESTAO OPERACAO'!$AA$2:$AA$632="SEMANA 04 / NOV / "&amp;IF($C$4="Todos","",$C$4))*(('GESTAO OPERACAO'!$S$2:$S$632="EM PRODUÇÃO")+('GESTAO OPERACAO'!$S$2:$S$632="PENDENTE")&gt;0)*IFERROR('GESTAO OPERACAO'!$P$2:$P$632*1,0))</f>
        <v>182457.35</v>
      </c>
      <c r="G174" s="289"/>
      <c r="H174" s="199"/>
    </row>
    <row r="175" spans="1:8" x14ac:dyDescent="0.3">
      <c r="A175" s="198"/>
      <c r="B175" s="180" t="s">
        <v>1125</v>
      </c>
      <c r="C175" s="192" t="s">
        <v>1135</v>
      </c>
      <c r="D175" s="192" t="str">
        <f>IF(((DATE(IF($C$4="Todos",2026,$C$4),11,1)+MOD(8-WEEKDAY(DATE(IF($C$4="Todos",2026,$C$4),11,1),2),7))+(5-1)*7)&gt;EOMONTH(DATE(IF($C$4="Todos",2026,$C$4),11,1),0),"",TEXT(((DATE(IF($C$4="Todos",2026,$C$4),11,1)+MOD(8-WEEKDAY(DATE(IF($C$4="Todos",2026,$C$4),11,1),2),7))+(5-1)*7),"dd/mm")&amp;" - "&amp;TEXT(MIN((((DATE(IF($C$4="Todos",2026,$C$4),11,1)+MOD(8-WEEKDAY(DATE(IF($C$4="Todos",2026,$C$4),11,1),2),7))+(5-1)*7)+6),EOMONTH(DATE(IF($C$4="Todos",2026,$C$4),11,1),0)),"dd/mm"))</f>
        <v>30/11 - 30/11</v>
      </c>
      <c r="E175" s="186" cm="1">
        <f t="array" ref="E175">(($E$4="Todos")+($E$4="Novembro")&gt;0)*SUMPRODUCT(('GESTAO OPERACAO'!$AA$2:$AA$632="SEMANA 05 / NOV / "&amp;IF($C$4="Todos","",$C$4))*(('GESTAO OPERACAO'!$S$2:$S$632="EM PRODUÇÃO")+('GESTAO OPERACAO'!$S$2:$S$632="PENDENTE")&gt;0))</f>
        <v>0</v>
      </c>
      <c r="F175" s="187" cm="1">
        <f t="array" ref="F175">(($E$4="Todos")+($E$4="Novembro")&gt;0)*SUMPRODUCT(('GESTAO OPERACAO'!$AA$2:$AA$632="SEMANA 05 / NOV / "&amp;IF($C$4="Todos","",$C$4))*(('GESTAO OPERACAO'!$S$2:$S$632="EM PRODUÇÃO")+('GESTAO OPERACAO'!$S$2:$S$632="PENDENTE")&gt;0)*IFERROR('GESTAO OPERACAO'!$P$2:$P$632*1,0))</f>
        <v>0</v>
      </c>
      <c r="G175" s="289"/>
      <c r="H175" s="199"/>
    </row>
    <row r="176" spans="1:8" x14ac:dyDescent="0.3">
      <c r="A176" s="198"/>
      <c r="B176" s="214" t="s">
        <v>1146</v>
      </c>
      <c r="C176" s="434"/>
      <c r="D176" s="434"/>
      <c r="E176" s="225">
        <f>SUM(E171:E175)</f>
        <v>1</v>
      </c>
      <c r="F176" s="226">
        <f>SUM(F171:F175)</f>
        <v>182457.35</v>
      </c>
      <c r="G176" s="290"/>
      <c r="H176" s="199"/>
    </row>
    <row r="177" spans="1:8" x14ac:dyDescent="0.3">
      <c r="A177" s="198"/>
      <c r="B177" s="180" t="s">
        <v>1126</v>
      </c>
      <c r="C177" s="192" t="s">
        <v>1131</v>
      </c>
      <c r="D177" s="192" t="str">
        <f>IF(((DATE(IF($C$4="Todos",2026,$C$4),12,1)+MOD(8-WEEKDAY(DATE(IF($C$4="Todos",2026,$C$4),12,1),2),7))+(1-1)*7)&gt;EOMONTH(DATE(IF($C$4="Todos",2026,$C$4),12,1),0),"",TEXT(((DATE(IF($C$4="Todos",2026,$C$4),12,1)+MOD(8-WEEKDAY(DATE(IF($C$4="Todos",2026,$C$4),12,1),2),7))+(1-1)*7),"dd/mm")&amp;" - "&amp;TEXT(MIN((((DATE(IF($C$4="Todos",2026,$C$4),12,1)+MOD(8-WEEKDAY(DATE(IF($C$4="Todos",2026,$C$4),12,1),2),7))+(1-1)*7)+6),EOMONTH(DATE(IF($C$4="Todos",2026,$C$4),12,1),0)),"dd/mm"))</f>
        <v>07/12 - 13/12</v>
      </c>
      <c r="E177" s="186" cm="1">
        <f t="array" ref="E177">(($E$4="Todos")+($E$4="Dezembro")&gt;0)*SUMPRODUCT(('GESTAO OPERACAO'!$AA$2:$AA$632="SEMANA 01 / DEZ / "&amp;IF($C$4="Todos","",$C$4))*(('GESTAO OPERACAO'!$S$2:$S$632="EM PRODUÇÃO")+('GESTAO OPERACAO'!$S$2:$S$632="PENDENTE")&gt;0))</f>
        <v>0</v>
      </c>
      <c r="F177" s="187" cm="1">
        <f t="array" ref="F177">(($E$4="Todos")+($E$4="Dezembro")&gt;0)*SUMPRODUCT(('GESTAO OPERACAO'!$AA$2:$AA$632="SEMANA 01 / DEZ / "&amp;IF($C$4="Todos","",$C$4))*(('GESTAO OPERACAO'!$S$2:$S$632="EM PRODUÇÃO")+('GESTAO OPERACAO'!$S$2:$S$632="PENDENTE")&gt;0)*IFERROR('GESTAO OPERACAO'!$P$2:$P$632*1,0))</f>
        <v>0</v>
      </c>
      <c r="G177" s="289"/>
      <c r="H177" s="199"/>
    </row>
    <row r="178" spans="1:8" x14ac:dyDescent="0.3">
      <c r="A178" s="198"/>
      <c r="B178" s="180" t="s">
        <v>1126</v>
      </c>
      <c r="C178" s="192" t="s">
        <v>1132</v>
      </c>
      <c r="D178" s="192" t="str">
        <f>IF(((DATE(IF($C$4="Todos",2026,$C$4),12,1)+MOD(8-WEEKDAY(DATE(IF($C$4="Todos",2026,$C$4),12,1),2),7))+(2-1)*7)&gt;EOMONTH(DATE(IF($C$4="Todos",2026,$C$4),12,1),0),"",TEXT(((DATE(IF($C$4="Todos",2026,$C$4),12,1)+MOD(8-WEEKDAY(DATE(IF($C$4="Todos",2026,$C$4),12,1),2),7))+(2-1)*7),"dd/mm")&amp;" - "&amp;TEXT(MIN((((DATE(IF($C$4="Todos",2026,$C$4),12,1)+MOD(8-WEEKDAY(DATE(IF($C$4="Todos",2026,$C$4),12,1),2),7))+(2-1)*7)+6),EOMONTH(DATE(IF($C$4="Todos",2026,$C$4),12,1),0)),"dd/mm"))</f>
        <v>14/12 - 20/12</v>
      </c>
      <c r="E178" s="186" cm="1">
        <f t="array" ref="E178">(($E$4="Todos")+($E$4="Dezembro")&gt;0)*SUMPRODUCT(('GESTAO OPERACAO'!$AA$2:$AA$632="SEMANA 02 / DEZ / "&amp;IF($C$4="Todos","",$C$4))*(('GESTAO OPERACAO'!$S$2:$S$632="EM PRODUÇÃO")+('GESTAO OPERACAO'!$S$2:$S$632="PENDENTE")&gt;0))</f>
        <v>0</v>
      </c>
      <c r="F178" s="187" cm="1">
        <f t="array" ref="F178">(($E$4="Todos")+($E$4="Dezembro")&gt;0)*SUMPRODUCT(('GESTAO OPERACAO'!$AA$2:$AA$632="SEMANA 02 / DEZ / "&amp;IF($C$4="Todos","",$C$4))*(('GESTAO OPERACAO'!$S$2:$S$632="EM PRODUÇÃO")+('GESTAO OPERACAO'!$S$2:$S$632="PENDENTE")&gt;0)*IFERROR('GESTAO OPERACAO'!$P$2:$P$632*1,0))</f>
        <v>0</v>
      </c>
      <c r="G178" s="289"/>
      <c r="H178" s="199"/>
    </row>
    <row r="179" spans="1:8" x14ac:dyDescent="0.3">
      <c r="A179" s="198"/>
      <c r="B179" s="180" t="s">
        <v>1126</v>
      </c>
      <c r="C179" s="192" t="s">
        <v>1133</v>
      </c>
      <c r="D179" s="192" t="str">
        <f>IF(((DATE(IF($C$4="Todos",2026,$C$4),12,1)+MOD(8-WEEKDAY(DATE(IF($C$4="Todos",2026,$C$4),12,1),2),7))+(3-1)*7)&gt;EOMONTH(DATE(IF($C$4="Todos",2026,$C$4),12,1),0),"",TEXT(((DATE(IF($C$4="Todos",2026,$C$4),12,1)+MOD(8-WEEKDAY(DATE(IF($C$4="Todos",2026,$C$4),12,1),2),7))+(3-1)*7),"dd/mm")&amp;" - "&amp;TEXT(MIN((((DATE(IF($C$4="Todos",2026,$C$4),12,1)+MOD(8-WEEKDAY(DATE(IF($C$4="Todos",2026,$C$4),12,1),2),7))+(3-1)*7)+6),EOMONTH(DATE(IF($C$4="Todos",2026,$C$4),12,1),0)),"dd/mm"))</f>
        <v>21/12 - 27/12</v>
      </c>
      <c r="E179" s="186" cm="1">
        <f t="array" ref="E179">(($E$4="Todos")+($E$4="Dezembro")&gt;0)*SUMPRODUCT(('GESTAO OPERACAO'!$AA$2:$AA$632="SEMANA 03 / DEZ / "&amp;IF($C$4="Todos","",$C$4))*(('GESTAO OPERACAO'!$S$2:$S$632="EM PRODUÇÃO")+('GESTAO OPERACAO'!$S$2:$S$632="PENDENTE")&gt;0))</f>
        <v>0</v>
      </c>
      <c r="F179" s="187" cm="1">
        <f t="array" ref="F179">(($E$4="Todos")+($E$4="Dezembro")&gt;0)*SUMPRODUCT(('GESTAO OPERACAO'!$AA$2:$AA$632="SEMANA 03 / DEZ / "&amp;IF($C$4="Todos","",$C$4))*(('GESTAO OPERACAO'!$S$2:$S$632="EM PRODUÇÃO")+('GESTAO OPERACAO'!$S$2:$S$632="PENDENTE")&gt;0)*IFERROR('GESTAO OPERACAO'!$P$2:$P$632*1,0))</f>
        <v>0</v>
      </c>
      <c r="G179" s="289"/>
      <c r="H179" s="199"/>
    </row>
    <row r="180" spans="1:8" x14ac:dyDescent="0.3">
      <c r="A180" s="198"/>
      <c r="B180" s="180" t="s">
        <v>1126</v>
      </c>
      <c r="C180" s="192" t="s">
        <v>1134</v>
      </c>
      <c r="D180" s="192" t="str">
        <f>IF(((DATE(IF($C$4="Todos",2026,$C$4),12,1)+MOD(8-WEEKDAY(DATE(IF($C$4="Todos",2026,$C$4),12,1),2),7))+(4-1)*7)&gt;EOMONTH(DATE(IF($C$4="Todos",2026,$C$4),12,1),0),"",TEXT(((DATE(IF($C$4="Todos",2026,$C$4),12,1)+MOD(8-WEEKDAY(DATE(IF($C$4="Todos",2026,$C$4),12,1),2),7))+(4-1)*7),"dd/mm")&amp;" - "&amp;TEXT(MIN((((DATE(IF($C$4="Todos",2026,$C$4),12,1)+MOD(8-WEEKDAY(DATE(IF($C$4="Todos",2026,$C$4),12,1),2),7))+(4-1)*7)+6),EOMONTH(DATE(IF($C$4="Todos",2026,$C$4),12,1),0)),"dd/mm"))</f>
        <v>28/12 - 31/12</v>
      </c>
      <c r="E180" s="186" cm="1">
        <f t="array" ref="E180">(($E$4="Todos")+($E$4="Dezembro")&gt;0)*SUMPRODUCT(('GESTAO OPERACAO'!$AA$2:$AA$632="SEMANA 04 / DEZ / "&amp;IF($C$4="Todos","",$C$4))*(('GESTAO OPERACAO'!$S$2:$S$632="EM PRODUÇÃO")+('GESTAO OPERACAO'!$S$2:$S$632="PENDENTE")&gt;0))</f>
        <v>0</v>
      </c>
      <c r="F180" s="187" cm="1">
        <f t="array" ref="F180">(($E$4="Todos")+($E$4="Dezembro")&gt;0)*SUMPRODUCT(('GESTAO OPERACAO'!$AA$2:$AA$632="SEMANA 04 / DEZ / "&amp;IF($C$4="Todos","",$C$4))*(('GESTAO OPERACAO'!$S$2:$S$632="EM PRODUÇÃO")+('GESTAO OPERACAO'!$S$2:$S$632="PENDENTE")&gt;0)*IFERROR('GESTAO OPERACAO'!$P$2:$P$632*1,0))</f>
        <v>0</v>
      </c>
      <c r="G180" s="289"/>
      <c r="H180" s="199"/>
    </row>
    <row r="181" spans="1:8" x14ac:dyDescent="0.3">
      <c r="A181" s="198"/>
      <c r="B181" s="180" t="s">
        <v>1126</v>
      </c>
      <c r="C181" s="192" t="s">
        <v>1135</v>
      </c>
      <c r="D181" s="192" t="str">
        <f>IF(((DATE(IF($C$4="Todos",2026,$C$4),12,1)+MOD(8-WEEKDAY(DATE(IF($C$4="Todos",2026,$C$4),12,1),2),7))+(5-1)*7)&gt;EOMONTH(DATE(IF($C$4="Todos",2026,$C$4),12,1),0),"",TEXT(((DATE(IF($C$4="Todos",2026,$C$4),12,1)+MOD(8-WEEKDAY(DATE(IF($C$4="Todos",2026,$C$4),12,1),2),7))+(5-1)*7),"dd/mm")&amp;" - "&amp;TEXT(MIN((((DATE(IF($C$4="Todos",2026,$C$4),12,1)+MOD(8-WEEKDAY(DATE(IF($C$4="Todos",2026,$C$4),12,1),2),7))+(5-1)*7)+6),EOMONTH(DATE(IF($C$4="Todos",2026,$C$4),12,1),0)),"dd/mm"))</f>
        <v/>
      </c>
      <c r="E181" s="186" cm="1">
        <f t="array" ref="E181">(($E$4="Todos")+($E$4="Dezembro")&gt;0)*SUMPRODUCT(('GESTAO OPERACAO'!$AA$2:$AA$632="SEMANA 05 / DEZ / "&amp;IF($C$4="Todos","",$C$4))*(('GESTAO OPERACAO'!$S$2:$S$632="EM PRODUÇÃO")+('GESTAO OPERACAO'!$S$2:$S$632="PENDENTE")&gt;0))</f>
        <v>1</v>
      </c>
      <c r="F181" s="187" cm="1">
        <f t="array" ref="F181">(($E$4="Todos")+($E$4="Dezembro")&gt;0)*SUMPRODUCT(('GESTAO OPERACAO'!$AA$2:$AA$632="SEMANA 05 / DEZ / "&amp;IF($C$4="Todos","",$C$4))*(('GESTAO OPERACAO'!$S$2:$S$632="EM PRODUÇÃO")+('GESTAO OPERACAO'!$S$2:$S$632="PENDENTE")&gt;0)*IFERROR('GESTAO OPERACAO'!$P$2:$P$632*1,0))</f>
        <v>4543190.08</v>
      </c>
      <c r="G181" s="289"/>
      <c r="H181" s="199"/>
    </row>
    <row r="182" spans="1:8" x14ac:dyDescent="0.3">
      <c r="A182" s="198"/>
      <c r="B182" s="214" t="s">
        <v>1147</v>
      </c>
      <c r="C182" s="434"/>
      <c r="D182" s="434"/>
      <c r="E182" s="225">
        <f>SUM(E177:E181)</f>
        <v>1</v>
      </c>
      <c r="F182" s="226">
        <f>SUM(F177:F181)</f>
        <v>4543190.08</v>
      </c>
      <c r="G182" s="290"/>
      <c r="H182" s="199"/>
    </row>
    <row r="183" spans="1:8" x14ac:dyDescent="0.3">
      <c r="A183" s="198"/>
      <c r="B183" s="218" t="s">
        <v>1127</v>
      </c>
      <c r="C183" s="446"/>
      <c r="D183" s="446"/>
      <c r="E183" s="219">
        <f>SUM(E116,E122,E128,E134,E140,E146,E152,E158,E164,E170,E176,E182)</f>
        <v>23</v>
      </c>
      <c r="F183" s="220">
        <f>SUM(F116,F122,F128,F134,F140,F146,F152,F158,F164,F170,F176,F182)</f>
        <v>5473253.9699999997</v>
      </c>
      <c r="G183" s="291"/>
      <c r="H183" s="199"/>
    </row>
    <row r="184" spans="1:8" x14ac:dyDescent="0.3">
      <c r="B184" s="200"/>
      <c r="C184" s="200"/>
      <c r="D184" s="200"/>
      <c r="E184" s="200"/>
      <c r="F184" s="200"/>
      <c r="G184" s="200"/>
    </row>
    <row r="185" spans="1:8" ht="15.6" x14ac:dyDescent="0.3">
      <c r="B185" s="447" t="s">
        <v>1202</v>
      </c>
      <c r="C185" s="448"/>
      <c r="D185" s="448"/>
      <c r="E185" s="449"/>
    </row>
    <row r="186" spans="1:8" x14ac:dyDescent="0.3">
      <c r="A186" s="198"/>
      <c r="B186" s="216" t="s">
        <v>1203</v>
      </c>
      <c r="C186" s="216" t="s">
        <v>1194</v>
      </c>
      <c r="D186" s="216" t="s">
        <v>1150</v>
      </c>
      <c r="E186" s="216" t="s">
        <v>1204</v>
      </c>
      <c r="F186" s="199"/>
      <c r="G186" s="199"/>
    </row>
    <row r="187" spans="1:8" x14ac:dyDescent="0.3">
      <c r="A187" s="198"/>
      <c r="B187" s="180" t="s">
        <v>1205</v>
      </c>
      <c r="C187" s="186" cm="1">
        <f t="array" ref="C187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OPERACAO'!$AO$2:$AO$632="SIM"))</f>
        <v>336</v>
      </c>
      <c r="D187" s="196">
        <f>IFERROR(C187/(C187+C188),"")</f>
        <v>0.8936170212765957</v>
      </c>
      <c r="E187" s="180" t="s">
        <v>1206</v>
      </c>
      <c r="F187" s="199"/>
      <c r="G187" s="199"/>
    </row>
    <row r="188" spans="1:8" x14ac:dyDescent="0.3">
      <c r="A188" s="198"/>
      <c r="B188" s="180" t="s">
        <v>1207</v>
      </c>
      <c r="C188" s="186" cm="1">
        <f t="array" ref="C188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OPERACAO'!$AB$2:$AB$632&gt;0)*(('GESTAO OPERACAO'!$AO$2:$AO$632="NÃO")+('GESTAO OPERACAO'!$AO$2:$AO$632="NAO")))</f>
        <v>40</v>
      </c>
      <c r="D188" s="196">
        <f>IFERROR(C188/(C187+C188),"")</f>
        <v>0.10638297872340426</v>
      </c>
      <c r="E188" s="180" t="s">
        <v>1208</v>
      </c>
      <c r="F188" s="199"/>
      <c r="G188" s="199"/>
    </row>
    <row r="189" spans="1:8" x14ac:dyDescent="0.3">
      <c r="A189" s="198"/>
      <c r="B189" s="180" t="s">
        <v>1209</v>
      </c>
      <c r="C189" s="217" cm="1">
        <f t="array" ref="C189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OPERACAO'!$AT$2:$AT$632)*('GESTAO OPERACAO'!$AT$2:$AT$632&gt;=-365)*('GESTAO OPERACAO'!$AT$2:$AT$632&lt;=365)*IFERROR('GESTAO OPERACAO'!$AT$2:$AT$632*1,0))/SUMPRODUCT((($C$4="Todos")+(YEAR('GESTAO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OPERACAO'!$AT$2:$AT$632)*('GESTAO OPERACAO'!$AT$2:$AT$632&gt;=-365)*('GESTAO OPERACAO'!$AT$2:$AT$632&lt;=365)),0)</f>
        <v>7.6847826086956523</v>
      </c>
      <c r="E189" s="180" t="s">
        <v>1210</v>
      </c>
      <c r="F189" s="199"/>
      <c r="G189" s="199"/>
    </row>
    <row r="190" spans="1:8" x14ac:dyDescent="0.3">
      <c r="A190" s="198"/>
      <c r="B190" s="180" t="s">
        <v>1211</v>
      </c>
      <c r="C190" s="217" cm="1">
        <f t="array" ref="C190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OPERACAO'!$AS$2:$AS$632&lt;=365)*IFERROR('GESTAO OPERACAO'!$AS$2:$AS$632*1,0))/SUMPRODUCT((($C$4="Todos")+(YEAR('GESTAO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OPERACAO'!$AS$2:$AS$632&lt;=365)),0)</f>
        <v>25.434782608695652</v>
      </c>
      <c r="E190" s="180" t="s">
        <v>1212</v>
      </c>
      <c r="F190" s="199"/>
      <c r="G190" s="199"/>
    </row>
    <row r="191" spans="1:8" x14ac:dyDescent="0.3">
      <c r="B191" s="200"/>
      <c r="C191" s="200"/>
      <c r="D191" s="200"/>
      <c r="E191" s="200"/>
    </row>
  </sheetData>
  <mergeCells count="22">
    <mergeCell ref="C176:D176"/>
    <mergeCell ref="C182:D182"/>
    <mergeCell ref="C183:D183"/>
    <mergeCell ref="B185:E185"/>
    <mergeCell ref="C140:D140"/>
    <mergeCell ref="C146:D146"/>
    <mergeCell ref="C152:D152"/>
    <mergeCell ref="C158:D158"/>
    <mergeCell ref="C164:D164"/>
    <mergeCell ref="C170:D170"/>
    <mergeCell ref="C134:D134"/>
    <mergeCell ref="B6:J6"/>
    <mergeCell ref="B86:E86"/>
    <mergeCell ref="H86:J86"/>
    <mergeCell ref="B93:E93"/>
    <mergeCell ref="B109:F109"/>
    <mergeCell ref="C116:D116"/>
    <mergeCell ref="C122:D122"/>
    <mergeCell ref="C128:D128"/>
    <mergeCell ref="B10:H10"/>
    <mergeCell ref="G7:H7"/>
    <mergeCell ref="G8:H8"/>
  </mergeCells>
  <dataValidations count="2">
    <dataValidation type="list" allowBlank="1" showInputMessage="1" showErrorMessage="1" sqref="C4" xr:uid="{4EC253EF-31EA-43AA-9325-443AC5DF7A4E}">
      <formula1>"Todos,2025,2026"</formula1>
    </dataValidation>
    <dataValidation type="list" allowBlank="1" showInputMessage="1" showErrorMessage="1" sqref="E4" xr:uid="{44603D8E-CE3D-410A-A60C-BDB349232980}">
      <formula1>"Todos,Janeiro,Fevereiro,Março,Abril,Maio,Junho,Julho,Agosto,Setembro,Outubro,Novembro,Dezembro"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77A3-EDFD-48BB-A984-83412CECC164}">
  <dimension ref="F2:M56"/>
  <sheetViews>
    <sheetView workbookViewId="0">
      <selection activeCell="E13" sqref="E13"/>
    </sheetView>
  </sheetViews>
  <sheetFormatPr defaultRowHeight="14.4" x14ac:dyDescent="0.3"/>
  <cols>
    <col min="6" max="6" width="20.5546875" style="9" bestFit="1" customWidth="1"/>
    <col min="7" max="7" width="17.5546875" style="9" bestFit="1" customWidth="1"/>
    <col min="8" max="8" width="25" style="9" bestFit="1" customWidth="1"/>
    <col min="9" max="9" width="31.6640625" style="9" customWidth="1"/>
    <col min="10" max="10" width="19.33203125" style="9" customWidth="1"/>
    <col min="11" max="11" width="8.88671875" style="9"/>
    <col min="12" max="12" width="11.109375" style="9" customWidth="1"/>
    <col min="13" max="13" width="21.33203125" style="76" customWidth="1"/>
  </cols>
  <sheetData>
    <row r="2" spans="6:13" s="11" customFormat="1" ht="60" x14ac:dyDescent="0.4">
      <c r="F2" s="10" t="s">
        <v>1213</v>
      </c>
      <c r="G2" s="10" t="s">
        <v>16</v>
      </c>
      <c r="H2" s="10" t="s">
        <v>1214</v>
      </c>
      <c r="I2" s="46" t="s">
        <v>1215</v>
      </c>
      <c r="J2" s="46" t="s">
        <v>17</v>
      </c>
      <c r="K2" s="53" t="s">
        <v>1216</v>
      </c>
      <c r="L2" s="55" t="s">
        <v>45</v>
      </c>
      <c r="M2" s="74" t="s">
        <v>1217</v>
      </c>
    </row>
    <row r="3" spans="6:13" x14ac:dyDescent="0.3">
      <c r="F3" s="9" t="s">
        <v>78</v>
      </c>
      <c r="G3" s="24" t="s">
        <v>60</v>
      </c>
      <c r="H3" s="9" t="s">
        <v>1218</v>
      </c>
      <c r="I3" s="21" t="s">
        <v>59</v>
      </c>
      <c r="J3" s="9" t="s">
        <v>61</v>
      </c>
      <c r="K3" s="54" t="s">
        <v>65</v>
      </c>
      <c r="L3" s="9" t="s">
        <v>59</v>
      </c>
      <c r="M3" s="75" t="s">
        <v>126</v>
      </c>
    </row>
    <row r="4" spans="6:13" x14ac:dyDescent="0.3">
      <c r="F4" s="9" t="s">
        <v>134</v>
      </c>
      <c r="G4" s="23" t="s">
        <v>100</v>
      </c>
      <c r="H4" s="9" t="s">
        <v>677</v>
      </c>
      <c r="I4" s="9" t="s">
        <v>1095</v>
      </c>
      <c r="J4" s="9" t="s">
        <v>610</v>
      </c>
      <c r="K4" s="54" t="s">
        <v>103</v>
      </c>
      <c r="L4" s="9" t="s">
        <v>116</v>
      </c>
      <c r="M4" s="75" t="s">
        <v>101</v>
      </c>
    </row>
    <row r="5" spans="6:13" x14ac:dyDescent="0.3">
      <c r="F5" s="9" t="s">
        <v>613</v>
      </c>
      <c r="G5" s="25" t="s">
        <v>94</v>
      </c>
      <c r="H5" s="9" t="s">
        <v>63</v>
      </c>
      <c r="I5" s="9" t="s">
        <v>1041</v>
      </c>
      <c r="J5" s="9" t="s">
        <v>1041</v>
      </c>
      <c r="K5" s="54"/>
      <c r="L5" s="9" t="s">
        <v>105</v>
      </c>
      <c r="M5" s="75" t="s">
        <v>74</v>
      </c>
    </row>
    <row r="6" spans="6:13" x14ac:dyDescent="0.3">
      <c r="F6" s="9" t="s">
        <v>52</v>
      </c>
      <c r="K6" s="54"/>
      <c r="M6" s="75" t="s">
        <v>62</v>
      </c>
    </row>
    <row r="7" spans="6:13" x14ac:dyDescent="0.3">
      <c r="M7" s="75" t="s">
        <v>200</v>
      </c>
    </row>
    <row r="8" spans="6:13" x14ac:dyDescent="0.3">
      <c r="M8" s="75" t="s">
        <v>231</v>
      </c>
    </row>
    <row r="9" spans="6:13" x14ac:dyDescent="0.3">
      <c r="M9" s="75" t="s">
        <v>238</v>
      </c>
    </row>
    <row r="10" spans="6:13" x14ac:dyDescent="0.3">
      <c r="M10" s="75" t="s">
        <v>141</v>
      </c>
    </row>
    <row r="11" spans="6:13" x14ac:dyDescent="0.3">
      <c r="M11" s="75" t="s">
        <v>345</v>
      </c>
    </row>
    <row r="12" spans="6:13" x14ac:dyDescent="0.3">
      <c r="M12" s="75" t="s">
        <v>304</v>
      </c>
    </row>
    <row r="13" spans="6:13" x14ac:dyDescent="0.3">
      <c r="M13" s="75" t="s">
        <v>388</v>
      </c>
    </row>
    <row r="14" spans="6:13" x14ac:dyDescent="0.3">
      <c r="M14" s="75" t="s">
        <v>379</v>
      </c>
    </row>
    <row r="15" spans="6:13" x14ac:dyDescent="0.3">
      <c r="M15" s="75" t="s">
        <v>458</v>
      </c>
    </row>
    <row r="16" spans="6:13" x14ac:dyDescent="0.3">
      <c r="M16" s="75" t="s">
        <v>433</v>
      </c>
    </row>
    <row r="17" spans="13:13" x14ac:dyDescent="0.3">
      <c r="M17" s="75" t="s">
        <v>448</v>
      </c>
    </row>
    <row r="18" spans="13:13" x14ac:dyDescent="0.3">
      <c r="M18" s="75" t="s">
        <v>442</v>
      </c>
    </row>
    <row r="19" spans="13:13" x14ac:dyDescent="0.3">
      <c r="M19" s="75" t="s">
        <v>559</v>
      </c>
    </row>
    <row r="20" spans="13:13" x14ac:dyDescent="0.3">
      <c r="M20" s="75" t="s">
        <v>543</v>
      </c>
    </row>
    <row r="21" spans="13:13" x14ac:dyDescent="0.3">
      <c r="M21" s="75" t="s">
        <v>540</v>
      </c>
    </row>
    <row r="22" spans="13:13" x14ac:dyDescent="0.3">
      <c r="M22" s="75" t="s">
        <v>535</v>
      </c>
    </row>
    <row r="23" spans="13:13" x14ac:dyDescent="0.3">
      <c r="M23" s="75" t="s">
        <v>634</v>
      </c>
    </row>
    <row r="24" spans="13:13" x14ac:dyDescent="0.3">
      <c r="M24" s="75" t="s">
        <v>585</v>
      </c>
    </row>
    <row r="25" spans="13:13" x14ac:dyDescent="0.3">
      <c r="M25" s="75" t="s">
        <v>682</v>
      </c>
    </row>
    <row r="26" spans="13:13" x14ac:dyDescent="0.3">
      <c r="M26" s="75" t="s">
        <v>643</v>
      </c>
    </row>
    <row r="27" spans="13:13" x14ac:dyDescent="0.3">
      <c r="M27" s="75" t="s">
        <v>726</v>
      </c>
    </row>
    <row r="28" spans="13:13" x14ac:dyDescent="0.3">
      <c r="M28" s="75" t="s">
        <v>735</v>
      </c>
    </row>
    <row r="29" spans="13:13" x14ac:dyDescent="0.3">
      <c r="M29" s="75" t="s">
        <v>814</v>
      </c>
    </row>
    <row r="30" spans="13:13" x14ac:dyDescent="0.3">
      <c r="M30" s="75" t="s">
        <v>836</v>
      </c>
    </row>
    <row r="31" spans="13:13" x14ac:dyDescent="0.3">
      <c r="M31" s="75" t="s">
        <v>702</v>
      </c>
    </row>
    <row r="32" spans="13:13" x14ac:dyDescent="0.3">
      <c r="M32" s="75" t="s">
        <v>894</v>
      </c>
    </row>
    <row r="33" spans="13:13" x14ac:dyDescent="0.3">
      <c r="M33" s="75" t="s">
        <v>887</v>
      </c>
    </row>
    <row r="34" spans="13:13" x14ac:dyDescent="0.3">
      <c r="M34" s="75" t="s">
        <v>948</v>
      </c>
    </row>
    <row r="35" spans="13:13" x14ac:dyDescent="0.3">
      <c r="M35" s="75" t="s">
        <v>758</v>
      </c>
    </row>
    <row r="36" spans="13:13" x14ac:dyDescent="0.3">
      <c r="M36" s="75" t="s">
        <v>995</v>
      </c>
    </row>
    <row r="37" spans="13:13" x14ac:dyDescent="0.3">
      <c r="M37" s="75" t="s">
        <v>1080</v>
      </c>
    </row>
    <row r="38" spans="13:13" x14ac:dyDescent="0.3">
      <c r="M38" s="75" t="s">
        <v>1072</v>
      </c>
    </row>
    <row r="39" spans="13:13" x14ac:dyDescent="0.3">
      <c r="M39" s="75" t="s">
        <v>1086</v>
      </c>
    </row>
    <row r="40" spans="13:13" x14ac:dyDescent="0.3">
      <c r="M40" s="75" t="s">
        <v>611</v>
      </c>
    </row>
    <row r="41" spans="13:13" x14ac:dyDescent="0.3">
      <c r="M41" s="75" t="s">
        <v>1219</v>
      </c>
    </row>
    <row r="42" spans="13:13" x14ac:dyDescent="0.3">
      <c r="M42" s="75" t="s">
        <v>1220</v>
      </c>
    </row>
    <row r="43" spans="13:13" x14ac:dyDescent="0.3">
      <c r="M43" s="75" t="s">
        <v>1221</v>
      </c>
    </row>
    <row r="44" spans="13:13" x14ac:dyDescent="0.3">
      <c r="M44" s="75" t="s">
        <v>1222</v>
      </c>
    </row>
    <row r="45" spans="13:13" x14ac:dyDescent="0.3">
      <c r="M45" s="75" t="s">
        <v>1223</v>
      </c>
    </row>
    <row r="46" spans="13:13" x14ac:dyDescent="0.3">
      <c r="M46" s="75" t="s">
        <v>1224</v>
      </c>
    </row>
    <row r="47" spans="13:13" x14ac:dyDescent="0.3">
      <c r="M47" s="75" t="s">
        <v>1225</v>
      </c>
    </row>
    <row r="48" spans="13:13" x14ac:dyDescent="0.3">
      <c r="M48" s="75" t="s">
        <v>628</v>
      </c>
    </row>
    <row r="49" spans="13:13" x14ac:dyDescent="0.3">
      <c r="M49" s="75" t="s">
        <v>1226</v>
      </c>
    </row>
    <row r="50" spans="13:13" x14ac:dyDescent="0.3">
      <c r="M50" s="75" t="s">
        <v>1227</v>
      </c>
    </row>
    <row r="51" spans="13:13" x14ac:dyDescent="0.3">
      <c r="M51" s="75" t="s">
        <v>1228</v>
      </c>
    </row>
    <row r="52" spans="13:13" x14ac:dyDescent="0.3">
      <c r="M52" s="75" t="s">
        <v>1229</v>
      </c>
    </row>
    <row r="53" spans="13:13" x14ac:dyDescent="0.3">
      <c r="M53" s="75" t="s">
        <v>1042</v>
      </c>
    </row>
    <row r="54" spans="13:13" x14ac:dyDescent="0.3">
      <c r="M54" s="75" t="s">
        <v>1230</v>
      </c>
    </row>
    <row r="55" spans="13:13" x14ac:dyDescent="0.3">
      <c r="M55" s="75" t="s">
        <v>83</v>
      </c>
    </row>
    <row r="56" spans="13:13" x14ac:dyDescent="0.3">
      <c r="M56" s="75" t="s">
        <v>88</v>
      </c>
    </row>
  </sheetData>
  <phoneticPr fontId="1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GESTAO OPERACAO</vt:lpstr>
      <vt:lpstr>DASHBOARD COMERCIAL</vt:lpstr>
      <vt:lpstr>DASHBOARD PRODUCAO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Matheus</dc:creator>
  <cp:keywords/>
  <dc:description/>
  <cp:lastModifiedBy>Bruno Matheus</cp:lastModifiedBy>
  <cp:revision/>
  <dcterms:created xsi:type="dcterms:W3CDTF">2025-12-22T19:13:47Z</dcterms:created>
  <dcterms:modified xsi:type="dcterms:W3CDTF">2026-09-03T17:06:24Z</dcterms:modified>
  <cp:category/>
  <cp:contentStatus/>
</cp:coreProperties>
</file>